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royectos\Nov-Campus\docs\"/>
    </mc:Choice>
  </mc:AlternateContent>
  <xr:revisionPtr revIDLastSave="0" documentId="8_{D815A513-7509-4B9E-8594-36C22252C62B}" xr6:coauthVersionLast="47" xr6:coauthVersionMax="47" xr10:uidLastSave="{00000000-0000-0000-0000-000000000000}"/>
  <workbookProtection workbookAlgorithmName="SHA-512" workbookHashValue="tsOL4afjOdGwn6FAB292xfqkvrRx8fFc0FuvQP1OCqmCY2xxeRAihdblqJeKZJNbEgbgKznmPCdCTgUz+BBtlA==" workbookSaltValue="50YUU0VfOA/K4D186q6q3w==" workbookSpinCount="100000" lockStructure="1"/>
  <bookViews>
    <workbookView xWindow="-108" yWindow="-108" windowWidth="23256" windowHeight="12456" xr2:uid="{4ED7700B-BCEE-4646-8AEA-C364BF62AFFD}"/>
  </bookViews>
  <sheets>
    <sheet name="Programa Capacitaciones 2026" sheetId="1" r:id="rId1"/>
    <sheet name="Matriz de Comp. Personas" sheetId="2" r:id="rId2"/>
    <sheet name="Requisito x Tarea" sheetId="5" r:id="rId3"/>
    <sheet name="Criterio de matriz competencias" sheetId="3" r:id="rId4"/>
    <sheet name="VENCIDAS" sheetId="15" r:id="rId5"/>
    <sheet name="POR_VENCER" sheetId="16" r:id="rId6"/>
    <sheet name="PANEL_PERSONA" sheetId="17" r:id="rId7"/>
    <sheet name="HUB" sheetId="11" state="hidden" r:id="rId8"/>
    <sheet name="LISTADO_PERFILES PUESTO" sheetId="4" state="hidden" r:id="rId9"/>
    <sheet name="CONSULTA_MES" sheetId="19" r:id="rId10"/>
    <sheet name="FID" sheetId="12" state="hidden" r:id="rId11"/>
    <sheet name="BASE_OK" sheetId="14" state="hidden" r:id="rId12"/>
    <sheet name="Extraccion_HORAS" sheetId="18" state="hidden" r:id="rId13"/>
    <sheet name="LISTADO_TAREAS" sheetId="10" state="hidden" r:id="rId14"/>
    <sheet name="BASE_LINEAS" sheetId="13" state="hidden" r:id="rId15"/>
  </sheets>
  <definedNames>
    <definedName name="_xlnm._FilterDatabase" localSheetId="14" hidden="1">BASE_LINEAS!$A$1:$G$10000</definedName>
    <definedName name="_xlnm._FilterDatabase" localSheetId="5" hidden="1">POR_VENCER!$A$1:$G$5</definedName>
    <definedName name="_xlnm._FilterDatabase" localSheetId="4" hidden="1">VENCIDAS!$A$1:$G$1</definedName>
    <definedName name="_xleta.IF" hidden="1" xlm="1">#NAME?</definedName>
    <definedName name="_xlpm.col" hidden="1" xlm="1">#NAME?</definedName>
    <definedName name="_xlpm.d" hidden="1" xlm="1">#NAME?</definedName>
    <definedName name="_xlpm.datos" hidden="1" xlm="1">#NAME?</definedName>
    <definedName name="_xlpm.enc" hidden="1" xlm="1">#NAME?</definedName>
    <definedName name="_xlpm.falt" hidden="1" xlm="1">#NAME?</definedName>
    <definedName name="_xlpm.fec" hidden="1" xlm="1">#NAME?</definedName>
    <definedName name="_xlpm.fila" hidden="1" xlm="1">#NAME?</definedName>
    <definedName name="_xlpm.filas" hidden="1" xlm="1">#NAME?</definedName>
    <definedName name="_xlpm.fin" hidden="1" xlm="1">#NAME?</definedName>
    <definedName name="_xlpm.i" hidden="1" xlm="1">#NAME?</definedName>
    <definedName name="_xlpm.idx" hidden="1" xlm="1">#NAME?</definedName>
    <definedName name="_xlpm.ini" hidden="1" xlm="1">#NAME?</definedName>
    <definedName name="_xlpm.mat" hidden="1" xlm="1">#NAME?</definedName>
    <definedName name="_xlpm.nomT" hidden="1" xlm="1">#NAME?</definedName>
    <definedName name="_xlpm.pares" hidden="1" xlm="1">#NAME?</definedName>
    <definedName name="_xlpm.req" hidden="1" xlm="1">#NAME?</definedName>
    <definedName name="_xlpm.reqPorTarea" hidden="1" xlm="1">#NAME?</definedName>
    <definedName name="_xlpm.reqTotal" hidden="1" xlm="1">#NAME?</definedName>
    <definedName name="_xlpm.resultado" hidden="1" xlm="1">#NAME?</definedName>
    <definedName name="_xlpm.s" hidden="1" xlm="1">#NAME?</definedName>
    <definedName name="_xlpm.t" hidden="1" xlm="1">#NAME?</definedName>
    <definedName name="_xlpm.tareas" hidden="1" xlm="1">#NAME?</definedName>
    <definedName name="_xlpm.temas" hidden="1" xlm="1">#NAME?</definedName>
    <definedName name="_xlpm.tipo" hidden="1" xlm="1">#NAME?</definedName>
    <definedName name="_xlpm.vig" hidden="1" xlm="1">#NAME?</definedName>
    <definedName name="_xlpm.x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1" i="2" l="1" a="1"/>
  <c r="I11" i="2" s="1"/>
  <c r="I12" i="2" a="1"/>
  <c r="I12" i="2" s="1"/>
  <c r="I13" i="2" a="1"/>
  <c r="I13" i="2" s="1"/>
  <c r="I14" i="2" a="1"/>
  <c r="I14" i="2" s="1"/>
  <c r="I15" i="2" a="1"/>
  <c r="I15" i="2" s="1"/>
  <c r="I16" i="2" a="1"/>
  <c r="I16" i="2" s="1"/>
  <c r="I17" i="2" a="1"/>
  <c r="I17" i="2" s="1"/>
  <c r="I18" i="2" a="1"/>
  <c r="I18" i="2" s="1"/>
  <c r="I19" i="2" a="1"/>
  <c r="I19" i="2" s="1"/>
  <c r="I20" i="2" a="1"/>
  <c r="I20" i="2" s="1"/>
  <c r="I21" i="2" a="1"/>
  <c r="I21" i="2" s="1"/>
  <c r="I22" i="2" a="1"/>
  <c r="I22" i="2" s="1"/>
  <c r="I23" i="2" a="1"/>
  <c r="I23" i="2" s="1"/>
  <c r="I24" i="2" a="1"/>
  <c r="I24" i="2" s="1"/>
  <c r="I25" i="2" a="1"/>
  <c r="I25" i="2" s="1"/>
  <c r="I26" i="2" a="1"/>
  <c r="I26" i="2" s="1"/>
  <c r="I27" i="2" a="1"/>
  <c r="I27" i="2" s="1"/>
  <c r="I28" i="2" a="1"/>
  <c r="I28" i="2" s="1"/>
  <c r="I29" i="2" a="1"/>
  <c r="I29" i="2" s="1"/>
  <c r="I30" i="2" a="1"/>
  <c r="I30" i="2" s="1"/>
  <c r="I31" i="2" a="1"/>
  <c r="I31" i="2" s="1"/>
  <c r="I32" i="2" a="1"/>
  <c r="I32" i="2" s="1"/>
  <c r="I33" i="2" a="1"/>
  <c r="I33" i="2" s="1"/>
  <c r="I34" i="2" a="1"/>
  <c r="I34" i="2" s="1"/>
  <c r="I35" i="2" a="1"/>
  <c r="I35" i="2" s="1"/>
  <c r="I36" i="2" a="1"/>
  <c r="I36" i="2" s="1"/>
  <c r="I37" i="2" a="1"/>
  <c r="I37" i="2" s="1"/>
  <c r="I38" i="2" a="1"/>
  <c r="I38" i="2" s="1"/>
  <c r="I39" i="2" a="1"/>
  <c r="I39" i="2" s="1"/>
  <c r="I40" i="2" a="1"/>
  <c r="I40" i="2" s="1"/>
  <c r="I41" i="2" a="1"/>
  <c r="I41" i="2" s="1"/>
  <c r="I42" i="2" a="1"/>
  <c r="I42" i="2" s="1"/>
  <c r="I43" i="2" a="1"/>
  <c r="I43" i="2" s="1"/>
  <c r="I44" i="2" a="1"/>
  <c r="I44" i="2" s="1"/>
  <c r="I45" i="2" a="1"/>
  <c r="I45" i="2" s="1"/>
  <c r="I46" i="2" a="1"/>
  <c r="I46" i="2" s="1"/>
  <c r="I47" i="2" a="1"/>
  <c r="I47" i="2" s="1"/>
  <c r="I48" i="2" a="1"/>
  <c r="I48" i="2" s="1"/>
  <c r="I49" i="2" a="1"/>
  <c r="I49" i="2" s="1"/>
  <c r="I50" i="2" a="1"/>
  <c r="I50" i="2" s="1"/>
  <c r="I51" i="2" a="1"/>
  <c r="I51" i="2" s="1"/>
  <c r="I52" i="2" a="1"/>
  <c r="I52" i="2" s="1"/>
  <c r="I53" i="2" a="1"/>
  <c r="I53" i="2" s="1"/>
  <c r="I54" i="2" a="1"/>
  <c r="I54" i="2" s="1"/>
  <c r="I55" i="2" a="1"/>
  <c r="I55" i="2" s="1"/>
  <c r="I56" i="2" a="1"/>
  <c r="I56" i="2" s="1"/>
  <c r="I57" i="2" a="1"/>
  <c r="I57" i="2" s="1"/>
  <c r="I58" i="2" a="1"/>
  <c r="I58" i="2" s="1"/>
  <c r="I59" i="2" a="1"/>
  <c r="I59" i="2" s="1"/>
  <c r="I60" i="2" a="1"/>
  <c r="I60" i="2" s="1"/>
  <c r="I61" i="2" a="1"/>
  <c r="I61" i="2" s="1"/>
  <c r="I62" i="2" a="1"/>
  <c r="I62" i="2" s="1"/>
  <c r="I63" i="2" a="1"/>
  <c r="I63" i="2" s="1"/>
  <c r="I64" i="2" a="1"/>
  <c r="I64" i="2" s="1"/>
  <c r="I65" i="2" a="1"/>
  <c r="I65" i="2" s="1"/>
  <c r="I66" i="2" a="1"/>
  <c r="I66" i="2" s="1"/>
  <c r="I67" i="2" a="1"/>
  <c r="I67" i="2" s="1"/>
  <c r="I68" i="2" a="1"/>
  <c r="I68" i="2" s="1"/>
  <c r="I69" i="2" a="1"/>
  <c r="I69" i="2" s="1"/>
  <c r="I70" i="2" a="1"/>
  <c r="I70" i="2" s="1"/>
  <c r="I71" i="2" a="1"/>
  <c r="I71" i="2" s="1"/>
  <c r="I72" i="2" a="1"/>
  <c r="I72" i="2" s="1"/>
  <c r="I73" i="2" a="1"/>
  <c r="I73" i="2" s="1"/>
  <c r="I74" i="2" a="1"/>
  <c r="I74" i="2" s="1"/>
  <c r="I75" i="2" a="1"/>
  <c r="I75" i="2" s="1"/>
  <c r="I76" i="2" a="1"/>
  <c r="I76" i="2" s="1"/>
  <c r="I77" i="2" a="1"/>
  <c r="I77" i="2" s="1"/>
  <c r="I78" i="2" a="1"/>
  <c r="I78" i="2" s="1"/>
  <c r="I79" i="2" a="1"/>
  <c r="I79" i="2" s="1"/>
  <c r="I80" i="2" a="1"/>
  <c r="I80" i="2" s="1"/>
  <c r="I81" i="2" a="1"/>
  <c r="I81" i="2" s="1"/>
  <c r="I82" i="2" a="1"/>
  <c r="I82" i="2" s="1"/>
  <c r="I83" i="2" a="1"/>
  <c r="I83" i="2" s="1"/>
  <c r="I84" i="2" a="1"/>
  <c r="I84" i="2" s="1"/>
  <c r="I85" i="2" a="1"/>
  <c r="I85" i="2" s="1"/>
  <c r="I86" i="2" a="1"/>
  <c r="I86" i="2" s="1"/>
  <c r="I87" i="2" a="1"/>
  <c r="I87" i="2" s="1"/>
  <c r="I88" i="2" a="1"/>
  <c r="I88" i="2" s="1"/>
  <c r="I89" i="2" a="1"/>
  <c r="I89" i="2" s="1"/>
  <c r="I90" i="2" a="1"/>
  <c r="I90" i="2" s="1"/>
  <c r="I91" i="2" a="1"/>
  <c r="I91" i="2" s="1"/>
  <c r="I92" i="2" a="1"/>
  <c r="I92" i="2" s="1"/>
  <c r="I93" i="2" a="1"/>
  <c r="I93" i="2" s="1"/>
  <c r="I94" i="2" a="1"/>
  <c r="I94" i="2" s="1"/>
  <c r="I95" i="2" a="1"/>
  <c r="I95" i="2" s="1"/>
  <c r="I96" i="2" a="1"/>
  <c r="I96" i="2" s="1"/>
  <c r="I97" i="2" a="1"/>
  <c r="I97" i="2" s="1"/>
  <c r="I98" i="2" a="1"/>
  <c r="I98" i="2" s="1"/>
  <c r="I99" i="2" a="1"/>
  <c r="I99" i="2" s="1"/>
  <c r="I100" i="2" a="1"/>
  <c r="I100" i="2" s="1"/>
  <c r="I101" i="2" a="1"/>
  <c r="I101" i="2" s="1"/>
  <c r="I102" i="2" a="1"/>
  <c r="I102" i="2" s="1"/>
  <c r="I103" i="2" a="1"/>
  <c r="I103" i="2" s="1"/>
  <c r="I104" i="2" a="1"/>
  <c r="I104" i="2" s="1"/>
  <c r="I105" i="2" a="1"/>
  <c r="I105" i="2" s="1"/>
  <c r="I106" i="2" a="1"/>
  <c r="I106" i="2" s="1"/>
  <c r="BM4" i="2"/>
  <c r="BN4" i="2"/>
  <c r="BO4" i="2"/>
  <c r="BP4" i="2"/>
  <c r="BQ4" i="2"/>
  <c r="BR4" i="2"/>
  <c r="BS4" i="2"/>
  <c r="BT4" i="2"/>
  <c r="BM5" i="2"/>
  <c r="BN5" i="2"/>
  <c r="BO5" i="2"/>
  <c r="BP5" i="2"/>
  <c r="BQ5" i="2"/>
  <c r="BR5" i="2"/>
  <c r="BS5" i="2"/>
  <c r="BT5" i="2"/>
  <c r="BM6" i="2"/>
  <c r="BN6" i="2"/>
  <c r="BO6" i="2"/>
  <c r="BP6" i="2"/>
  <c r="BQ6" i="2"/>
  <c r="BR6" i="2"/>
  <c r="BS6" i="2"/>
  <c r="BT6" i="2"/>
  <c r="N7" i="2" a="1"/>
  <c r="BU4" i="2"/>
  <c r="BU5" i="2"/>
  <c r="BU6" i="2"/>
  <c r="B52" i="1" a="1"/>
  <c r="B52" i="1" s="1"/>
  <c r="C52" i="1" a="1"/>
  <c r="C52" i="1" s="1"/>
  <c r="D52" i="1" a="1"/>
  <c r="D52" i="1" s="1"/>
  <c r="E52" i="1" a="1"/>
  <c r="E52" i="1" s="1"/>
  <c r="F52" i="1" a="1"/>
  <c r="F52" i="1" s="1"/>
  <c r="G52" i="1" a="1"/>
  <c r="G52" i="1" s="1"/>
  <c r="B53" i="1" a="1"/>
  <c r="B53" i="1" s="1"/>
  <c r="C53" i="1" a="1"/>
  <c r="C53" i="1" s="1"/>
  <c r="D53" i="1" a="1"/>
  <c r="D53" i="1" s="1"/>
  <c r="E53" i="1" a="1"/>
  <c r="E53" i="1" s="1"/>
  <c r="F53" i="1" a="1"/>
  <c r="F53" i="1" s="1"/>
  <c r="G53" i="1" a="1"/>
  <c r="G53" i="1"/>
  <c r="B54" i="1" a="1"/>
  <c r="B54" i="1" s="1"/>
  <c r="C54" i="1" a="1"/>
  <c r="C54" i="1" s="1"/>
  <c r="D54" i="1" a="1"/>
  <c r="D54" i="1" s="1"/>
  <c r="E54" i="1" a="1"/>
  <c r="E54" i="1" s="1"/>
  <c r="F54" i="1" a="1"/>
  <c r="F54" i="1" s="1"/>
  <c r="G54" i="1" a="1"/>
  <c r="G54" i="1" s="1"/>
  <c r="B55" i="1" a="1"/>
  <c r="B55" i="1" s="1"/>
  <c r="C55" i="1" a="1"/>
  <c r="C55" i="1" s="1"/>
  <c r="D55" i="1" a="1"/>
  <c r="D55" i="1" s="1"/>
  <c r="E55" i="1" a="1"/>
  <c r="E55" i="1" s="1"/>
  <c r="F55" i="1" a="1"/>
  <c r="F55" i="1" s="1"/>
  <c r="G55" i="1" a="1"/>
  <c r="G55" i="1" s="1"/>
  <c r="B56" i="1" a="1"/>
  <c r="B56" i="1" s="1"/>
  <c r="C56" i="1" a="1"/>
  <c r="C56" i="1" s="1"/>
  <c r="D56" i="1" a="1"/>
  <c r="D56" i="1" s="1"/>
  <c r="E56" i="1" a="1"/>
  <c r="E56" i="1" s="1"/>
  <c r="F56" i="1" a="1"/>
  <c r="F56" i="1" s="1"/>
  <c r="G56" i="1" a="1"/>
  <c r="G56" i="1" s="1"/>
  <c r="B57" i="1" a="1"/>
  <c r="B57" i="1" s="1"/>
  <c r="C57" i="1" a="1"/>
  <c r="C57" i="1" s="1"/>
  <c r="D57" i="1" a="1"/>
  <c r="D57" i="1" s="1"/>
  <c r="E57" i="1" a="1"/>
  <c r="E57" i="1" s="1"/>
  <c r="F57" i="1" a="1"/>
  <c r="F57" i="1" s="1"/>
  <c r="G57" i="1" a="1"/>
  <c r="G57" i="1" s="1"/>
  <c r="B58" i="1" a="1"/>
  <c r="B58" i="1" s="1"/>
  <c r="C58" i="1" a="1"/>
  <c r="C58" i="1" s="1"/>
  <c r="D58" i="1" a="1"/>
  <c r="D58" i="1" s="1"/>
  <c r="E58" i="1" a="1"/>
  <c r="E58" i="1" s="1"/>
  <c r="F58" i="1" a="1"/>
  <c r="F58" i="1" s="1"/>
  <c r="G58" i="1" a="1"/>
  <c r="G58" i="1" s="1"/>
  <c r="B59" i="1" a="1"/>
  <c r="B59" i="1" s="1"/>
  <c r="C59" i="1" a="1"/>
  <c r="C59" i="1" s="1"/>
  <c r="D59" i="1" a="1"/>
  <c r="D59" i="1" s="1"/>
  <c r="E59" i="1" a="1"/>
  <c r="E59" i="1" s="1"/>
  <c r="F59" i="1" a="1"/>
  <c r="F59" i="1" s="1"/>
  <c r="G59" i="1" a="1"/>
  <c r="G59" i="1" s="1"/>
  <c r="B60" i="1" a="1"/>
  <c r="B60" i="1" s="1"/>
  <c r="C60" i="1" a="1"/>
  <c r="C60" i="1" s="1"/>
  <c r="D60" i="1" a="1"/>
  <c r="D60" i="1" s="1"/>
  <c r="E60" i="1" a="1"/>
  <c r="E60" i="1" s="1"/>
  <c r="F60" i="1" a="1"/>
  <c r="F60" i="1" s="1"/>
  <c r="G60" i="1" a="1"/>
  <c r="G60" i="1" s="1"/>
  <c r="B61" i="1" a="1"/>
  <c r="B61" i="1" s="1"/>
  <c r="C61" i="1" a="1"/>
  <c r="C61" i="1" s="1"/>
  <c r="D61" i="1" a="1"/>
  <c r="D61" i="1" s="1"/>
  <c r="E61" i="1" a="1"/>
  <c r="E61" i="1" s="1"/>
  <c r="F61" i="1" a="1"/>
  <c r="F61" i="1" s="1"/>
  <c r="G61" i="1" a="1"/>
  <c r="G61" i="1" s="1"/>
  <c r="B62" i="1" a="1"/>
  <c r="B62" i="1" s="1"/>
  <c r="C62" i="1" a="1"/>
  <c r="C62" i="1" s="1"/>
  <c r="D62" i="1" a="1"/>
  <c r="D62" i="1" s="1"/>
  <c r="E62" i="1" a="1"/>
  <c r="E62" i="1" s="1"/>
  <c r="F62" i="1" a="1"/>
  <c r="F62" i="1"/>
  <c r="G62" i="1" a="1"/>
  <c r="G62" i="1" s="1"/>
  <c r="A4" i="17"/>
  <c r="C2" i="13" a="1"/>
  <c r="C2" i="13" s="1"/>
  <c r="C12" i="19"/>
  <c r="C13" i="19"/>
  <c r="C14" i="19"/>
  <c r="C15" i="19"/>
  <c r="C16" i="19"/>
  <c r="C17" i="19"/>
  <c r="C18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2" i="19"/>
  <c r="C33" i="19"/>
  <c r="C34" i="19"/>
  <c r="C35" i="19"/>
  <c r="C36" i="19"/>
  <c r="C37" i="19"/>
  <c r="C38" i="19"/>
  <c r="C39" i="19"/>
  <c r="C40" i="19"/>
  <c r="C41" i="19"/>
  <c r="C42" i="19"/>
  <c r="C43" i="19"/>
  <c r="C44" i="19"/>
  <c r="C45" i="19"/>
  <c r="C46" i="19"/>
  <c r="C47" i="19"/>
  <c r="B18" i="19" a="1"/>
  <c r="B18" i="19" s="1"/>
  <c r="B19" i="19" a="1"/>
  <c r="B19" i="19" s="1"/>
  <c r="B20" i="19" a="1"/>
  <c r="B20" i="19" s="1"/>
  <c r="B21" i="19" a="1"/>
  <c r="B21" i="19" s="1"/>
  <c r="B22" i="19" a="1"/>
  <c r="B22" i="19" s="1"/>
  <c r="B23" i="19" a="1"/>
  <c r="B23" i="19" s="1"/>
  <c r="B24" i="19" a="1"/>
  <c r="B24" i="19" s="1"/>
  <c r="B25" i="19" a="1"/>
  <c r="B25" i="19" s="1"/>
  <c r="B26" i="19" a="1"/>
  <c r="B26" i="19" s="1"/>
  <c r="B27" i="19" a="1"/>
  <c r="B27" i="19" s="1"/>
  <c r="B28" i="19" a="1"/>
  <c r="B28" i="19" s="1"/>
  <c r="B29" i="19" a="1"/>
  <c r="B29" i="19" s="1"/>
  <c r="B30" i="19" a="1"/>
  <c r="B30" i="19" s="1"/>
  <c r="B31" i="19" a="1"/>
  <c r="B31" i="19" s="1"/>
  <c r="B32" i="19" a="1"/>
  <c r="B32" i="19" s="1"/>
  <c r="B33" i="19" a="1"/>
  <c r="B33" i="19" s="1"/>
  <c r="B34" i="19" a="1"/>
  <c r="B34" i="19" s="1"/>
  <c r="B35" i="19" a="1"/>
  <c r="B35" i="19" s="1"/>
  <c r="B36" i="19" a="1"/>
  <c r="B36" i="19" s="1"/>
  <c r="B37" i="19" a="1"/>
  <c r="B37" i="19" s="1"/>
  <c r="B38" i="19" a="1"/>
  <c r="B38" i="19" s="1"/>
  <c r="B39" i="19" a="1"/>
  <c r="B39" i="19" s="1"/>
  <c r="B40" i="19" a="1"/>
  <c r="B40" i="19" s="1"/>
  <c r="B41" i="19" a="1"/>
  <c r="B41" i="19" s="1"/>
  <c r="B42" i="19" a="1"/>
  <c r="B42" i="19" s="1"/>
  <c r="B43" i="19" a="1"/>
  <c r="B43" i="19" s="1"/>
  <c r="B44" i="19" a="1"/>
  <c r="B44" i="19" s="1"/>
  <c r="B45" i="19" a="1"/>
  <c r="B45" i="19" s="1"/>
  <c r="B46" i="19" a="1"/>
  <c r="B46" i="19" s="1"/>
  <c r="B47" i="19" a="1"/>
  <c r="B47" i="19" s="1"/>
  <c r="B12" i="19" a="1"/>
  <c r="B12" i="19" s="1"/>
  <c r="B13" i="19" a="1"/>
  <c r="B13" i="19" s="1"/>
  <c r="B14" i="19" a="1"/>
  <c r="B14" i="19" s="1"/>
  <c r="B15" i="19" a="1"/>
  <c r="B15" i="19" s="1"/>
  <c r="B16" i="19" a="1"/>
  <c r="B16" i="19" s="1"/>
  <c r="B17" i="19" a="1"/>
  <c r="B17" i="19" s="1"/>
  <c r="N7" i="2" l="1"/>
  <c r="BL5" i="2"/>
  <c r="BL4" i="2"/>
  <c r="BL6" i="2"/>
  <c r="BI6" i="2"/>
  <c r="BG5" i="2"/>
  <c r="BE4" i="2"/>
  <c r="BG6" i="2"/>
  <c r="BE5" i="2"/>
  <c r="BK4" i="2"/>
  <c r="BC4" i="2"/>
  <c r="BB6" i="2"/>
  <c r="BH6" i="2"/>
  <c r="BD4" i="2"/>
  <c r="BJ4" i="2"/>
  <c r="BH5" i="2"/>
  <c r="BF6" i="2"/>
  <c r="BD5" i="2"/>
  <c r="BB4" i="2"/>
  <c r="BE6" i="2"/>
  <c r="BK5" i="2"/>
  <c r="BC5" i="2"/>
  <c r="BI4" i="2"/>
  <c r="BJ6" i="2"/>
  <c r="BD6" i="2"/>
  <c r="BJ5" i="2"/>
  <c r="BB5" i="2"/>
  <c r="BH4" i="2"/>
  <c r="BF4" i="2"/>
  <c r="BF5" i="2"/>
  <c r="BK6" i="2"/>
  <c r="BC6" i="2"/>
  <c r="BI5" i="2"/>
  <c r="BG4" i="2"/>
  <c r="F2" i="19"/>
  <c r="G2" i="19" s="1"/>
  <c r="J6" i="17" l="1" a="1"/>
  <c r="J6" i="17" s="1"/>
  <c r="J7" i="17" a="1"/>
  <c r="J7" i="17" s="1"/>
  <c r="J8" i="17" a="1"/>
  <c r="J8" i="17" s="1"/>
  <c r="J9" i="17" a="1"/>
  <c r="J9" i="17" s="1"/>
  <c r="J10" i="17" a="1"/>
  <c r="J10" i="17" s="1"/>
  <c r="J11" i="17" a="1"/>
  <c r="J11" i="17" s="1"/>
  <c r="J12" i="17" a="1"/>
  <c r="J12" i="17" s="1"/>
  <c r="J13" i="17" a="1"/>
  <c r="J13" i="17" s="1"/>
  <c r="J14" i="17" a="1"/>
  <c r="J14" i="17" s="1"/>
  <c r="J15" i="17" a="1"/>
  <c r="J15" i="17" s="1"/>
  <c r="J1" i="17"/>
  <c r="K8" i="17" a="1"/>
  <c r="K8" i="17" s="1"/>
  <c r="K9" i="17" a="1"/>
  <c r="K9" i="17" s="1"/>
  <c r="K10" i="17" a="1"/>
  <c r="K10" i="17" s="1"/>
  <c r="K11" i="17" a="1"/>
  <c r="K11" i="17" s="1"/>
  <c r="K12" i="17" a="1"/>
  <c r="K12" i="17" s="1"/>
  <c r="K13" i="17" a="1"/>
  <c r="K13" i="17" s="1"/>
  <c r="K14" i="17" a="1"/>
  <c r="K14" i="17" s="1"/>
  <c r="K6" i="17" a="1"/>
  <c r="K6" i="17" s="1"/>
  <c r="K7" i="17" a="1"/>
  <c r="K7" i="17" s="1"/>
  <c r="K1" i="17"/>
  <c r="I1" i="17"/>
  <c r="B9" i="1" a="1"/>
  <c r="B9" i="1" s="1"/>
  <c r="C9" i="1" a="1"/>
  <c r="C9" i="1" s="1"/>
  <c r="D9" i="1" a="1"/>
  <c r="D9" i="1" s="1"/>
  <c r="E9" i="1" a="1"/>
  <c r="E9" i="1" s="1"/>
  <c r="F9" i="1" a="1"/>
  <c r="F9" i="1" s="1"/>
  <c r="G9" i="1" a="1"/>
  <c r="G9" i="1" s="1"/>
  <c r="B10" i="1" a="1"/>
  <c r="B10" i="1" s="1"/>
  <c r="C10" i="1" a="1"/>
  <c r="C10" i="1" s="1"/>
  <c r="D10" i="1" a="1"/>
  <c r="D10" i="1" s="1"/>
  <c r="E10" i="1" a="1"/>
  <c r="E10" i="1" s="1"/>
  <c r="F10" i="1" a="1"/>
  <c r="F10" i="1" s="1"/>
  <c r="G10" i="1" a="1"/>
  <c r="G10" i="1" s="1"/>
  <c r="B11" i="1" a="1"/>
  <c r="B11" i="1" s="1"/>
  <c r="C11" i="1" a="1"/>
  <c r="C11" i="1" s="1"/>
  <c r="D11" i="1" a="1"/>
  <c r="D11" i="1" s="1"/>
  <c r="E11" i="1" a="1"/>
  <c r="E11" i="1" s="1"/>
  <c r="F11" i="1" a="1"/>
  <c r="F11" i="1" s="1"/>
  <c r="G11" i="1" a="1"/>
  <c r="G11" i="1" s="1"/>
  <c r="B12" i="1" a="1"/>
  <c r="B12" i="1" s="1"/>
  <c r="C12" i="1" a="1"/>
  <c r="C12" i="1" s="1"/>
  <c r="D12" i="1" a="1"/>
  <c r="D12" i="1" s="1"/>
  <c r="E12" i="1" a="1"/>
  <c r="E12" i="1" s="1"/>
  <c r="F12" i="1" a="1"/>
  <c r="F12" i="1" s="1"/>
  <c r="G12" i="1" a="1"/>
  <c r="G12" i="1" s="1"/>
  <c r="B13" i="1" a="1"/>
  <c r="B13" i="1" s="1"/>
  <c r="C13" i="1" a="1"/>
  <c r="C13" i="1" s="1"/>
  <c r="D13" i="1" a="1"/>
  <c r="D13" i="1" s="1"/>
  <c r="E13" i="1" a="1"/>
  <c r="E13" i="1" s="1"/>
  <c r="F13" i="1" a="1"/>
  <c r="F13" i="1" s="1"/>
  <c r="G13" i="1" a="1"/>
  <c r="G13" i="1" s="1"/>
  <c r="B14" i="1" a="1"/>
  <c r="B14" i="1" s="1"/>
  <c r="C14" i="1" a="1"/>
  <c r="C14" i="1" s="1"/>
  <c r="D14" i="1" a="1"/>
  <c r="D14" i="1" s="1"/>
  <c r="E14" i="1" a="1"/>
  <c r="E14" i="1" s="1"/>
  <c r="F14" i="1" a="1"/>
  <c r="F14" i="1" s="1"/>
  <c r="G14" i="1" a="1"/>
  <c r="G14" i="1" s="1"/>
  <c r="B15" i="1" a="1"/>
  <c r="B15" i="1" s="1"/>
  <c r="C15" i="1" a="1"/>
  <c r="C15" i="1" s="1"/>
  <c r="D15" i="1" a="1"/>
  <c r="D15" i="1" s="1"/>
  <c r="E15" i="1" a="1"/>
  <c r="E15" i="1" s="1"/>
  <c r="F15" i="1" a="1"/>
  <c r="F15" i="1" s="1"/>
  <c r="G15" i="1" a="1"/>
  <c r="G15" i="1" s="1"/>
  <c r="B16" i="1" a="1"/>
  <c r="B16" i="1" s="1"/>
  <c r="C16" i="1" a="1"/>
  <c r="C16" i="1" s="1"/>
  <c r="D16" i="1" a="1"/>
  <c r="D16" i="1" s="1"/>
  <c r="E16" i="1" a="1"/>
  <c r="E16" i="1" s="1"/>
  <c r="F16" i="1" a="1"/>
  <c r="F16" i="1" s="1"/>
  <c r="G16" i="1" a="1"/>
  <c r="G16" i="1" s="1"/>
  <c r="B17" i="1" a="1"/>
  <c r="B17" i="1" s="1"/>
  <c r="C17" i="1" a="1"/>
  <c r="C17" i="1" s="1"/>
  <c r="D17" i="1" a="1"/>
  <c r="D17" i="1" s="1"/>
  <c r="E17" i="1" a="1"/>
  <c r="E17" i="1" s="1"/>
  <c r="F17" i="1" a="1"/>
  <c r="F17" i="1" s="1"/>
  <c r="G17" i="1" a="1"/>
  <c r="G17" i="1" s="1"/>
  <c r="B18" i="1" a="1"/>
  <c r="B18" i="1" s="1"/>
  <c r="C18" i="1" a="1"/>
  <c r="C18" i="1" s="1"/>
  <c r="D18" i="1" a="1"/>
  <c r="D18" i="1" s="1"/>
  <c r="E18" i="1" a="1"/>
  <c r="E18" i="1" s="1"/>
  <c r="F18" i="1" a="1"/>
  <c r="F18" i="1" s="1"/>
  <c r="G18" i="1" a="1"/>
  <c r="G18" i="1" s="1"/>
  <c r="B19" i="1" a="1"/>
  <c r="B19" i="1" s="1"/>
  <c r="C19" i="1" a="1"/>
  <c r="C19" i="1" s="1"/>
  <c r="D19" i="1" a="1"/>
  <c r="D19" i="1" s="1"/>
  <c r="E19" i="1" a="1"/>
  <c r="E19" i="1" s="1"/>
  <c r="F19" i="1" a="1"/>
  <c r="F19" i="1" s="1"/>
  <c r="G19" i="1" a="1"/>
  <c r="G19" i="1" s="1"/>
  <c r="B20" i="1" a="1"/>
  <c r="B20" i="1" s="1"/>
  <c r="C20" i="1" a="1"/>
  <c r="C20" i="1" s="1"/>
  <c r="D20" i="1" a="1"/>
  <c r="D20" i="1" s="1"/>
  <c r="E20" i="1" a="1"/>
  <c r="E20" i="1" s="1"/>
  <c r="F20" i="1" a="1"/>
  <c r="F20" i="1" s="1"/>
  <c r="G20" i="1" a="1"/>
  <c r="G20" i="1" s="1"/>
  <c r="B21" i="1" a="1"/>
  <c r="B21" i="1" s="1"/>
  <c r="C21" i="1" a="1"/>
  <c r="C21" i="1" s="1"/>
  <c r="D21" i="1" a="1"/>
  <c r="D21" i="1" s="1"/>
  <c r="E21" i="1" a="1"/>
  <c r="E21" i="1" s="1"/>
  <c r="F21" i="1" a="1"/>
  <c r="F21" i="1" s="1"/>
  <c r="G21" i="1" a="1"/>
  <c r="G21" i="1" s="1"/>
  <c r="B22" i="1" a="1"/>
  <c r="B22" i="1" s="1"/>
  <c r="C22" i="1" a="1"/>
  <c r="C22" i="1" s="1"/>
  <c r="D22" i="1" a="1"/>
  <c r="D22" i="1" s="1"/>
  <c r="E22" i="1" a="1"/>
  <c r="E22" i="1" s="1"/>
  <c r="F22" i="1" a="1"/>
  <c r="F22" i="1" s="1"/>
  <c r="G22" i="1" a="1"/>
  <c r="G22" i="1" s="1"/>
  <c r="B23" i="1" a="1"/>
  <c r="B23" i="1" s="1"/>
  <c r="C23" i="1" a="1"/>
  <c r="C23" i="1" s="1"/>
  <c r="D23" i="1" a="1"/>
  <c r="D23" i="1" s="1"/>
  <c r="E23" i="1" a="1"/>
  <c r="E23" i="1" s="1"/>
  <c r="F23" i="1" a="1"/>
  <c r="F23" i="1" s="1"/>
  <c r="G23" i="1" a="1"/>
  <c r="G23" i="1" s="1"/>
  <c r="B24" i="1" a="1"/>
  <c r="B24" i="1" s="1"/>
  <c r="C24" i="1" a="1"/>
  <c r="C24" i="1" s="1"/>
  <c r="D24" i="1" a="1"/>
  <c r="D24" i="1" s="1"/>
  <c r="E24" i="1" a="1"/>
  <c r="E24" i="1" s="1"/>
  <c r="F24" i="1" a="1"/>
  <c r="F24" i="1" s="1"/>
  <c r="G24" i="1" a="1"/>
  <c r="G24" i="1" s="1"/>
  <c r="B25" i="1" a="1"/>
  <c r="B25" i="1" s="1"/>
  <c r="C25" i="1" a="1"/>
  <c r="C25" i="1" s="1"/>
  <c r="D25" i="1" a="1"/>
  <c r="D25" i="1" s="1"/>
  <c r="E25" i="1" a="1"/>
  <c r="E25" i="1" s="1"/>
  <c r="F25" i="1" a="1"/>
  <c r="F25" i="1" s="1"/>
  <c r="G25" i="1" a="1"/>
  <c r="G25" i="1" s="1"/>
  <c r="B26" i="1" a="1"/>
  <c r="B26" i="1" s="1"/>
  <c r="C26" i="1" a="1"/>
  <c r="C26" i="1" s="1"/>
  <c r="D26" i="1" a="1"/>
  <c r="D26" i="1" s="1"/>
  <c r="E26" i="1" a="1"/>
  <c r="E26" i="1" s="1"/>
  <c r="F26" i="1" a="1"/>
  <c r="F26" i="1" s="1"/>
  <c r="G26" i="1" a="1"/>
  <c r="G26" i="1" s="1"/>
  <c r="B27" i="1" a="1"/>
  <c r="B27" i="1" s="1"/>
  <c r="C27" i="1" a="1"/>
  <c r="C27" i="1" s="1"/>
  <c r="D27" i="1" a="1"/>
  <c r="D27" i="1" s="1"/>
  <c r="E27" i="1" a="1"/>
  <c r="E27" i="1" s="1"/>
  <c r="F27" i="1" a="1"/>
  <c r="F27" i="1" s="1"/>
  <c r="G27" i="1" a="1"/>
  <c r="G27" i="1" s="1"/>
  <c r="B28" i="1" a="1"/>
  <c r="B28" i="1" s="1"/>
  <c r="C28" i="1" a="1"/>
  <c r="C28" i="1" s="1"/>
  <c r="D28" i="1" a="1"/>
  <c r="D28" i="1" s="1"/>
  <c r="E28" i="1" a="1"/>
  <c r="E28" i="1" s="1"/>
  <c r="F28" i="1" a="1"/>
  <c r="F28" i="1" s="1"/>
  <c r="G28" i="1" a="1"/>
  <c r="G28" i="1" s="1"/>
  <c r="B29" i="1" a="1"/>
  <c r="B29" i="1" s="1"/>
  <c r="C29" i="1" a="1"/>
  <c r="C29" i="1" s="1"/>
  <c r="D29" i="1" a="1"/>
  <c r="D29" i="1" s="1"/>
  <c r="E29" i="1" a="1"/>
  <c r="E29" i="1" s="1"/>
  <c r="F29" i="1" a="1"/>
  <c r="F29" i="1" s="1"/>
  <c r="G29" i="1" a="1"/>
  <c r="G29" i="1" s="1"/>
  <c r="B30" i="1" a="1"/>
  <c r="B30" i="1" s="1"/>
  <c r="C30" i="1" a="1"/>
  <c r="C30" i="1" s="1"/>
  <c r="D30" i="1" a="1"/>
  <c r="D30" i="1" s="1"/>
  <c r="E30" i="1" a="1"/>
  <c r="E30" i="1" s="1"/>
  <c r="F30" i="1" a="1"/>
  <c r="F30" i="1" s="1"/>
  <c r="G30" i="1" a="1"/>
  <c r="G30" i="1" s="1"/>
  <c r="B31" i="1" a="1"/>
  <c r="B31" i="1" s="1"/>
  <c r="C31" i="1" a="1"/>
  <c r="C31" i="1" s="1"/>
  <c r="D31" i="1" a="1"/>
  <c r="D31" i="1" s="1"/>
  <c r="E31" i="1" a="1"/>
  <c r="E31" i="1" s="1"/>
  <c r="F31" i="1" a="1"/>
  <c r="F31" i="1" s="1"/>
  <c r="G31" i="1" a="1"/>
  <c r="G31" i="1" s="1"/>
  <c r="B32" i="1" a="1"/>
  <c r="B32" i="1" s="1"/>
  <c r="C32" i="1" a="1"/>
  <c r="C32" i="1" s="1"/>
  <c r="D32" i="1" a="1"/>
  <c r="D32" i="1" s="1"/>
  <c r="E32" i="1" a="1"/>
  <c r="E32" i="1" s="1"/>
  <c r="F32" i="1" a="1"/>
  <c r="F32" i="1" s="1"/>
  <c r="G32" i="1" a="1"/>
  <c r="G32" i="1" s="1"/>
  <c r="B33" i="1" a="1"/>
  <c r="B33" i="1" s="1"/>
  <c r="C33" i="1" a="1"/>
  <c r="C33" i="1" s="1"/>
  <c r="D33" i="1" a="1"/>
  <c r="D33" i="1" s="1"/>
  <c r="E33" i="1" a="1"/>
  <c r="E33" i="1" s="1"/>
  <c r="F33" i="1" a="1"/>
  <c r="F33" i="1" s="1"/>
  <c r="G33" i="1" a="1"/>
  <c r="G33" i="1" s="1"/>
  <c r="B34" i="1" a="1"/>
  <c r="B34" i="1" s="1"/>
  <c r="C34" i="1" a="1"/>
  <c r="C34" i="1" s="1"/>
  <c r="D34" i="1" a="1"/>
  <c r="D34" i="1" s="1"/>
  <c r="E34" i="1" a="1"/>
  <c r="E34" i="1" s="1"/>
  <c r="F34" i="1" a="1"/>
  <c r="F34" i="1" s="1"/>
  <c r="G34" i="1" a="1"/>
  <c r="G34" i="1" s="1"/>
  <c r="B35" i="1" a="1"/>
  <c r="B35" i="1" s="1"/>
  <c r="C35" i="1" a="1"/>
  <c r="C35" i="1" s="1"/>
  <c r="D35" i="1" a="1"/>
  <c r="D35" i="1" s="1"/>
  <c r="E35" i="1" a="1"/>
  <c r="E35" i="1" s="1"/>
  <c r="F35" i="1" a="1"/>
  <c r="F35" i="1" s="1"/>
  <c r="G35" i="1" a="1"/>
  <c r="G35" i="1" s="1"/>
  <c r="B36" i="1" a="1"/>
  <c r="B36" i="1" s="1"/>
  <c r="C36" i="1" a="1"/>
  <c r="C36" i="1" s="1"/>
  <c r="D36" i="1" a="1"/>
  <c r="D36" i="1" s="1"/>
  <c r="E36" i="1" a="1"/>
  <c r="E36" i="1" s="1"/>
  <c r="F36" i="1" a="1"/>
  <c r="F36" i="1" s="1"/>
  <c r="G36" i="1" a="1"/>
  <c r="G36" i="1" s="1"/>
  <c r="B37" i="1" a="1"/>
  <c r="B37" i="1" s="1"/>
  <c r="C37" i="1" a="1"/>
  <c r="C37" i="1" s="1"/>
  <c r="D37" i="1" a="1"/>
  <c r="D37" i="1" s="1"/>
  <c r="E37" i="1" a="1"/>
  <c r="E37" i="1" s="1"/>
  <c r="F37" i="1" a="1"/>
  <c r="F37" i="1" s="1"/>
  <c r="G37" i="1" a="1"/>
  <c r="G37" i="1" s="1"/>
  <c r="B38" i="1" a="1"/>
  <c r="B38" i="1" s="1"/>
  <c r="C38" i="1" a="1"/>
  <c r="C38" i="1" s="1"/>
  <c r="D38" i="1" a="1"/>
  <c r="D38" i="1" s="1"/>
  <c r="E38" i="1" a="1"/>
  <c r="E38" i="1" s="1"/>
  <c r="F38" i="1" a="1"/>
  <c r="F38" i="1" s="1"/>
  <c r="G38" i="1" a="1"/>
  <c r="G38" i="1" s="1"/>
  <c r="B39" i="1" a="1"/>
  <c r="B39" i="1" s="1"/>
  <c r="C39" i="1" a="1"/>
  <c r="C39" i="1" s="1"/>
  <c r="D39" i="1" a="1"/>
  <c r="D39" i="1" s="1"/>
  <c r="E39" i="1" a="1"/>
  <c r="E39" i="1" s="1"/>
  <c r="F39" i="1" a="1"/>
  <c r="F39" i="1" s="1"/>
  <c r="G39" i="1" a="1"/>
  <c r="G39" i="1" s="1"/>
  <c r="B40" i="1" a="1"/>
  <c r="B40" i="1" s="1"/>
  <c r="C40" i="1" a="1"/>
  <c r="C40" i="1" s="1"/>
  <c r="D40" i="1" a="1"/>
  <c r="D40" i="1" s="1"/>
  <c r="E40" i="1" a="1"/>
  <c r="E40" i="1" s="1"/>
  <c r="F40" i="1" a="1"/>
  <c r="F40" i="1" s="1"/>
  <c r="G40" i="1" a="1"/>
  <c r="G40" i="1" s="1"/>
  <c r="B41" i="1" a="1"/>
  <c r="B41" i="1" s="1"/>
  <c r="C41" i="1" a="1"/>
  <c r="C41" i="1" s="1"/>
  <c r="D41" i="1" a="1"/>
  <c r="D41" i="1" s="1"/>
  <c r="E41" i="1" a="1"/>
  <c r="E41" i="1" s="1"/>
  <c r="F41" i="1" a="1"/>
  <c r="F41" i="1" s="1"/>
  <c r="G41" i="1" a="1"/>
  <c r="G41" i="1" s="1"/>
  <c r="B42" i="1" a="1"/>
  <c r="B42" i="1" s="1"/>
  <c r="C42" i="1" a="1"/>
  <c r="C42" i="1" s="1"/>
  <c r="D42" i="1" a="1"/>
  <c r="D42" i="1" s="1"/>
  <c r="E42" i="1" a="1"/>
  <c r="E42" i="1" s="1"/>
  <c r="F42" i="1" a="1"/>
  <c r="F42" i="1" s="1"/>
  <c r="G42" i="1" a="1"/>
  <c r="G42" i="1" s="1"/>
  <c r="B43" i="1" a="1"/>
  <c r="B43" i="1" s="1"/>
  <c r="C43" i="1" a="1"/>
  <c r="C43" i="1" s="1"/>
  <c r="D43" i="1" a="1"/>
  <c r="D43" i="1" s="1"/>
  <c r="E43" i="1" a="1"/>
  <c r="E43" i="1" s="1"/>
  <c r="F43" i="1" a="1"/>
  <c r="F43" i="1" s="1"/>
  <c r="G43" i="1" a="1"/>
  <c r="G43" i="1" s="1"/>
  <c r="B44" i="1" a="1"/>
  <c r="B44" i="1" s="1"/>
  <c r="C44" i="1" a="1"/>
  <c r="C44" i="1" s="1"/>
  <c r="D44" i="1" a="1"/>
  <c r="D44" i="1" s="1"/>
  <c r="E44" i="1" a="1"/>
  <c r="E44" i="1" s="1"/>
  <c r="F44" i="1" a="1"/>
  <c r="F44" i="1" s="1"/>
  <c r="G44" i="1" a="1"/>
  <c r="G44" i="1" s="1"/>
  <c r="B45" i="1" a="1"/>
  <c r="B45" i="1" s="1"/>
  <c r="C45" i="1" a="1"/>
  <c r="C45" i="1" s="1"/>
  <c r="D45" i="1" a="1"/>
  <c r="D45" i="1" s="1"/>
  <c r="E45" i="1" a="1"/>
  <c r="E45" i="1" s="1"/>
  <c r="F45" i="1" a="1"/>
  <c r="F45" i="1" s="1"/>
  <c r="G45" i="1" a="1"/>
  <c r="G45" i="1" s="1"/>
  <c r="B46" i="1" a="1"/>
  <c r="B46" i="1" s="1"/>
  <c r="C46" i="1" a="1"/>
  <c r="C46" i="1" s="1"/>
  <c r="D46" i="1" a="1"/>
  <c r="D46" i="1" s="1"/>
  <c r="E46" i="1" a="1"/>
  <c r="E46" i="1" s="1"/>
  <c r="F46" i="1" a="1"/>
  <c r="F46" i="1" s="1"/>
  <c r="G46" i="1" a="1"/>
  <c r="G46" i="1" s="1"/>
  <c r="B47" i="1" a="1"/>
  <c r="B47" i="1" s="1"/>
  <c r="C47" i="1" a="1"/>
  <c r="C47" i="1" s="1"/>
  <c r="D47" i="1" a="1"/>
  <c r="D47" i="1" s="1"/>
  <c r="E47" i="1" a="1"/>
  <c r="E47" i="1" s="1"/>
  <c r="F47" i="1" a="1"/>
  <c r="F47" i="1" s="1"/>
  <c r="G47" i="1" a="1"/>
  <c r="G47" i="1" s="1"/>
  <c r="B48" i="1" a="1"/>
  <c r="B48" i="1" s="1"/>
  <c r="C48" i="1" a="1"/>
  <c r="C48" i="1" s="1"/>
  <c r="D48" i="1" a="1"/>
  <c r="D48" i="1" s="1"/>
  <c r="E48" i="1" a="1"/>
  <c r="E48" i="1" s="1"/>
  <c r="F48" i="1" a="1"/>
  <c r="F48" i="1" s="1"/>
  <c r="G48" i="1" a="1"/>
  <c r="G48" i="1" s="1"/>
  <c r="B49" i="1" a="1"/>
  <c r="B49" i="1" s="1"/>
  <c r="C49" i="1" a="1"/>
  <c r="C49" i="1" s="1"/>
  <c r="D49" i="1" a="1"/>
  <c r="D49" i="1" s="1"/>
  <c r="E49" i="1" a="1"/>
  <c r="E49" i="1" s="1"/>
  <c r="F49" i="1" a="1"/>
  <c r="F49" i="1" s="1"/>
  <c r="G49" i="1" a="1"/>
  <c r="G49" i="1" s="1"/>
  <c r="B50" i="1" a="1"/>
  <c r="B50" i="1" s="1"/>
  <c r="C50" i="1" a="1"/>
  <c r="C50" i="1" s="1"/>
  <c r="D50" i="1" a="1"/>
  <c r="D50" i="1" s="1"/>
  <c r="E50" i="1" a="1"/>
  <c r="E50" i="1" s="1"/>
  <c r="F50" i="1" a="1"/>
  <c r="F50" i="1" s="1"/>
  <c r="G50" i="1" a="1"/>
  <c r="G50" i="1" s="1"/>
  <c r="B51" i="1" a="1"/>
  <c r="B51" i="1" s="1"/>
  <c r="C51" i="1" a="1"/>
  <c r="C51" i="1" s="1"/>
  <c r="D51" i="1" a="1"/>
  <c r="D51" i="1" s="1"/>
  <c r="E51" i="1" a="1"/>
  <c r="E51" i="1" s="1"/>
  <c r="F51" i="1" a="1"/>
  <c r="F51" i="1" s="1"/>
  <c r="G51" i="1" a="1"/>
  <c r="G51" i="1" s="1"/>
  <c r="G8" i="1" a="1"/>
  <c r="G8" i="1" s="1"/>
  <c r="F8" i="1" a="1"/>
  <c r="F8" i="1" s="1"/>
  <c r="E8" i="1" a="1"/>
  <c r="E8" i="1" s="1"/>
  <c r="D8" i="1" a="1"/>
  <c r="D8" i="1" s="1"/>
  <c r="C8" i="1" a="1"/>
  <c r="C8" i="1" s="1"/>
  <c r="B8" i="1" a="1"/>
  <c r="B8" i="1" s="1"/>
  <c r="O6" i="2" l="1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D1" i="5" a="1"/>
  <c r="BD1" i="5" s="1"/>
  <c r="BE1" i="5" a="1"/>
  <c r="BE1" i="5" s="1"/>
  <c r="BF1" i="5" a="1"/>
  <c r="BF1" i="5" s="1"/>
  <c r="BG1" i="5" a="1"/>
  <c r="BG1" i="5" s="1"/>
  <c r="BH1" i="5" a="1"/>
  <c r="BH1" i="5" s="1"/>
  <c r="BI1" i="5" a="1"/>
  <c r="BI1" i="5" s="1"/>
  <c r="BJ1" i="5" a="1"/>
  <c r="BJ1" i="5" s="1"/>
  <c r="AW1" i="5" a="1"/>
  <c r="AW1" i="5" s="1"/>
  <c r="AX1" i="5" a="1"/>
  <c r="AX1" i="5" s="1"/>
  <c r="AY1" i="5" a="1"/>
  <c r="AY1" i="5" s="1"/>
  <c r="AZ1" i="5" a="1"/>
  <c r="AZ1" i="5" s="1"/>
  <c r="BA1" i="5" a="1"/>
  <c r="BA1" i="5" s="1"/>
  <c r="BB1" i="5" a="1"/>
  <c r="BB1" i="5" s="1"/>
  <c r="BC1" i="5" a="1"/>
  <c r="BC1" i="5" s="1"/>
  <c r="A2" i="10" a="1"/>
  <c r="A2" i="10" s="1"/>
  <c r="D13" i="2"/>
  <c r="D14" i="2"/>
  <c r="D15" i="2"/>
  <c r="G9" i="2"/>
  <c r="H9" i="2"/>
  <c r="G10" i="2"/>
  <c r="H10" i="2"/>
  <c r="G11" i="2"/>
  <c r="H11" i="2"/>
  <c r="G12" i="2"/>
  <c r="H12" i="2"/>
  <c r="G13" i="2"/>
  <c r="H13" i="2"/>
  <c r="G14" i="2"/>
  <c r="H14" i="2"/>
  <c r="G15" i="2"/>
  <c r="H15" i="2"/>
  <c r="G16" i="2"/>
  <c r="H16" i="2"/>
  <c r="G17" i="2"/>
  <c r="H17" i="2"/>
  <c r="G18" i="2"/>
  <c r="H18" i="2"/>
  <c r="G19" i="2"/>
  <c r="H19" i="2"/>
  <c r="G20" i="2"/>
  <c r="H20" i="2"/>
  <c r="G21" i="2"/>
  <c r="H21" i="2"/>
  <c r="G22" i="2"/>
  <c r="H22" i="2"/>
  <c r="G23" i="2"/>
  <c r="H23" i="2"/>
  <c r="G24" i="2"/>
  <c r="H24" i="2"/>
  <c r="G25" i="2"/>
  <c r="H25" i="2"/>
  <c r="G26" i="2"/>
  <c r="H26" i="2"/>
  <c r="G27" i="2"/>
  <c r="H27" i="2"/>
  <c r="G28" i="2"/>
  <c r="H28" i="2"/>
  <c r="G29" i="2"/>
  <c r="H29" i="2"/>
  <c r="G30" i="2"/>
  <c r="H30" i="2"/>
  <c r="G31" i="2"/>
  <c r="H31" i="2"/>
  <c r="G32" i="2"/>
  <c r="H32" i="2"/>
  <c r="G33" i="2"/>
  <c r="H33" i="2"/>
  <c r="G34" i="2"/>
  <c r="H34" i="2"/>
  <c r="G35" i="2"/>
  <c r="H35" i="2"/>
  <c r="G36" i="2"/>
  <c r="H36" i="2"/>
  <c r="G37" i="2"/>
  <c r="H37" i="2"/>
  <c r="G38" i="2"/>
  <c r="H38" i="2"/>
  <c r="G39" i="2"/>
  <c r="H39" i="2"/>
  <c r="G40" i="2"/>
  <c r="H40" i="2"/>
  <c r="G41" i="2"/>
  <c r="H41" i="2"/>
  <c r="G42" i="2"/>
  <c r="H42" i="2"/>
  <c r="G43" i="2"/>
  <c r="H43" i="2"/>
  <c r="G44" i="2"/>
  <c r="H44" i="2"/>
  <c r="G45" i="2"/>
  <c r="H45" i="2"/>
  <c r="G46" i="2"/>
  <c r="H46" i="2"/>
  <c r="G47" i="2"/>
  <c r="H47" i="2"/>
  <c r="G48" i="2"/>
  <c r="H48" i="2"/>
  <c r="G49" i="2"/>
  <c r="H49" i="2"/>
  <c r="G50" i="2"/>
  <c r="H50" i="2"/>
  <c r="G51" i="2"/>
  <c r="H51" i="2"/>
  <c r="G52" i="2"/>
  <c r="H52" i="2"/>
  <c r="G53" i="2"/>
  <c r="H53" i="2"/>
  <c r="G54" i="2"/>
  <c r="H54" i="2"/>
  <c r="G55" i="2"/>
  <c r="H55" i="2"/>
  <c r="G56" i="2"/>
  <c r="H56" i="2"/>
  <c r="G57" i="2"/>
  <c r="H57" i="2"/>
  <c r="G58" i="2"/>
  <c r="H58" i="2"/>
  <c r="G59" i="2"/>
  <c r="H59" i="2"/>
  <c r="G60" i="2"/>
  <c r="H60" i="2"/>
  <c r="G61" i="2"/>
  <c r="H61" i="2"/>
  <c r="G62" i="2"/>
  <c r="H62" i="2"/>
  <c r="G63" i="2"/>
  <c r="H63" i="2"/>
  <c r="G64" i="2"/>
  <c r="H64" i="2"/>
  <c r="G65" i="2"/>
  <c r="H65" i="2"/>
  <c r="G66" i="2"/>
  <c r="H66" i="2"/>
  <c r="G67" i="2"/>
  <c r="H67" i="2"/>
  <c r="G68" i="2"/>
  <c r="H68" i="2"/>
  <c r="G69" i="2"/>
  <c r="H69" i="2"/>
  <c r="G70" i="2"/>
  <c r="H70" i="2"/>
  <c r="G71" i="2"/>
  <c r="H71" i="2"/>
  <c r="G72" i="2"/>
  <c r="H72" i="2"/>
  <c r="G73" i="2"/>
  <c r="H73" i="2"/>
  <c r="G74" i="2"/>
  <c r="H74" i="2"/>
  <c r="G75" i="2"/>
  <c r="H75" i="2"/>
  <c r="G76" i="2"/>
  <c r="H76" i="2"/>
  <c r="G77" i="2"/>
  <c r="H77" i="2"/>
  <c r="G78" i="2"/>
  <c r="H78" i="2"/>
  <c r="G79" i="2"/>
  <c r="H79" i="2"/>
  <c r="G80" i="2"/>
  <c r="H80" i="2"/>
  <c r="G81" i="2"/>
  <c r="H81" i="2"/>
  <c r="G82" i="2"/>
  <c r="H82" i="2"/>
  <c r="G83" i="2"/>
  <c r="H83" i="2"/>
  <c r="G84" i="2"/>
  <c r="H84" i="2"/>
  <c r="G85" i="2"/>
  <c r="H85" i="2"/>
  <c r="G86" i="2"/>
  <c r="H86" i="2"/>
  <c r="G87" i="2"/>
  <c r="H87" i="2"/>
  <c r="G88" i="2"/>
  <c r="H88" i="2"/>
  <c r="G89" i="2"/>
  <c r="H89" i="2"/>
  <c r="G90" i="2"/>
  <c r="H90" i="2"/>
  <c r="G91" i="2"/>
  <c r="H91" i="2"/>
  <c r="G92" i="2"/>
  <c r="H92" i="2"/>
  <c r="G93" i="2"/>
  <c r="H93" i="2"/>
  <c r="G94" i="2"/>
  <c r="H94" i="2"/>
  <c r="G95" i="2"/>
  <c r="H95" i="2"/>
  <c r="G96" i="2"/>
  <c r="H96" i="2"/>
  <c r="G97" i="2"/>
  <c r="H97" i="2"/>
  <c r="G98" i="2"/>
  <c r="H98" i="2"/>
  <c r="G99" i="2"/>
  <c r="H99" i="2"/>
  <c r="G100" i="2"/>
  <c r="H100" i="2"/>
  <c r="G101" i="2"/>
  <c r="H101" i="2"/>
  <c r="G102" i="2"/>
  <c r="H102" i="2"/>
  <c r="G103" i="2"/>
  <c r="H103" i="2"/>
  <c r="G104" i="2"/>
  <c r="H104" i="2"/>
  <c r="G105" i="2"/>
  <c r="H105" i="2"/>
  <c r="G106" i="2"/>
  <c r="H106" i="2"/>
  <c r="H8" i="2"/>
  <c r="G8" i="2"/>
  <c r="D9" i="2"/>
  <c r="D10" i="2"/>
  <c r="D11" i="2"/>
  <c r="D12" i="2"/>
  <c r="D16" i="2"/>
  <c r="D17" i="2"/>
  <c r="A2" i="13" s="1" a="1"/>
  <c r="A2" i="13" s="1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8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9" i="2"/>
  <c r="B10" i="2"/>
  <c r="B11" i="2"/>
  <c r="B12" i="2"/>
  <c r="B8" i="2"/>
  <c r="BD5" i="5" l="1"/>
  <c r="BD4" i="5"/>
  <c r="BD3" i="5"/>
  <c r="BD2" i="5"/>
  <c r="BJ4" i="5"/>
  <c r="BJ5" i="5"/>
  <c r="BJ2" i="5"/>
  <c r="BJ3" i="5"/>
  <c r="BC4" i="5"/>
  <c r="BC5" i="5"/>
  <c r="BC3" i="5"/>
  <c r="BC2" i="5"/>
  <c r="BI5" i="5"/>
  <c r="BI3" i="5"/>
  <c r="BI2" i="5"/>
  <c r="BI4" i="5"/>
  <c r="BB4" i="5"/>
  <c r="BB2" i="5"/>
  <c r="BB5" i="5"/>
  <c r="BB3" i="5"/>
  <c r="BH5" i="5"/>
  <c r="BH3" i="5"/>
  <c r="BH2" i="5"/>
  <c r="BH4" i="5"/>
  <c r="BA5" i="5"/>
  <c r="BA3" i="5"/>
  <c r="BA2" i="5"/>
  <c r="BA4" i="5"/>
  <c r="BG5" i="5"/>
  <c r="BG4" i="5"/>
  <c r="BG3" i="5"/>
  <c r="BG2" i="5"/>
  <c r="AZ5" i="5"/>
  <c r="AZ3" i="5"/>
  <c r="AZ4" i="5"/>
  <c r="BF3" i="5"/>
  <c r="BF2" i="5"/>
  <c r="BF4" i="5"/>
  <c r="BF5" i="5"/>
  <c r="BE3" i="5"/>
  <c r="BE2" i="5"/>
  <c r="BE4" i="5"/>
  <c r="BE5" i="5"/>
  <c r="BC6" i="5"/>
  <c r="AY3" i="5"/>
  <c r="AY5" i="5"/>
  <c r="AY4" i="5"/>
  <c r="AY6" i="5"/>
  <c r="BE6" i="5"/>
  <c r="BE8" i="5"/>
  <c r="BE10" i="5"/>
  <c r="BE12" i="5"/>
  <c r="BE9" i="5"/>
  <c r="BE13" i="5"/>
  <c r="BE16" i="5"/>
  <c r="BE24" i="5"/>
  <c r="BE26" i="5"/>
  <c r="BE7" i="5"/>
  <c r="BE15" i="5"/>
  <c r="BE18" i="5"/>
  <c r="BE23" i="5"/>
  <c r="BE25" i="5"/>
  <c r="BE11" i="5"/>
  <c r="BE14" i="5"/>
  <c r="BE17" i="5"/>
  <c r="BE20" i="5"/>
  <c r="BE22" i="5"/>
  <c r="BE27" i="5"/>
  <c r="BE29" i="5"/>
  <c r="BE21" i="5"/>
  <c r="BE31" i="5"/>
  <c r="BE19" i="5"/>
  <c r="BE33" i="5"/>
  <c r="BE30" i="5"/>
  <c r="BE35" i="5"/>
  <c r="BE37" i="5"/>
  <c r="BE39" i="5"/>
  <c r="BE41" i="5"/>
  <c r="BE43" i="5"/>
  <c r="BE45" i="5"/>
  <c r="BE47" i="5"/>
  <c r="BE49" i="5"/>
  <c r="BE32" i="5"/>
  <c r="BE34" i="5"/>
  <c r="BE42" i="5"/>
  <c r="BE44" i="5"/>
  <c r="BE38" i="5"/>
  <c r="BE40" i="5"/>
  <c r="BE36" i="5"/>
  <c r="BE28" i="5"/>
  <c r="BE48" i="5"/>
  <c r="BE52" i="5"/>
  <c r="BE61" i="5"/>
  <c r="BE64" i="5"/>
  <c r="BE53" i="5"/>
  <c r="BE57" i="5"/>
  <c r="BE51" i="5"/>
  <c r="BE56" i="5"/>
  <c r="BE46" i="5"/>
  <c r="BE50" i="5"/>
  <c r="BE60" i="5"/>
  <c r="BE62" i="5"/>
  <c r="BE63" i="5"/>
  <c r="BE65" i="5"/>
  <c r="BE67" i="5"/>
  <c r="BE69" i="5"/>
  <c r="BE71" i="5"/>
  <c r="BE73" i="5"/>
  <c r="BE75" i="5"/>
  <c r="BE55" i="5"/>
  <c r="BE59" i="5"/>
  <c r="BE58" i="5"/>
  <c r="BE78" i="5"/>
  <c r="BE80" i="5"/>
  <c r="BE54" i="5"/>
  <c r="BE68" i="5"/>
  <c r="BE72" i="5"/>
  <c r="BE77" i="5"/>
  <c r="BE79" i="5"/>
  <c r="BE81" i="5"/>
  <c r="BE83" i="5"/>
  <c r="BE76" i="5"/>
  <c r="BE66" i="5"/>
  <c r="BE98" i="5"/>
  <c r="BE92" i="5"/>
  <c r="BE94" i="5"/>
  <c r="BE96" i="5"/>
  <c r="BE100" i="5"/>
  <c r="BE85" i="5"/>
  <c r="BE86" i="5"/>
  <c r="BE88" i="5"/>
  <c r="BE90" i="5"/>
  <c r="BE91" i="5"/>
  <c r="BE93" i="5"/>
  <c r="BE95" i="5"/>
  <c r="BE82" i="5"/>
  <c r="BE70" i="5"/>
  <c r="BE89" i="5"/>
  <c r="BE99" i="5"/>
  <c r="BE97" i="5"/>
  <c r="BE74" i="5"/>
  <c r="BE84" i="5"/>
  <c r="BE87" i="5"/>
  <c r="AZ6" i="5"/>
  <c r="AZ2" i="5"/>
  <c r="BF6" i="5"/>
  <c r="BF8" i="5"/>
  <c r="BF11" i="5"/>
  <c r="BF15" i="5"/>
  <c r="BF17" i="5"/>
  <c r="BF19" i="5"/>
  <c r="BF7" i="5"/>
  <c r="BF10" i="5"/>
  <c r="BF9" i="5"/>
  <c r="BF13" i="5"/>
  <c r="BF21" i="5"/>
  <c r="BF12" i="5"/>
  <c r="BF18" i="5"/>
  <c r="BF23" i="5"/>
  <c r="BF25" i="5"/>
  <c r="BF27" i="5"/>
  <c r="BF29" i="5"/>
  <c r="BF14" i="5"/>
  <c r="BF30" i="5"/>
  <c r="BF20" i="5"/>
  <c r="BF26" i="5"/>
  <c r="BF36" i="5"/>
  <c r="BF38" i="5"/>
  <c r="BF31" i="5"/>
  <c r="BF33" i="5"/>
  <c r="BF22" i="5"/>
  <c r="BF16" i="5"/>
  <c r="BF35" i="5"/>
  <c r="BF37" i="5"/>
  <c r="BF39" i="5"/>
  <c r="BF41" i="5"/>
  <c r="BF43" i="5"/>
  <c r="BF45" i="5"/>
  <c r="BF47" i="5"/>
  <c r="BF49" i="5"/>
  <c r="BF34" i="5"/>
  <c r="BF42" i="5"/>
  <c r="BF51" i="5"/>
  <c r="BF53" i="5"/>
  <c r="BF55" i="5"/>
  <c r="BF57" i="5"/>
  <c r="BF59" i="5"/>
  <c r="BF61" i="5"/>
  <c r="BF44" i="5"/>
  <c r="BF40" i="5"/>
  <c r="BF46" i="5"/>
  <c r="BF50" i="5"/>
  <c r="BF52" i="5"/>
  <c r="BF54" i="5"/>
  <c r="BF56" i="5"/>
  <c r="BF58" i="5"/>
  <c r="BF60" i="5"/>
  <c r="BF32" i="5"/>
  <c r="BF64" i="5"/>
  <c r="BF66" i="5"/>
  <c r="BF68" i="5"/>
  <c r="BF70" i="5"/>
  <c r="BF72" i="5"/>
  <c r="BF74" i="5"/>
  <c r="BF76" i="5"/>
  <c r="BF24" i="5"/>
  <c r="BF28" i="5"/>
  <c r="BF48" i="5"/>
  <c r="BF62" i="5"/>
  <c r="BF63" i="5"/>
  <c r="BF65" i="5"/>
  <c r="BF67" i="5"/>
  <c r="BF69" i="5"/>
  <c r="BF71" i="5"/>
  <c r="BF73" i="5"/>
  <c r="BF75" i="5"/>
  <c r="BF78" i="5"/>
  <c r="BF80" i="5"/>
  <c r="BF77" i="5"/>
  <c r="BF79" i="5"/>
  <c r="BF81" i="5"/>
  <c r="BF83" i="5"/>
  <c r="BF89" i="5"/>
  <c r="BF92" i="5"/>
  <c r="BF94" i="5"/>
  <c r="BF96" i="5"/>
  <c r="BF98" i="5"/>
  <c r="BF100" i="5"/>
  <c r="BF86" i="5"/>
  <c r="BF85" i="5"/>
  <c r="BF88" i="5"/>
  <c r="BF90" i="5"/>
  <c r="BF93" i="5"/>
  <c r="BF97" i="5"/>
  <c r="BF82" i="5"/>
  <c r="BF91" i="5"/>
  <c r="BF99" i="5"/>
  <c r="BF87" i="5"/>
  <c r="BF84" i="5"/>
  <c r="BF95" i="5"/>
  <c r="BD7" i="5"/>
  <c r="BD9" i="5"/>
  <c r="BD11" i="5"/>
  <c r="BD13" i="5"/>
  <c r="BD8" i="5"/>
  <c r="BD12" i="5"/>
  <c r="BD14" i="5"/>
  <c r="BD16" i="5"/>
  <c r="BD18" i="5"/>
  <c r="BD20" i="5"/>
  <c r="BD22" i="5"/>
  <c r="BD6" i="5"/>
  <c r="BD19" i="5"/>
  <c r="BD25" i="5"/>
  <c r="BD27" i="5"/>
  <c r="BD29" i="5"/>
  <c r="BD17" i="5"/>
  <c r="BD10" i="5"/>
  <c r="BD21" i="5"/>
  <c r="BD23" i="5"/>
  <c r="BD26" i="5"/>
  <c r="BD33" i="5"/>
  <c r="BD30" i="5"/>
  <c r="BD35" i="5"/>
  <c r="BD37" i="5"/>
  <c r="BD32" i="5"/>
  <c r="BD15" i="5"/>
  <c r="BD28" i="5"/>
  <c r="BD34" i="5"/>
  <c r="BD31" i="5"/>
  <c r="BD44" i="5"/>
  <c r="BD47" i="5"/>
  <c r="BD38" i="5"/>
  <c r="BD41" i="5"/>
  <c r="BD40" i="5"/>
  <c r="BD46" i="5"/>
  <c r="BD49" i="5"/>
  <c r="BD50" i="5"/>
  <c r="BD52" i="5"/>
  <c r="BD54" i="5"/>
  <c r="BD56" i="5"/>
  <c r="BD58" i="5"/>
  <c r="BD60" i="5"/>
  <c r="BD62" i="5"/>
  <c r="BD36" i="5"/>
  <c r="BD48" i="5"/>
  <c r="BD24" i="5"/>
  <c r="BD39" i="5"/>
  <c r="BD43" i="5"/>
  <c r="BD53" i="5"/>
  <c r="BD57" i="5"/>
  <c r="BD51" i="5"/>
  <c r="BD42" i="5"/>
  <c r="BD45" i="5"/>
  <c r="BD63" i="5"/>
  <c r="BD65" i="5"/>
  <c r="BD67" i="5"/>
  <c r="BD69" i="5"/>
  <c r="BD71" i="5"/>
  <c r="BD73" i="5"/>
  <c r="BD55" i="5"/>
  <c r="BD59" i="5"/>
  <c r="BD68" i="5"/>
  <c r="BD72" i="5"/>
  <c r="BD61" i="5"/>
  <c r="BD64" i="5"/>
  <c r="BD77" i="5"/>
  <c r="BD79" i="5"/>
  <c r="BD81" i="5"/>
  <c r="BD83" i="5"/>
  <c r="BD85" i="5"/>
  <c r="BD76" i="5"/>
  <c r="BD66" i="5"/>
  <c r="BD70" i="5"/>
  <c r="BD74" i="5"/>
  <c r="BD92" i="5"/>
  <c r="BD94" i="5"/>
  <c r="BD96" i="5"/>
  <c r="BD98" i="5"/>
  <c r="BD100" i="5"/>
  <c r="BD86" i="5"/>
  <c r="BD75" i="5"/>
  <c r="BD88" i="5"/>
  <c r="BD80" i="5"/>
  <c r="BD78" i="5"/>
  <c r="BD91" i="5"/>
  <c r="BD93" i="5"/>
  <c r="BD95" i="5"/>
  <c r="BD97" i="5"/>
  <c r="BD99" i="5"/>
  <c r="BD84" i="5"/>
  <c r="BD82" i="5"/>
  <c r="BD87" i="5"/>
  <c r="BD89" i="5"/>
  <c r="BD90" i="5"/>
  <c r="BJ7" i="5"/>
  <c r="BJ6" i="5"/>
  <c r="BJ9" i="5"/>
  <c r="BJ8" i="5"/>
  <c r="BJ12" i="5"/>
  <c r="BJ14" i="5"/>
  <c r="BJ16" i="5"/>
  <c r="BJ18" i="5"/>
  <c r="BJ11" i="5"/>
  <c r="BJ22" i="5"/>
  <c r="BJ13" i="5"/>
  <c r="BJ19" i="5"/>
  <c r="BJ24" i="5"/>
  <c r="BJ26" i="5"/>
  <c r="BJ28" i="5"/>
  <c r="BJ30" i="5"/>
  <c r="BJ15" i="5"/>
  <c r="BJ21" i="5"/>
  <c r="BJ10" i="5"/>
  <c r="BJ23" i="5"/>
  <c r="BJ35" i="5"/>
  <c r="BJ37" i="5"/>
  <c r="BJ20" i="5"/>
  <c r="BJ25" i="5"/>
  <c r="BJ32" i="5"/>
  <c r="BJ34" i="5"/>
  <c r="BJ17" i="5"/>
  <c r="BJ29" i="5"/>
  <c r="BJ36" i="5"/>
  <c r="BJ38" i="5"/>
  <c r="BJ40" i="5"/>
  <c r="BJ42" i="5"/>
  <c r="BJ44" i="5"/>
  <c r="BJ46" i="5"/>
  <c r="BJ48" i="5"/>
  <c r="BJ31" i="5"/>
  <c r="BJ39" i="5"/>
  <c r="BJ43" i="5"/>
  <c r="BJ50" i="5"/>
  <c r="BJ52" i="5"/>
  <c r="BJ54" i="5"/>
  <c r="BJ56" i="5"/>
  <c r="BJ58" i="5"/>
  <c r="BJ60" i="5"/>
  <c r="BJ62" i="5"/>
  <c r="BJ45" i="5"/>
  <c r="BJ33" i="5"/>
  <c r="BJ41" i="5"/>
  <c r="BJ47" i="5"/>
  <c r="BJ51" i="5"/>
  <c r="BJ53" i="5"/>
  <c r="BJ55" i="5"/>
  <c r="BJ57" i="5"/>
  <c r="BJ59" i="5"/>
  <c r="BJ63" i="5"/>
  <c r="BJ65" i="5"/>
  <c r="BJ67" i="5"/>
  <c r="BJ69" i="5"/>
  <c r="BJ71" i="5"/>
  <c r="BJ73" i="5"/>
  <c r="BJ75" i="5"/>
  <c r="BJ61" i="5"/>
  <c r="BJ27" i="5"/>
  <c r="BJ64" i="5"/>
  <c r="BJ66" i="5"/>
  <c r="BJ68" i="5"/>
  <c r="BJ70" i="5"/>
  <c r="BJ72" i="5"/>
  <c r="BJ74" i="5"/>
  <c r="BJ76" i="5"/>
  <c r="BJ77" i="5"/>
  <c r="BJ79" i="5"/>
  <c r="BJ49" i="5"/>
  <c r="BJ78" i="5"/>
  <c r="BJ80" i="5"/>
  <c r="BJ82" i="5"/>
  <c r="BJ85" i="5"/>
  <c r="BJ90" i="5"/>
  <c r="BJ87" i="5"/>
  <c r="BJ84" i="5"/>
  <c r="BJ81" i="5"/>
  <c r="BJ91" i="5"/>
  <c r="BJ93" i="5"/>
  <c r="BJ95" i="5"/>
  <c r="BJ97" i="5"/>
  <c r="BJ99" i="5"/>
  <c r="BJ89" i="5"/>
  <c r="BJ94" i="5"/>
  <c r="BJ98" i="5"/>
  <c r="BJ86" i="5"/>
  <c r="BJ92" i="5"/>
  <c r="BJ83" i="5"/>
  <c r="BJ96" i="5"/>
  <c r="BJ100" i="5"/>
  <c r="BJ88" i="5"/>
  <c r="BI7" i="5"/>
  <c r="BI9" i="5"/>
  <c r="BI11" i="5"/>
  <c r="BI13" i="5"/>
  <c r="BI8" i="5"/>
  <c r="BI10" i="5"/>
  <c r="BI14" i="5"/>
  <c r="BI17" i="5"/>
  <c r="BI25" i="5"/>
  <c r="BI16" i="5"/>
  <c r="BI19" i="5"/>
  <c r="BI6" i="5"/>
  <c r="BI24" i="5"/>
  <c r="BI26" i="5"/>
  <c r="BI12" i="5"/>
  <c r="BI15" i="5"/>
  <c r="BI21" i="5"/>
  <c r="BI18" i="5"/>
  <c r="BI23" i="5"/>
  <c r="BI20" i="5"/>
  <c r="BI22" i="5"/>
  <c r="BI28" i="5"/>
  <c r="BI30" i="5"/>
  <c r="BI32" i="5"/>
  <c r="BI34" i="5"/>
  <c r="BI29" i="5"/>
  <c r="BI36" i="5"/>
  <c r="BI38" i="5"/>
  <c r="BI40" i="5"/>
  <c r="BI42" i="5"/>
  <c r="BI44" i="5"/>
  <c r="BI46" i="5"/>
  <c r="BI48" i="5"/>
  <c r="BI31" i="5"/>
  <c r="BI33" i="5"/>
  <c r="BI39" i="5"/>
  <c r="BI43" i="5"/>
  <c r="BI45" i="5"/>
  <c r="BI41" i="5"/>
  <c r="BI37" i="5"/>
  <c r="BI27" i="5"/>
  <c r="BI49" i="5"/>
  <c r="BI62" i="5"/>
  <c r="BI63" i="5"/>
  <c r="BI65" i="5"/>
  <c r="BI54" i="5"/>
  <c r="BI58" i="5"/>
  <c r="BI52" i="5"/>
  <c r="BI53" i="5"/>
  <c r="BI57" i="5"/>
  <c r="BI61" i="5"/>
  <c r="BI51" i="5"/>
  <c r="BI64" i="5"/>
  <c r="BI66" i="5"/>
  <c r="BI68" i="5"/>
  <c r="BI70" i="5"/>
  <c r="BI72" i="5"/>
  <c r="BI74" i="5"/>
  <c r="BI76" i="5"/>
  <c r="BI47" i="5"/>
  <c r="BI50" i="5"/>
  <c r="BI56" i="5"/>
  <c r="BI59" i="5"/>
  <c r="BI77" i="5"/>
  <c r="BI79" i="5"/>
  <c r="BI60" i="5"/>
  <c r="BI55" i="5"/>
  <c r="BI75" i="5"/>
  <c r="BI35" i="5"/>
  <c r="BI69" i="5"/>
  <c r="BI73" i="5"/>
  <c r="BI78" i="5"/>
  <c r="BI80" i="5"/>
  <c r="BI82" i="5"/>
  <c r="BI84" i="5"/>
  <c r="BI97" i="5"/>
  <c r="BI81" i="5"/>
  <c r="BI91" i="5"/>
  <c r="BI93" i="5"/>
  <c r="BI95" i="5"/>
  <c r="BI99" i="5"/>
  <c r="BI87" i="5"/>
  <c r="BI71" i="5"/>
  <c r="BI67" i="5"/>
  <c r="BI92" i="5"/>
  <c r="BI94" i="5"/>
  <c r="BI86" i="5"/>
  <c r="BI89" i="5"/>
  <c r="BI96" i="5"/>
  <c r="BI100" i="5"/>
  <c r="BI88" i="5"/>
  <c r="BI85" i="5"/>
  <c r="BI90" i="5"/>
  <c r="BI98" i="5"/>
  <c r="BI83" i="5"/>
  <c r="BB6" i="5"/>
  <c r="BH6" i="5"/>
  <c r="BH8" i="5"/>
  <c r="BH10" i="5"/>
  <c r="BH12" i="5"/>
  <c r="BH9" i="5"/>
  <c r="BH13" i="5"/>
  <c r="BH15" i="5"/>
  <c r="BH17" i="5"/>
  <c r="BH19" i="5"/>
  <c r="BH21" i="5"/>
  <c r="BH23" i="5"/>
  <c r="BH7" i="5"/>
  <c r="BH20" i="5"/>
  <c r="BH24" i="5"/>
  <c r="BH26" i="5"/>
  <c r="BH28" i="5"/>
  <c r="BH30" i="5"/>
  <c r="BH18" i="5"/>
  <c r="BH11" i="5"/>
  <c r="BH16" i="5"/>
  <c r="BH27" i="5"/>
  <c r="BH25" i="5"/>
  <c r="BH34" i="5"/>
  <c r="BH29" i="5"/>
  <c r="BH36" i="5"/>
  <c r="BH38" i="5"/>
  <c r="BH31" i="5"/>
  <c r="BH22" i="5"/>
  <c r="BH33" i="5"/>
  <c r="BH14" i="5"/>
  <c r="BH45" i="5"/>
  <c r="BH48" i="5"/>
  <c r="BH42" i="5"/>
  <c r="BH41" i="5"/>
  <c r="BH47" i="5"/>
  <c r="BH51" i="5"/>
  <c r="BH53" i="5"/>
  <c r="BH55" i="5"/>
  <c r="BH57" i="5"/>
  <c r="BH59" i="5"/>
  <c r="BH61" i="5"/>
  <c r="BH37" i="5"/>
  <c r="BH44" i="5"/>
  <c r="BH49" i="5"/>
  <c r="BH35" i="5"/>
  <c r="BH40" i="5"/>
  <c r="BH54" i="5"/>
  <c r="BH58" i="5"/>
  <c r="BH52" i="5"/>
  <c r="BH32" i="5"/>
  <c r="BH64" i="5"/>
  <c r="BH66" i="5"/>
  <c r="BH68" i="5"/>
  <c r="BH70" i="5"/>
  <c r="BH72" i="5"/>
  <c r="BH74" i="5"/>
  <c r="BH46" i="5"/>
  <c r="BH50" i="5"/>
  <c r="BH56" i="5"/>
  <c r="BH43" i="5"/>
  <c r="BH60" i="5"/>
  <c r="BH75" i="5"/>
  <c r="BH69" i="5"/>
  <c r="BH73" i="5"/>
  <c r="BH65" i="5"/>
  <c r="BH78" i="5"/>
  <c r="BH80" i="5"/>
  <c r="BH82" i="5"/>
  <c r="BH84" i="5"/>
  <c r="BH39" i="5"/>
  <c r="BH63" i="5"/>
  <c r="BH67" i="5"/>
  <c r="BH71" i="5"/>
  <c r="BH81" i="5"/>
  <c r="BH91" i="5"/>
  <c r="BH93" i="5"/>
  <c r="BH95" i="5"/>
  <c r="BH97" i="5"/>
  <c r="BH99" i="5"/>
  <c r="BH87" i="5"/>
  <c r="BH89" i="5"/>
  <c r="BH79" i="5"/>
  <c r="BH86" i="5"/>
  <c r="BH92" i="5"/>
  <c r="BH94" i="5"/>
  <c r="BH96" i="5"/>
  <c r="BH98" i="5"/>
  <c r="BH100" i="5"/>
  <c r="BH88" i="5"/>
  <c r="BH77" i="5"/>
  <c r="BH83" i="5"/>
  <c r="BH62" i="5"/>
  <c r="BH85" i="5"/>
  <c r="BH76" i="5"/>
  <c r="BH90" i="5"/>
  <c r="AX4" i="5"/>
  <c r="AX6" i="5"/>
  <c r="AX3" i="5"/>
  <c r="AX5" i="5"/>
  <c r="AX2" i="5"/>
  <c r="AW4" i="5"/>
  <c r="AW6" i="5"/>
  <c r="AW3" i="5"/>
  <c r="AW5" i="5"/>
  <c r="AW2" i="5"/>
  <c r="BA6" i="5"/>
  <c r="BG7" i="5"/>
  <c r="BG9" i="5"/>
  <c r="BG11" i="5"/>
  <c r="BG13" i="5"/>
  <c r="BG6" i="5"/>
  <c r="BG8" i="5"/>
  <c r="BG10" i="5"/>
  <c r="BG12" i="5"/>
  <c r="BG14" i="5"/>
  <c r="BG16" i="5"/>
  <c r="BG18" i="5"/>
  <c r="BG20" i="5"/>
  <c r="BG22" i="5"/>
  <c r="BG15" i="5"/>
  <c r="BG21" i="5"/>
  <c r="BG23" i="5"/>
  <c r="BG25" i="5"/>
  <c r="BG32" i="5"/>
  <c r="BG34" i="5"/>
  <c r="BG19" i="5"/>
  <c r="BG24" i="5"/>
  <c r="BG28" i="5"/>
  <c r="BG29" i="5"/>
  <c r="BG26" i="5"/>
  <c r="BG36" i="5"/>
  <c r="BG38" i="5"/>
  <c r="BG40" i="5"/>
  <c r="BG42" i="5"/>
  <c r="BG17" i="5"/>
  <c r="BG31" i="5"/>
  <c r="BG30" i="5"/>
  <c r="BG33" i="5"/>
  <c r="BG27" i="5"/>
  <c r="BG35" i="5"/>
  <c r="BG37" i="5"/>
  <c r="BG39" i="5"/>
  <c r="BG41" i="5"/>
  <c r="BG43" i="5"/>
  <c r="BG47" i="5"/>
  <c r="BG51" i="5"/>
  <c r="BG53" i="5"/>
  <c r="BG55" i="5"/>
  <c r="BG57" i="5"/>
  <c r="BG59" i="5"/>
  <c r="BG44" i="5"/>
  <c r="BG46" i="5"/>
  <c r="BG50" i="5"/>
  <c r="BG52" i="5"/>
  <c r="BG61" i="5"/>
  <c r="BG64" i="5"/>
  <c r="BG45" i="5"/>
  <c r="BG56" i="5"/>
  <c r="BG60" i="5"/>
  <c r="BG48" i="5"/>
  <c r="BG66" i="5"/>
  <c r="BG70" i="5"/>
  <c r="BG74" i="5"/>
  <c r="BG75" i="5"/>
  <c r="BG58" i="5"/>
  <c r="BG69" i="5"/>
  <c r="BG73" i="5"/>
  <c r="BG65" i="5"/>
  <c r="BG78" i="5"/>
  <c r="BG80" i="5"/>
  <c r="BG82" i="5"/>
  <c r="BG84" i="5"/>
  <c r="BG86" i="5"/>
  <c r="BG88" i="5"/>
  <c r="BG90" i="5"/>
  <c r="BG54" i="5"/>
  <c r="BG49" i="5"/>
  <c r="BG63" i="5"/>
  <c r="BG68" i="5"/>
  <c r="BG72" i="5"/>
  <c r="BG67" i="5"/>
  <c r="BG71" i="5"/>
  <c r="BG62" i="5"/>
  <c r="BG76" i="5"/>
  <c r="BG77" i="5"/>
  <c r="BG79" i="5"/>
  <c r="BG81" i="5"/>
  <c r="BG83" i="5"/>
  <c r="BG87" i="5"/>
  <c r="BG89" i="5"/>
  <c r="BG85" i="5"/>
  <c r="BG93" i="5"/>
  <c r="BG97" i="5"/>
  <c r="BG92" i="5"/>
  <c r="BG96" i="5"/>
  <c r="BG100" i="5"/>
  <c r="BG98" i="5"/>
  <c r="BG91" i="5"/>
  <c r="BG99" i="5"/>
  <c r="BG95" i="5"/>
  <c r="BG94" i="5"/>
  <c r="B2" i="13" a="1"/>
  <c r="B2" i="13" s="1"/>
  <c r="F2" i="13" s="1" a="1"/>
  <c r="F2" i="13" s="1"/>
  <c r="N6" i="2"/>
  <c r="F2" i="17"/>
  <c r="D2" i="17"/>
  <c r="C2" i="17"/>
  <c r="I2" i="17" a="1"/>
  <c r="I2" i="17" s="1"/>
  <c r="AV1" i="5" a="1"/>
  <c r="AV1" i="5" s="1"/>
  <c r="AU1" i="5" a="1"/>
  <c r="AU1" i="5" s="1"/>
  <c r="J1" i="5" a="1"/>
  <c r="J1" i="5" s="1"/>
  <c r="J2" i="5" s="1"/>
  <c r="R1" i="5" a="1"/>
  <c r="R1" i="5" s="1"/>
  <c r="Z1" i="5" a="1"/>
  <c r="Z1" i="5" s="1"/>
  <c r="AH1" i="5" a="1"/>
  <c r="AH1" i="5" s="1"/>
  <c r="AP1" i="5" a="1"/>
  <c r="AP1" i="5" s="1"/>
  <c r="K1" i="5" a="1"/>
  <c r="K1" i="5" s="1"/>
  <c r="S1" i="5" a="1"/>
  <c r="S1" i="5" s="1"/>
  <c r="AA1" i="5" a="1"/>
  <c r="AA1" i="5" s="1"/>
  <c r="AI1" i="5" a="1"/>
  <c r="AI1" i="5" s="1"/>
  <c r="AQ1" i="5" a="1"/>
  <c r="AQ1" i="5" s="1"/>
  <c r="L1" i="5" a="1"/>
  <c r="L1" i="5" s="1"/>
  <c r="T1" i="5" a="1"/>
  <c r="T1" i="5" s="1"/>
  <c r="AB1" i="5" a="1"/>
  <c r="AB1" i="5" s="1"/>
  <c r="AJ1" i="5" a="1"/>
  <c r="AJ1" i="5" s="1"/>
  <c r="AR1" i="5" a="1"/>
  <c r="AR1" i="5" s="1"/>
  <c r="E1" i="5" a="1"/>
  <c r="E1" i="5" s="1"/>
  <c r="M1" i="5" a="1"/>
  <c r="M1" i="5" s="1"/>
  <c r="U1" i="5" a="1"/>
  <c r="U1" i="5" s="1"/>
  <c r="AC1" i="5" a="1"/>
  <c r="AC1" i="5" s="1"/>
  <c r="AK1" i="5" a="1"/>
  <c r="AK1" i="5" s="1"/>
  <c r="AS1" i="5" a="1"/>
  <c r="AS1" i="5" s="1"/>
  <c r="G1" i="5" a="1"/>
  <c r="G1" i="5" s="1"/>
  <c r="W1" i="5" a="1"/>
  <c r="W1" i="5" s="1"/>
  <c r="AM1" i="5" a="1"/>
  <c r="AM1" i="5" s="1"/>
  <c r="H1" i="5" a="1"/>
  <c r="H1" i="5" s="1"/>
  <c r="H2" i="5" s="1"/>
  <c r="P1" i="5" a="1"/>
  <c r="P1" i="5" s="1"/>
  <c r="I1" i="5" a="1"/>
  <c r="I1" i="5" s="1"/>
  <c r="I2" i="5" s="1"/>
  <c r="Y1" i="5" a="1"/>
  <c r="Y1" i="5" s="1"/>
  <c r="AO1" i="5" a="1"/>
  <c r="AO1" i="5" s="1"/>
  <c r="AN1" i="5" a="1"/>
  <c r="AN1" i="5" s="1"/>
  <c r="AL1" i="5" a="1"/>
  <c r="AL1" i="5" s="1"/>
  <c r="V1" i="5" a="1"/>
  <c r="V1" i="5" s="1"/>
  <c r="F1" i="5" a="1"/>
  <c r="F1" i="5" s="1"/>
  <c r="X1" i="5" a="1"/>
  <c r="X1" i="5" s="1"/>
  <c r="AG1" i="5" a="1"/>
  <c r="AG1" i="5" s="1"/>
  <c r="Q1" i="5" a="1"/>
  <c r="Q1" i="5" s="1"/>
  <c r="AF1" i="5" a="1"/>
  <c r="AF1" i="5" s="1"/>
  <c r="D1" i="5" a="1"/>
  <c r="D1" i="5" s="1"/>
  <c r="AE1" i="5" a="1"/>
  <c r="AE1" i="5" s="1"/>
  <c r="O1" i="5" a="1"/>
  <c r="O1" i="5" s="1"/>
  <c r="AT1" i="5" a="1"/>
  <c r="AT1" i="5" s="1"/>
  <c r="AD1" i="5" a="1"/>
  <c r="AD1" i="5" s="1"/>
  <c r="N1" i="5" a="1"/>
  <c r="N1" i="5" s="1"/>
  <c r="D2" i="5" l="1"/>
  <c r="D3" i="5"/>
  <c r="D5" i="5"/>
  <c r="D4" i="5"/>
  <c r="D6" i="5"/>
  <c r="E3" i="5"/>
  <c r="E5" i="5"/>
  <c r="E6" i="5"/>
  <c r="E4" i="5"/>
  <c r="F3" i="5"/>
  <c r="F5" i="5"/>
  <c r="F4" i="5"/>
  <c r="F6" i="5"/>
  <c r="AM4" i="5"/>
  <c r="AM6" i="5"/>
  <c r="AM3" i="5"/>
  <c r="AM5" i="5"/>
  <c r="AM2" i="5"/>
  <c r="AH4" i="5"/>
  <c r="AH6" i="5"/>
  <c r="AH3" i="5"/>
  <c r="AH5" i="5"/>
  <c r="AH2" i="5"/>
  <c r="AD3" i="5"/>
  <c r="AD5" i="5"/>
  <c r="AD4" i="5"/>
  <c r="AD6" i="5"/>
  <c r="AD2" i="5"/>
  <c r="X3" i="5"/>
  <c r="X5" i="5"/>
  <c r="X6" i="5"/>
  <c r="X4" i="5"/>
  <c r="X2" i="5"/>
  <c r="P3" i="5"/>
  <c r="P5" i="5"/>
  <c r="P4" i="5"/>
  <c r="P6" i="5"/>
  <c r="P2" i="5"/>
  <c r="R4" i="5"/>
  <c r="R6" i="5"/>
  <c r="R5" i="5"/>
  <c r="R3" i="5"/>
  <c r="R2" i="5"/>
  <c r="AT3" i="5"/>
  <c r="AT5" i="5"/>
  <c r="AT4" i="5"/>
  <c r="AT6" i="5"/>
  <c r="AT2" i="5"/>
  <c r="H3" i="5"/>
  <c r="H5" i="5"/>
  <c r="H4" i="5"/>
  <c r="H6" i="5"/>
  <c r="AI3" i="5"/>
  <c r="AI5" i="5"/>
  <c r="AI4" i="5"/>
  <c r="AI6" i="5"/>
  <c r="AI2" i="5"/>
  <c r="J4" i="5"/>
  <c r="J6" i="5"/>
  <c r="J3" i="5"/>
  <c r="J5" i="5"/>
  <c r="AL3" i="5"/>
  <c r="AL5" i="5"/>
  <c r="AL4" i="5"/>
  <c r="AL6" i="5"/>
  <c r="AL2" i="5"/>
  <c r="AR4" i="5"/>
  <c r="AR6" i="5"/>
  <c r="AR3" i="5"/>
  <c r="AR5" i="5"/>
  <c r="AR2" i="5"/>
  <c r="S3" i="5"/>
  <c r="S5" i="5"/>
  <c r="S4" i="5"/>
  <c r="S6" i="5"/>
  <c r="S2" i="5"/>
  <c r="AV3" i="5"/>
  <c r="AV5" i="5"/>
  <c r="AV4" i="5"/>
  <c r="AV6" i="5"/>
  <c r="AV2" i="5"/>
  <c r="AJ4" i="5"/>
  <c r="AJ6" i="5"/>
  <c r="AJ5" i="5"/>
  <c r="AJ3" i="5"/>
  <c r="AJ2" i="5"/>
  <c r="K6" i="5"/>
  <c r="AF3" i="5"/>
  <c r="AF5" i="5"/>
  <c r="AF4" i="5"/>
  <c r="AF6" i="5"/>
  <c r="AF2" i="5"/>
  <c r="AP4" i="5"/>
  <c r="AP6" i="5"/>
  <c r="AP3" i="5"/>
  <c r="AP5" i="5"/>
  <c r="O4" i="5"/>
  <c r="O6" i="5"/>
  <c r="O3" i="5"/>
  <c r="O5" i="5"/>
  <c r="AU4" i="5"/>
  <c r="AU6" i="5"/>
  <c r="AU3" i="5"/>
  <c r="AU5" i="5"/>
  <c r="AU2" i="5"/>
  <c r="Y4" i="5"/>
  <c r="Y6" i="5"/>
  <c r="Y3" i="5"/>
  <c r="Y5" i="5"/>
  <c r="Y2" i="5"/>
  <c r="T4" i="5"/>
  <c r="T6" i="5"/>
  <c r="T5" i="5"/>
  <c r="T3" i="5"/>
  <c r="T2" i="5"/>
  <c r="N3" i="5"/>
  <c r="N5" i="5"/>
  <c r="N4" i="5"/>
  <c r="N6" i="5"/>
  <c r="N2" i="5"/>
  <c r="I4" i="5"/>
  <c r="I6" i="5"/>
  <c r="I3" i="5"/>
  <c r="I5" i="5"/>
  <c r="V5" i="2"/>
  <c r="AM4" i="2"/>
  <c r="AV4" i="2"/>
  <c r="R5" i="2"/>
  <c r="AI5" i="2"/>
  <c r="X4" i="2"/>
  <c r="P5" i="2"/>
  <c r="AR5" i="2"/>
  <c r="AM5" i="2" l="1"/>
  <c r="AK4" i="2"/>
  <c r="AG5" i="2"/>
  <c r="R4" i="2"/>
  <c r="U5" i="2"/>
  <c r="AA4" i="2"/>
  <c r="AN4" i="2"/>
  <c r="AB5" i="2"/>
  <c r="Q5" i="2"/>
  <c r="AJ5" i="2"/>
  <c r="AS4" i="2"/>
  <c r="AV5" i="2"/>
  <c r="AG4" i="2"/>
  <c r="AX4" i="2"/>
  <c r="AL4" i="2"/>
  <c r="BA4" i="2"/>
  <c r="Y5" i="2"/>
  <c r="T5" i="2"/>
  <c r="AW5" i="2"/>
  <c r="AS5" i="2"/>
  <c r="AH5" i="2"/>
  <c r="AK5" i="2"/>
  <c r="AL5" i="2"/>
  <c r="BA5" i="2"/>
  <c r="Y4" i="2"/>
  <c r="AO5" i="2"/>
  <c r="AW4" i="2"/>
  <c r="AD4" i="2"/>
  <c r="AH4" i="2"/>
  <c r="AU4" i="2"/>
  <c r="AY4" i="2"/>
  <c r="U4" i="2"/>
  <c r="V4" i="2"/>
  <c r="AO4" i="2"/>
  <c r="Z5" i="2"/>
  <c r="AD5" i="2"/>
  <c r="AQ5" i="2"/>
  <c r="AU5" i="2"/>
  <c r="AZ5" i="2"/>
  <c r="Z4" i="2"/>
  <c r="AX5" i="2"/>
  <c r="AQ4" i="2"/>
  <c r="AC4" i="2"/>
  <c r="S5" i="2"/>
  <c r="C1" i="5" a="1"/>
  <c r="C1" i="5" s="1"/>
  <c r="X5" i="2"/>
  <c r="Q4" i="2"/>
  <c r="AN5" i="2"/>
  <c r="AA5" i="2"/>
  <c r="AI4" i="2"/>
  <c r="AF4" i="2"/>
  <c r="P4" i="2"/>
  <c r="W4" i="2"/>
  <c r="AZ4" i="2"/>
  <c r="W5" i="2"/>
  <c r="T4" i="2"/>
  <c r="AB4" i="2"/>
  <c r="AJ4" i="2"/>
  <c r="AF5" i="2"/>
  <c r="AR4" i="2"/>
  <c r="AC5" i="2"/>
  <c r="AP5" i="2"/>
  <c r="O4" i="2"/>
  <c r="AP4" i="2"/>
  <c r="O5" i="2"/>
  <c r="S4" i="2"/>
  <c r="N4" i="2"/>
  <c r="N5" i="2"/>
  <c r="AY5" i="2"/>
  <c r="AE4" i="2"/>
  <c r="AT4" i="2"/>
  <c r="AE5" i="2"/>
  <c r="AT5" i="2"/>
  <c r="I9" i="2" l="1" a="1"/>
  <c r="I9" i="2" s="1"/>
  <c r="I10" i="2" a="1"/>
  <c r="I10" i="2" s="1"/>
  <c r="I8" i="2" a="1"/>
  <c r="I8" i="2" s="1"/>
  <c r="C3" i="5"/>
  <c r="C5" i="5"/>
  <c r="C4" i="5"/>
  <c r="C6" i="5"/>
  <c r="K5" i="17" a="1"/>
  <c r="K5" i="17" s="1"/>
  <c r="E2" i="13" a="1"/>
  <c r="E2" i="13" s="1"/>
  <c r="D2" i="13" a="1"/>
  <c r="D2" i="13" s="1"/>
  <c r="K3" i="17" a="1"/>
  <c r="K3" i="17" s="1"/>
  <c r="K2" i="17" a="1"/>
  <c r="K2" i="17" s="1"/>
  <c r="G2" i="13" l="1" a="1"/>
  <c r="G2" i="13" s="1"/>
  <c r="A1" i="14" s="1" a="1"/>
  <c r="A2" i="15" s="1" a="1"/>
  <c r="A2" i="15" s="1"/>
  <c r="K4" i="17" a="1"/>
  <c r="K4" i="17" s="1"/>
  <c r="A2" i="16" l="1" a="1"/>
  <c r="A2" i="16" s="1"/>
  <c r="A1" i="14"/>
  <c r="A1" i="18" s="1" a="1"/>
  <c r="A4" i="19" s="1" a="1"/>
  <c r="B9" i="19" s="1" a="1"/>
  <c r="B9" i="19" s="1"/>
  <c r="I6" i="13"/>
  <c r="I107" i="2" a="1"/>
  <c r="I107" i="2" s="1"/>
  <c r="A6" i="17" a="1"/>
  <c r="J2" i="17" s="1" a="1"/>
  <c r="J2" i="17" s="1"/>
  <c r="B7" i="19" l="1" a="1"/>
  <c r="B7" i="19" s="1"/>
  <c r="C5" i="19"/>
  <c r="C10" i="19"/>
  <c r="B10" i="19" a="1"/>
  <c r="B10" i="19" s="1"/>
  <c r="C11" i="19"/>
  <c r="B11" i="19" a="1"/>
  <c r="B11" i="19" s="1"/>
  <c r="B6" i="19" a="1"/>
  <c r="B6" i="19" s="1"/>
  <c r="C9" i="19"/>
  <c r="C8" i="19"/>
  <c r="C6" i="19"/>
  <c r="C7" i="19"/>
  <c r="B8" i="19" a="1"/>
  <c r="B8" i="19" s="1"/>
  <c r="J5" i="17" a="1"/>
  <c r="J5" i="17" s="1"/>
  <c r="J4" i="17" a="1"/>
  <c r="J4" i="17" s="1"/>
  <c r="A1" i="18"/>
  <c r="B5" i="19" a="1"/>
  <c r="B5" i="19" s="1"/>
  <c r="A4" i="19"/>
  <c r="C4" i="19" s="1"/>
  <c r="A6" i="17"/>
  <c r="J3" i="17" a="1"/>
  <c r="J3" i="17" s="1"/>
  <c r="B4" i="19" l="1" a="1"/>
  <c r="B4" i="1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<sst xmlns="http://schemas.openxmlformats.org/spreadsheetml/2006/main" count="1448" uniqueCount="856">
  <si>
    <t>PROGRAMA DE CAPACITACIONES Y DESARROLLO DE COMPETENCIAS
F.012</t>
  </si>
  <si>
    <t xml:space="preserve">DIVISION/AREA: </t>
  </si>
  <si>
    <t>Revisión: 05</t>
  </si>
  <si>
    <t>Fecha de Revisión: 30/04/21</t>
  </si>
  <si>
    <t>Período: Año 2026</t>
  </si>
  <si>
    <t>Revisión:</t>
  </si>
  <si>
    <t>Fecha de Confección:</t>
  </si>
  <si>
    <t>N°</t>
  </si>
  <si>
    <t>TEMA</t>
  </si>
  <si>
    <t>JUSTIFICACION</t>
  </si>
  <si>
    <t>ALCANCE</t>
  </si>
  <si>
    <t>ENTE DIDACTICO</t>
  </si>
  <si>
    <t>FRECUENCIA/DISPARADORES</t>
  </si>
  <si>
    <t>Método(s) de evaluación</t>
  </si>
  <si>
    <t>Realizado por:</t>
  </si>
  <si>
    <t>Aprobado por:</t>
  </si>
  <si>
    <t>Ernesto Suarez/Naranjo Matias</t>
  </si>
  <si>
    <t>Gimenez Pablo</t>
  </si>
  <si>
    <t>Matriz de Competencias HSE del Personal</t>
  </si>
  <si>
    <t>tipo de control</t>
  </si>
  <si>
    <t>vigencia</t>
  </si>
  <si>
    <t>HS CAP</t>
  </si>
  <si>
    <t>N° HUB</t>
  </si>
  <si>
    <t>CUIL</t>
  </si>
  <si>
    <t>Nombre del Empleado</t>
  </si>
  <si>
    <t>Puesto</t>
  </si>
  <si>
    <t>Nombre de la base</t>
  </si>
  <si>
    <t>Ubicación (FID)</t>
  </si>
  <si>
    <t>Ubicación (BU)</t>
  </si>
  <si>
    <t>APTITUD</t>
  </si>
  <si>
    <t>TAREA</t>
  </si>
  <si>
    <t>Operador Esp. en Ensayo no Destructivo</t>
  </si>
  <si>
    <t>TB AR CRV WELLCHEK</t>
  </si>
  <si>
    <t>CONDUCCION DE VEHICULOS</t>
  </si>
  <si>
    <t>OPERADOR WCH</t>
  </si>
  <si>
    <t>SUPERVISOR</t>
  </si>
  <si>
    <t>Operador Foster</t>
  </si>
  <si>
    <t>AYUDANTE WCH</t>
  </si>
  <si>
    <t>RELEVO EN BASE</t>
  </si>
  <si>
    <t>Ayudante de Tareas Generales</t>
  </si>
  <si>
    <t>Supervisor</t>
  </si>
  <si>
    <t>% Cumplimiento</t>
  </si>
  <si>
    <t>LEYENDA</t>
  </si>
  <si>
    <t>VENCIDO</t>
  </si>
  <si>
    <t>POR VENVER</t>
  </si>
  <si>
    <t>VIGENTE</t>
  </si>
  <si>
    <t>Ernesto Suarez (HSE)</t>
  </si>
  <si>
    <t>No Aplica</t>
  </si>
  <si>
    <t>SECTOR</t>
  </si>
  <si>
    <t>X</t>
  </si>
  <si>
    <t>COMPETENCIAS</t>
  </si>
  <si>
    <t>Procedimiento (código/nombre)</t>
  </si>
  <si>
    <t>¿Requiere entrenamiento?</t>
  </si>
  <si>
    <t>Rol/Colectivo</t>
  </si>
  <si>
    <t>Nivel (A/B/C)</t>
  </si>
  <si>
    <t>Contenido de competencia 
A – Conocimiento (KRR): comprensión/conciencia del procedimiento.
B – Ejecución (SOP): demostración práctica competente en tarea/rol.
C – Evaluación: calificación para evaluar/verificar (Assessors/Verifiers).</t>
  </si>
  <si>
    <t>Método de entrega</t>
  </si>
  <si>
    <t>Frecuencia/Disparadores</t>
  </si>
  <si>
    <t>Tipo de control</t>
  </si>
  <si>
    <t>Vigencia</t>
  </si>
  <si>
    <t>CAPACITACION + QUIZ</t>
  </si>
  <si>
    <t>REALIZA CAPACITACION + QUIZ</t>
  </si>
  <si>
    <t>Programa de Aire</t>
  </si>
  <si>
    <t>HSE 360: ENVMS.003</t>
  </si>
  <si>
    <t>NOV</t>
  </si>
  <si>
    <t>ENVMS.003 / Air Programs</t>
  </si>
  <si>
    <t>Sí (rol/ubicación)</t>
  </si>
  <si>
    <t>Personal que opera fuentes de emisión; Gerencia Local / HSE</t>
  </si>
  <si>
    <t>Evaluacion; Conocimiento</t>
  </si>
  <si>
    <t>KRR/SOP: cumplimiento permisos, controles de emisiones, monitoreo y registros; responsabilidades y entrenamiento del personal.</t>
  </si>
  <si>
    <t>VIDEO</t>
  </si>
  <si>
    <t>QUIZ</t>
  </si>
  <si>
    <t>Inicial + cuando cambie equipo/proceso/regulación; revisión periódica.</t>
  </si>
  <si>
    <t>Evento</t>
  </si>
  <si>
    <t>Soledad García</t>
  </si>
  <si>
    <t>Conciencia Ambiental</t>
  </si>
  <si>
    <t xml:space="preserve">HSE 360: ENVMS.006 /  ENVMS.005 </t>
  </si>
  <si>
    <t>NOV / Asesor Ambiental M. L.</t>
  </si>
  <si>
    <t>Conciencia Ambiental
- Programa de Aire
- Programa de agua ENVMS.006 / Water Programs
- Derrames
- Gestion de residuos ENVMS.005 / Waste Management
- Aspecto e Impacto</t>
  </si>
  <si>
    <t>Si</t>
  </si>
  <si>
    <t>Todos</t>
  </si>
  <si>
    <t>Conocimiento</t>
  </si>
  <si>
    <t>Conocimiento: 
ENVMS.006 / Water Programs KRR: conceptos básicos (aguas de proceso y no‑proceso, pluvial, contaminantes); SOP: reconocer y reportar condiciones de riesgo, evitar descargas de pluviales contaminadas.
ENVMS.005 / Waste Management: KRR: concepto de residuos y flujos; buenas prácticas y minimización; reportar derrames y no mezclar incompatibles; SOP: seguir señalización y Stop Work ante condiciones de riesgo.</t>
  </si>
  <si>
    <t>Anual</t>
  </si>
  <si>
    <t>Periódica</t>
  </si>
  <si>
    <t>Soledad Garcia</t>
  </si>
  <si>
    <t xml:space="preserve">Control de Documentos e Informacion de HSE </t>
  </si>
  <si>
    <t>HSE 360: HSEMS.002</t>
  </si>
  <si>
    <t>HSEMS.002 / Control of HSE Documented Information</t>
  </si>
  <si>
    <t>Sí (rol)</t>
  </si>
  <si>
    <t>Gerencia Local / HSE / SGI</t>
  </si>
  <si>
    <t>Evaluacion</t>
  </si>
  <si>
    <t>KRR/SOP: control de versiones, acceso, registros y retención; uso de documentos y formularios</t>
  </si>
  <si>
    <t>Lectura de procedimiento</t>
  </si>
  <si>
    <t>En auditorias</t>
  </si>
  <si>
    <t>Inicial + cuando cambien herramientas/proceso.</t>
  </si>
  <si>
    <t>N/A</t>
  </si>
  <si>
    <t xml:space="preserve"> Acciones Correctivas y Preventivas (CAPA)</t>
  </si>
  <si>
    <t>HSE 360: HSEMS.015</t>
  </si>
  <si>
    <t>HSEMS.015 / Corrective and Preventive Actions (CAPA)</t>
  </si>
  <si>
    <t>Gerencia Local / mandos medios / HSE</t>
  </si>
  <si>
    <t>KRR/SOP: proceso CAPA, trazabilidad, uso de herramienta digital y retención de registros.</t>
  </si>
  <si>
    <t>Virtual (lo da SGI o HSE)</t>
  </si>
  <si>
    <t>Inicial al asumir el rol y ante cambios del proceso/herramienta.</t>
  </si>
  <si>
    <t>Seguridad Basada en el Comportamiento (Observation Program) // HSMS.043 / Autoridad de Detener el Trabajo</t>
  </si>
  <si>
    <t>HSE 360: HSEMS.017</t>
  </si>
  <si>
    <t>HSEMS.017 / Behavior‑Based Safety (Observation Program) // HSMS.043 / Stop Work Authority</t>
  </si>
  <si>
    <t>Sí</t>
  </si>
  <si>
    <t xml:space="preserve">Todos </t>
  </si>
  <si>
    <t>Conocimiento / Evaluacion</t>
  </si>
  <si>
    <r>
      <t xml:space="preserve">KRR/SOP: cómo observar, completar tarjeta, tipos de comportamientos y dar </t>
    </r>
    <r>
      <rPr>
        <i/>
        <sz val="10"/>
        <color theme="1"/>
        <rFont val="Aptos Narrow"/>
        <family val="2"/>
        <scheme val="minor"/>
      </rPr>
      <t>feedback</t>
    </r>
    <r>
      <rPr>
        <sz val="10"/>
        <color theme="1"/>
        <rFont val="Aptos Narrow"/>
        <family val="2"/>
        <scheme val="minor"/>
      </rPr>
      <t>.</t>
    </r>
  </si>
  <si>
    <t>QUIZ / Revisión de tarjetas/observaciones</t>
  </si>
  <si>
    <t>Inducción y anual</t>
  </si>
  <si>
    <t>Gimenez</t>
  </si>
  <si>
    <t>Identificacion de Peligros y Evaluacion de Riesgos</t>
  </si>
  <si>
    <t>HSE 360: HSEMS.022</t>
  </si>
  <si>
    <t>HSEMS.022 / Hazard Identification &amp; Assessment of Risk</t>
  </si>
  <si>
    <t>Sí (conciencia + rol)</t>
  </si>
  <si>
    <t>KRR: propósito, IPER / ATS, matriz riesgo, controles jerárquicos; SOP: cuándo aplicar, roles y evidencias.</t>
  </si>
  <si>
    <t>Quiz + verificación de IPER / ATS completados en visitas gerenciales y de HSE</t>
  </si>
  <si>
    <t>Inicial + cuando cambie el proceso/actividad/plantilla de RA + post‑incidente</t>
  </si>
  <si>
    <t>OK</t>
  </si>
  <si>
    <t xml:space="preserve"> Plan de Respuesta ante Eemergencias / HSMS.010 /Primeros Axulios &amp; RCP/DEA / HSMSWT-002 / Patogenos Trasnmitidos por la Sangre</t>
  </si>
  <si>
    <t>HSE 360: HSEMS.034</t>
  </si>
  <si>
    <t>NOV / MEDLAB</t>
  </si>
  <si>
    <t>HSEMS.034 / Emergency Preparedness Response Planning / HSMS.010 / First Aid &amp; CPR/AED / HSMSWT-002 / Blood‑Borne Pathogens</t>
  </si>
  <si>
    <t>Conocimiento / Conocimiento</t>
  </si>
  <si>
    <r>
      <t xml:space="preserve">KRR: roles y respuesta a emergencias; SOP: implementación de ERP, simulacros y </t>
    </r>
    <r>
      <rPr>
        <i/>
        <sz val="10"/>
        <color theme="1"/>
        <rFont val="Aptos Narrow"/>
        <family val="2"/>
        <scheme val="minor"/>
      </rPr>
      <t>debrief</t>
    </r>
    <r>
      <rPr>
        <sz val="10"/>
        <color theme="1"/>
        <rFont val="Aptos Narrow"/>
        <family val="2"/>
        <scheme val="minor"/>
      </rPr>
      <t>.</t>
    </r>
  </si>
  <si>
    <t>PRESENCIAL último plan actualizado (supervisor) + VISITANTES (QR / Formulario de orientacion de visitantes)</t>
  </si>
  <si>
    <t xml:space="preserve">Resultados de simulacros </t>
  </si>
  <si>
    <r>
      <t>Anual</t>
    </r>
    <r>
      <rPr>
        <sz val="10"/>
        <color theme="1"/>
        <rFont val="Aptos Narrow"/>
        <family val="2"/>
        <scheme val="minor"/>
      </rPr>
      <t xml:space="preserve"> (ERP) y al ingreso/transferencia; según plan local y requisitos del cliente.</t>
    </r>
  </si>
  <si>
    <t>Reporte y Gestion de Incidentes HSE (Todos)</t>
  </si>
  <si>
    <t>HSE 360: HSEMS.050</t>
  </si>
  <si>
    <t>HSEMS.050 / Reporting &amp; Managing HSE Incidents</t>
  </si>
  <si>
    <t>Sí (conciencia)</t>
  </si>
  <si>
    <t>KRR/SOP: notificación, clasificación, lecciones aprendidas</t>
  </si>
  <si>
    <t>Inicial + anual.</t>
  </si>
  <si>
    <t>Reporte, Gestion e Investigacion de Incidentes HSE (supervisores / investigadores (rol))</t>
  </si>
  <si>
    <t>supervisores / investigadores (rol)</t>
  </si>
  <si>
    <t>Conocimiento; Evaluacion</t>
  </si>
  <si>
    <t>KRR/SOP: notificación, clasificación y carga en JDE; investigación (5 XQ´/NCAT), lecciones aprendidas</t>
  </si>
  <si>
    <t>Presencial</t>
  </si>
  <si>
    <t xml:space="preserve">Inicial + refresco trienal o por cambios significativos. </t>
  </si>
  <si>
    <t>VER PROPUESTA DE RODRIGO</t>
  </si>
  <si>
    <t>Gruas y Equipos de Izaje (Todos)</t>
  </si>
  <si>
    <t>HSE 360: HSMS.007</t>
  </si>
  <si>
    <t>HSMS.007 / Cranes &amp; Lifting Equipment</t>
  </si>
  <si>
    <t xml:space="preserve">Sí </t>
  </si>
  <si>
    <t>operadores, señaleros y supervisores</t>
  </si>
  <si>
    <t xml:space="preserve">KRR: PROCEDIMIENTO INTERNO </t>
  </si>
  <si>
    <t>Inicial + ANUAL</t>
  </si>
  <si>
    <t>OK (modificar presentacion, sacar video del instructor y ejemplosespecificosde Tubos)</t>
  </si>
  <si>
    <t>Naranjo</t>
  </si>
  <si>
    <t>HSMS.007 / Gruas y Equipos de Izaje (Operadores)</t>
  </si>
  <si>
    <t>TUV Rheinland</t>
  </si>
  <si>
    <t>Sí (por rol)</t>
  </si>
  <si>
    <t>Planificador de izaje / operador / señalero / aparejador</t>
  </si>
  <si>
    <t>Ejecución +Evaluacion</t>
  </si>
  <si>
    <t>KRR/SOP: categorías de izaje, planificación, inspecciones, roles;  CERTIFICACION.</t>
  </si>
  <si>
    <t>ENTE CERTIFICADOR</t>
  </si>
  <si>
    <t>Práctica observada + evaluación teórica</t>
  </si>
  <si>
    <t>Inicial + ANUAL o ante cambio/deficiencia / mal uso/accidente.</t>
  </si>
  <si>
    <t>Proteccion Contra Incendios (Todos)</t>
  </si>
  <si>
    <t>HSE 360: HSMS.009</t>
  </si>
  <si>
    <t>HSMS.009 / Fire Protection</t>
  </si>
  <si>
    <t>KRR: alarmas/señalización/evacuación; extintores básicos.</t>
  </si>
  <si>
    <t>Quiz + participación en simulacro</t>
  </si>
  <si>
    <t>Inducción + ANUAL</t>
  </si>
  <si>
    <t>OK (cambiar presentacion y sacar video del instructor)</t>
  </si>
  <si>
    <t>Cordoba</t>
  </si>
  <si>
    <t>Proteccion Contra Incendios (Brigadistas)</t>
  </si>
  <si>
    <t>Equipos de respuesta/brigada</t>
  </si>
  <si>
    <t>KRR/SOP: organización respuesta, uso de medios de extinción; coordinación con ERP.</t>
  </si>
  <si>
    <t xml:space="preserve">Presencial </t>
  </si>
  <si>
    <t>Observacion en práctica</t>
  </si>
  <si>
    <t>Inicial + anual</t>
  </si>
  <si>
    <t>Primeros Auxilios (Brigadistas)</t>
  </si>
  <si>
    <t>HSE 360: HSMS.010</t>
  </si>
  <si>
    <t>MEDLAB</t>
  </si>
  <si>
    <t>HSMS.010 / First Aid &amp; CPR</t>
  </si>
  <si>
    <t>Brigadistas/primeros auxilios; supervisores</t>
  </si>
  <si>
    <t>KRR: respuesta, uso de botiquín/AED; SOP: activación de emergencias.</t>
  </si>
  <si>
    <t>Curso acreditado + práctica</t>
  </si>
  <si>
    <t>Examen teórico/práctico + certificación externa</t>
  </si>
  <si>
    <t>Seguridad Electrica (Todos)</t>
  </si>
  <si>
    <t>HSE 360: HSMS.018</t>
  </si>
  <si>
    <t>HSMS.018 / Electrical Safety</t>
  </si>
  <si>
    <t>Todos (conciencia); Expuestos no calificados</t>
  </si>
  <si>
    <t>KRR: choque/arc flash, límites de aproximación, EPP, LOTO</t>
  </si>
  <si>
    <t>Induccion + anual</t>
  </si>
  <si>
    <t>Venegas</t>
  </si>
  <si>
    <t>Seguridad Electrica (Personal Autorizado)</t>
  </si>
  <si>
    <t>Por Definir</t>
  </si>
  <si>
    <t>Personal calificado</t>
  </si>
  <si>
    <t>Conocimiento Ejecución ‑ Evaluacion</t>
  </si>
  <si>
    <r>
      <t xml:space="preserve">KRR: choque/arc flash, límites de aproximación, EPP, LOTO; SOP: prácticas seguras/aislamiento; </t>
    </r>
    <r>
      <rPr>
        <b/>
        <sz val="10"/>
        <color theme="1"/>
        <rFont val="Aptos Narrow"/>
        <family val="2"/>
        <scheme val="minor"/>
      </rPr>
      <t>personal calificado con recertificación</t>
    </r>
    <r>
      <rPr>
        <sz val="10"/>
        <color theme="1"/>
        <rFont val="Aptos Narrow"/>
        <family val="2"/>
        <scheme val="minor"/>
      </rPr>
      <t>.</t>
    </r>
  </si>
  <si>
    <t>Curso acreditado</t>
  </si>
  <si>
    <t xml:space="preserve">Prueba teórica </t>
  </si>
  <si>
    <r>
      <t xml:space="preserve">Inducción; </t>
    </r>
    <r>
      <rPr>
        <b/>
        <sz val="10"/>
        <color theme="1"/>
        <rFont val="Aptos Narrow"/>
        <family val="2"/>
        <scheme val="minor"/>
      </rPr>
      <t>recertificación cada 3 años</t>
    </r>
    <r>
      <rPr>
        <sz val="10"/>
        <color theme="1"/>
        <rFont val="Aptos Narrow"/>
        <family val="2"/>
        <scheme val="minor"/>
      </rPr>
      <t xml:space="preserve"> </t>
    </r>
  </si>
  <si>
    <t>Camiones Industriales Motorizados (PIT) (Todos)</t>
  </si>
  <si>
    <t>HSE 360: HSMS.019</t>
  </si>
  <si>
    <t>HSMS.019 / Powered Industrial Trucks (PIT)</t>
  </si>
  <si>
    <t>Operadores: Ejecución; Supervisión: Evaluacion</t>
  </si>
  <si>
    <t>KRR: Procedimiento, inspección pre‑uso, circulación y carga</t>
  </si>
  <si>
    <t>Camiones Industriales Motorizados (PIT) (Op. Montacargas)</t>
  </si>
  <si>
    <t>Operadores de montacargas</t>
  </si>
  <si>
    <r>
      <t xml:space="preserve">KRR: estabilidad/capacidad, inspección pre‑uso, circulación y carga; SOP: operación segura y prácticas de sitio; </t>
    </r>
    <r>
      <rPr>
        <b/>
        <sz val="10"/>
        <color theme="1"/>
        <rFont val="Aptos Narrow"/>
        <family val="2"/>
        <scheme val="minor"/>
      </rPr>
      <t>re-entrenamiento por desempeño/incident</t>
    </r>
    <r>
      <rPr>
        <sz val="10"/>
        <color theme="1"/>
        <rFont val="Aptos Narrow"/>
        <family val="2"/>
        <scheme val="minor"/>
      </rPr>
      <t>. CERTIFICACION</t>
    </r>
  </si>
  <si>
    <t>Prueba teórica Y PRÁCTICA</t>
  </si>
  <si>
    <r>
      <t>Inicial + ANUAL</t>
    </r>
    <r>
      <rPr>
        <sz val="10"/>
        <color theme="1"/>
        <rFont val="Aptos Narrow"/>
        <family val="2"/>
        <scheme val="minor"/>
      </rPr>
      <t xml:space="preserve"> o ante cambios/deficiencias/incidentes.</t>
    </r>
  </si>
  <si>
    <t>Control de Energias Peligrosas (LOTO) (Todos)</t>
  </si>
  <si>
    <t>HSE 360: HSMS.023</t>
  </si>
  <si>
    <t>HSMS.023 / Control of Hazardous Energy (LOTO)</t>
  </si>
  <si>
    <t>Sí (afectados)</t>
  </si>
  <si>
    <t>Empleados “afectados” por energías</t>
  </si>
  <si>
    <t>KRR: propósito LOTO, riesgos, notificación; limitaciones.</t>
  </si>
  <si>
    <t>Inicial + cuando cambien tareas/ equipos.</t>
  </si>
  <si>
    <t>Echegaray</t>
  </si>
  <si>
    <t>Control de Energias Peligrosas (LOTO) (Empleados Autorizados)</t>
  </si>
  <si>
    <t>Sí (autorizados)</t>
  </si>
  <si>
    <t>Empleados “autorizados” a aplicar LOTO</t>
  </si>
  <si>
    <t>SOP: métodos, verificación de cero energía, dispositivos, secuencia.</t>
  </si>
  <si>
    <t>Inicial + Anual</t>
  </si>
  <si>
    <t>Seguridad aplicada al Pozo &amp; Yacimiento</t>
  </si>
  <si>
    <t>HSE 360: HSMS.027</t>
  </si>
  <si>
    <t>HSMS.027 / Field &amp; Wellsite Safety</t>
  </si>
  <si>
    <t>Sí (según tarea)</t>
  </si>
  <si>
    <t>Personal que ingresa a pozos, offshore, o tareas marinas</t>
  </si>
  <si>
    <t>Ejecución</t>
  </si>
  <si>
    <t>KRR: H₂S, gases / marina, helicópteros</t>
  </si>
  <si>
    <t>Inicial  + refrescos:  H₂S anual; marina (helicoptero) cada 3 años</t>
  </si>
  <si>
    <t>Suarez</t>
  </si>
  <si>
    <t>Las Reglas que Salvan Vidas</t>
  </si>
  <si>
    <t>HSE 360: HSMS.039</t>
  </si>
  <si>
    <t>HSMS.039 / Life‑Saving Rules</t>
  </si>
  <si>
    <t>Sí (todos)</t>
  </si>
  <si>
    <t>KRR: 9 LSR; uso de SWA; disciplina por incumplimiento; SOP: observaciones y reporte.</t>
  </si>
  <si>
    <t xml:space="preserve">Resguardo de Maquinas &amp; Equipos </t>
  </si>
  <si>
    <t>HSE 360: HSMS.053</t>
  </si>
  <si>
    <t>HSMS.053 / Machine &amp; Equipment Safeguarding</t>
  </si>
  <si>
    <t>Conocimiento; Ejecución ; Evaluacion</t>
  </si>
  <si>
    <t>KRR: identificación de peligros, tipos de resguardos, E‑stop, LOTO, SWA/LSR; SOP: inspecciones y retiro de servicio.</t>
  </si>
  <si>
    <t>Conduccion y Gestion de Viajes (Todos)</t>
  </si>
  <si>
    <t>HSE 360: HSMSWT-001</t>
  </si>
  <si>
    <t>HSMSWT-001 / Driving &amp; Journey Management</t>
  </si>
  <si>
    <t>Conductores NOV</t>
  </si>
  <si>
    <t>Conductores: Conocimiento+ Ejecución</t>
  </si>
  <si>
    <t>KRR: conducción defensiva y gestión de viajes; SOP: calificación de conductor, curso externo</t>
  </si>
  <si>
    <t>Prueba teórica / práctica</t>
  </si>
  <si>
    <t>Inicial + bianual (o ante incidentes)</t>
  </si>
  <si>
    <t>Conduccion y Gestion de Viajes (Conductores)</t>
  </si>
  <si>
    <t>CPEC / IAPG</t>
  </si>
  <si>
    <t>Conductores NOV y viajeros; Gestión local/HSE</t>
  </si>
  <si>
    <t>Conductores: Conocimiento+ Ejecución ; Gestión: Evaluacion</t>
  </si>
  <si>
    <r>
      <t xml:space="preserve">KRR: conducción defensiva y gestión de viajes; SOP: calificación de conductor, curso y </t>
    </r>
    <r>
      <rPr>
        <i/>
        <sz val="10"/>
        <color theme="1"/>
        <rFont val="Aptos Narrow"/>
        <family val="2"/>
        <scheme val="minor"/>
      </rPr>
      <t>competency drive</t>
    </r>
    <r>
      <rPr>
        <sz val="10"/>
        <color theme="1"/>
        <rFont val="Aptos Narrow"/>
        <family val="2"/>
        <scheme val="minor"/>
      </rPr>
      <t>, orientación por país/leyes.</t>
    </r>
  </si>
  <si>
    <t>Inicial y cada 3 años; orientación al conducir en otro país.</t>
  </si>
  <si>
    <t>Patogenos Transmitidos por la Sangre</t>
  </si>
  <si>
    <t>HSE 360: HSMSWT-002</t>
  </si>
  <si>
    <t>MEDLAB / NOV</t>
  </si>
  <si>
    <t>HSMSWT-002 / Blood‑Borne Pathogens</t>
  </si>
  <si>
    <t>Sí (según exposición)</t>
  </si>
  <si>
    <t>Empleados con potencial exposición</t>
  </si>
  <si>
    <t>Conocimiento; Conocimiento</t>
  </si>
  <si>
    <t>KRR: vías de exposición, controles, respuesta; SOP: limpieza/derrames, EPP, reporte.</t>
  </si>
  <si>
    <t>VIDEO Medicina Laboral</t>
  </si>
  <si>
    <t>Medicia Laboral (Buda)</t>
  </si>
  <si>
    <t>Conservacion Auditiva</t>
  </si>
  <si>
    <t>HSE 360: HSMSWT-004</t>
  </si>
  <si>
    <t>HSMSWT-004 / Hearing Conservation</t>
  </si>
  <si>
    <t>Personal ≥85 dBA TWA; supervisores de áreas ruidosas</t>
  </si>
  <si>
    <t>KRR: riesgos del ruido, protectores, audiometrías; SOP: control, señalización.</t>
  </si>
  <si>
    <t xml:space="preserve">Ergonomia //  / Levantamiento &amp; Seguridad en la Espalda </t>
  </si>
  <si>
    <t>HSE 360: HSMSWT-008 / HSMSWT-012</t>
  </si>
  <si>
    <t>HSMSWT-008 / Ergonomics // HSMSWT-012 / Lifting &amp; Back Safety</t>
  </si>
  <si>
    <t>Conocimiento+ Ejecución</t>
  </si>
  <si>
    <t>KRR: identificación de riesgos ergonómicos, posturas, MMC; SOP: controles de ingeniería/administrativos y prácticas seguras.</t>
  </si>
  <si>
    <t>Inicial y anual</t>
  </si>
  <si>
    <t>Superficies Elevadas (Todos)</t>
  </si>
  <si>
    <t>HSE 360: HSMSWT-013</t>
  </si>
  <si>
    <t>HSMSWT-013 / Elevated Surfaces</t>
  </si>
  <si>
    <t>Personal que trabaje o transite en pasarelas/plataformas y áreas elevadas</t>
  </si>
  <si>
    <t>KRR: reconocimiento de peligros en superficies elevadas; SOP: uso seguro de pasarelas, plataformas, rampas y barandas. CERTIFICACION</t>
  </si>
  <si>
    <t>Inicial y renovación antes del vencimiento del certificado</t>
  </si>
  <si>
    <t>Relevar criterio para justificar porque un ente certifica bienual y otro anual (Rodrigo)</t>
  </si>
  <si>
    <t>Superficies Elevadas (Personal Habilitado)</t>
  </si>
  <si>
    <t>KRR: reconocimiento de peligros en superficies elevadas; SOP: uso seguro de pasarelas, plataformas, rampas y barandas. PROCEDIMIENTO INTERNO</t>
  </si>
  <si>
    <t>Ok (eliminar presentacion e imagen del instructor, volver a grabar slides con errores en la dicción)</t>
  </si>
  <si>
    <t>Buda</t>
  </si>
  <si>
    <t>Seguridad Quimica (Todos)</t>
  </si>
  <si>
    <t>HSE 360: HSMSWT-016</t>
  </si>
  <si>
    <t>HSMSWT-016 / Chemical Safety</t>
  </si>
  <si>
    <t>Personal en áreas con químicos o potencial exposición</t>
  </si>
  <si>
    <t>KRR: peligros/efectos, rotulado, acceso a SDS, higiene y EPP básico; duchas/lavaojos.</t>
  </si>
  <si>
    <t xml:space="preserve">Inicial + bianual   </t>
  </si>
  <si>
    <t>OK (cambiar presentacion y eliminar imagen)</t>
  </si>
  <si>
    <t>Bouza</t>
  </si>
  <si>
    <t>Seguridad Quimica (Mantenimiento)</t>
  </si>
  <si>
    <t>Sí (tarea)</t>
  </si>
  <si>
    <t>Operación/Mantenimiento/Almacén/Lab que manipulen químicos / Gerencia Local / HSE / Mandos medios</t>
  </si>
  <si>
    <t>SOP: manejo/almacenamiento (compatibilidad, contención), cilindros presurizados, respuesta a derrames, residuos; uso de SDS.</t>
  </si>
  <si>
    <t>Seguridad Quimica (Contratistas)</t>
  </si>
  <si>
    <t>HSMSWT-016 / Chemical Safety (Contratistas)</t>
  </si>
  <si>
    <t>Sí (inducción)</t>
  </si>
  <si>
    <t>Contratistas que trabajen onsite o traigan químicos</t>
  </si>
  <si>
    <t>KRR: reglas del sitio y **entrega previa de SDS** de cada químico.</t>
  </si>
  <si>
    <t>Seguridad para Trabajos en Caliente</t>
  </si>
  <si>
    <t>HSE 360: HSMSWT-021</t>
  </si>
  <si>
    <t>NOV / Por Definir</t>
  </si>
  <si>
    <t>HSMSWT-021 / Hot Work Safety</t>
  </si>
  <si>
    <t>Conocimiento / Ejecución</t>
  </si>
  <si>
    <t>KRR: controles de ignición, permisos, vigilancia de fuego; SOP: emisión/ejecución de permiso y vigilancia.</t>
  </si>
  <si>
    <t>OK Cambiar presentacion de ambos instructores y eliminar sus imágenes</t>
  </si>
  <si>
    <t>Buda - Echegaray (JP) y Geordana</t>
  </si>
  <si>
    <t>Seguridad con la Radiacion</t>
  </si>
  <si>
    <t>HSE 360: HSMSWT-025</t>
  </si>
  <si>
    <t>HSMSWT-025 / Radiation Safety</t>
  </si>
  <si>
    <t>Sí (según exposición/rol)</t>
  </si>
  <si>
    <t>Trabajadores en áreas con radiación; Responsable de seguridad radiológica</t>
  </si>
  <si>
    <t>Conocimiento (expuestos) / Evaluación (RSR)</t>
  </si>
  <si>
    <t>KRR: fundamentos NORM/TENORM, límites, señales, monitoreo; SOP: uso/almacenado, equipos de medición, respuesta a pérdidas</t>
  </si>
  <si>
    <t>Equipo de Proteccion Personal (PPE)</t>
  </si>
  <si>
    <t>HSE 360: HSMSWT-026</t>
  </si>
  <si>
    <t>HSMSWT-026 / Personal Protective Equipment (PPE)</t>
  </si>
  <si>
    <t>Conocimiento+ Ejecución / Evaluacion</t>
  </si>
  <si>
    <r>
      <t xml:space="preserve">KRR: evaluación de peligros y </t>
    </r>
    <r>
      <rPr>
        <b/>
        <sz val="10"/>
        <color theme="1"/>
        <rFont val="Aptos Narrow"/>
        <family val="2"/>
        <scheme val="minor"/>
      </rPr>
      <t>selección/limitaciones</t>
    </r>
    <r>
      <rPr>
        <sz val="10"/>
        <color theme="1"/>
        <rFont val="Aptos Narrow"/>
        <family val="2"/>
        <scheme val="minor"/>
      </rPr>
      <t>, colocación/cuidado; SOP: implementación del programa y re‑entrenamiento cuando sea necesario.</t>
    </r>
  </si>
  <si>
    <t>Proteccion Respiratoria</t>
  </si>
  <si>
    <t>HSE 360: HSMSWT-029</t>
  </si>
  <si>
    <t>HSMSWT-029 / Respiratory Protection</t>
  </si>
  <si>
    <t>Sí (usuarios y admin.)</t>
  </si>
  <si>
    <t>Usuarios de RPE; Admin. del Programa</t>
  </si>
  <si>
    <t>RPE: Ejecución; Conocimiento;  Evaluacion</t>
  </si>
  <si>
    <t>KRR: selección/uso/cuidado; ajuste/fit test; SOP: mantenimiento, evaluación médica; admin. calificado por formación/experiencia.</t>
  </si>
  <si>
    <t>Aula + pruebas de ajuste</t>
  </si>
  <si>
    <t>Evaluación práctica + **fit test**</t>
  </si>
  <si>
    <t>Inicial + anual  (formación y fit) + al cambiar respirador/proceso o post‑incidente.</t>
  </si>
  <si>
    <t xml:space="preserve">Seguridad con Escaleras </t>
  </si>
  <si>
    <t xml:space="preserve">HSE 360: HSMSWT-038 </t>
  </si>
  <si>
    <t>HSMSWT-038 / Ladder &amp; Stair Safety</t>
  </si>
  <si>
    <t>Sí (usuarios)</t>
  </si>
  <si>
    <t>Quienes usan escaleras/pasarelas</t>
  </si>
  <si>
    <t>KRR: selección, inspección pre‑uso, montaje seguro, 3 puntos de apoyo; **curso “Ladder and Stair Safety 101 (online)”**.</t>
  </si>
  <si>
    <t>Seguridad con Escaleras // Estantes de Almacenamiento</t>
  </si>
  <si>
    <t xml:space="preserve">HSE 360: HSMSWT-038 / HSMSWT-045 </t>
  </si>
  <si>
    <t>HSMSWT-038 / Ladder &amp; Stair Safety // HSMSWT-045 - Storage Racks</t>
  </si>
  <si>
    <t>Sí (inspectores)</t>
  </si>
  <si>
    <t>Personal que inspecciona escaleras/pasarelas / racks</t>
  </si>
  <si>
    <t>KRR/SOP: criterios de inspección, retiro de servicio, mantenimiento; revisión de manuales del fabricante.</t>
  </si>
  <si>
    <t>Responsabilidades del Supervisor</t>
  </si>
  <si>
    <t>Corporativo</t>
  </si>
  <si>
    <t>Responsabilidades del supervisor</t>
  </si>
  <si>
    <t>Sí (Mandos medios y gerentes)</t>
  </si>
  <si>
    <t>Personal que lidera a personas</t>
  </si>
  <si>
    <t>KRR: Planificación de la Seguridad, Liderando la Seguridad, Supervisión de la Seguridad</t>
  </si>
  <si>
    <t>Gimenez (ver si se puede bajar desde el HUB)</t>
  </si>
  <si>
    <t>Espacios Confinados (Todos)</t>
  </si>
  <si>
    <t>HSE 360: HSMS.017</t>
  </si>
  <si>
    <t>HSMS.017 / Confined Space Entry (Espacios Confinados)</t>
  </si>
  <si>
    <t>Entrantes, vigilantes, supervisores de entrada y rescate</t>
  </si>
  <si>
    <t>Conocimiento, Ejecución, Evaluacion</t>
  </si>
  <si>
    <t>KRR: definición/identificación, atmósferas, roles; SOP: permisos, mediciones, ventilación, rescate, cierre del permiso.</t>
  </si>
  <si>
    <t>HSMS.017 / Espacios Confinados (Entrantes)</t>
  </si>
  <si>
    <t>KRR: definición/identificación, atmósferas, roles. PROCEDIMIENTO</t>
  </si>
  <si>
    <t>Inicial y ante cambios en espacios confinados o el procedimiento</t>
  </si>
  <si>
    <t>Programa de Agua (Todos)</t>
  </si>
  <si>
    <t>HSE 360: ENVMS.006</t>
  </si>
  <si>
    <t>ENVMS.006 / Water Programs</t>
  </si>
  <si>
    <r>
      <t xml:space="preserve">Operaciones/Mantenimiento/HSE que manejan descargas, plantas de tratamiento, contenciones e </t>
    </r>
    <r>
      <rPr>
        <b/>
        <sz val="10"/>
        <color theme="1"/>
        <rFont val="Aptos Narrow"/>
        <family val="2"/>
        <scheme val="minor"/>
      </rPr>
      <t>inspecciones de pluviales</t>
    </r>
  </si>
  <si>
    <t>Conocimiento, Ejecución,</t>
  </si>
  <si>
    <r>
      <t>KRR:</t>
    </r>
    <r>
      <rPr>
        <sz val="10"/>
        <color theme="1"/>
        <rFont val="Aptos Narrow"/>
        <family val="2"/>
        <scheme val="minor"/>
      </rPr>
      <t xml:space="preserve"> obligaciones y permisos; aguas </t>
    </r>
    <r>
      <rPr>
        <b/>
        <sz val="10"/>
        <color theme="1"/>
        <rFont val="Aptos Narrow"/>
        <family val="2"/>
        <scheme val="minor"/>
      </rPr>
      <t>procesadas</t>
    </r>
    <r>
      <rPr>
        <sz val="10"/>
        <color theme="1"/>
        <rFont val="Aptos Narrow"/>
        <family val="2"/>
        <scheme val="minor"/>
      </rPr>
      <t xml:space="preserve">: opciones de disposición (planta en sitio/fuera, recipiente), </t>
    </r>
    <r>
      <rPr>
        <b/>
        <sz val="10"/>
        <color theme="1"/>
        <rFont val="Aptos Narrow"/>
        <family val="2"/>
        <scheme val="minor"/>
      </rPr>
      <t>segregación</t>
    </r>
    <r>
      <rPr>
        <sz val="10"/>
        <color theme="1"/>
        <rFont val="Aptos Narrow"/>
        <family val="2"/>
        <scheme val="minor"/>
      </rPr>
      <t xml:space="preserve"> y </t>
    </r>
    <r>
      <rPr>
        <b/>
        <sz val="10"/>
        <color theme="1"/>
        <rFont val="Aptos Narrow"/>
        <family val="2"/>
        <scheme val="minor"/>
      </rPr>
      <t>pretratamiento</t>
    </r>
    <r>
      <rPr>
        <sz val="10"/>
        <color theme="1"/>
        <rFont val="Aptos Narrow"/>
        <family val="2"/>
        <scheme val="minor"/>
      </rPr>
      <t xml:space="preserve">; aguas </t>
    </r>
    <r>
      <rPr>
        <b/>
        <sz val="10"/>
        <color theme="1"/>
        <rFont val="Aptos Narrow"/>
        <family val="2"/>
        <scheme val="minor"/>
      </rPr>
      <t>no procesadas</t>
    </r>
    <r>
      <rPr>
        <sz val="10"/>
        <color theme="1"/>
        <rFont val="Aptos Narrow"/>
        <family val="2"/>
        <scheme val="minor"/>
      </rPr>
      <t xml:space="preserve"> y </t>
    </r>
    <r>
      <rPr>
        <b/>
        <sz val="10"/>
        <color theme="1"/>
        <rFont val="Aptos Narrow"/>
        <family val="2"/>
        <scheme val="minor"/>
      </rPr>
      <t>pluviales</t>
    </r>
    <r>
      <rPr>
        <sz val="10"/>
        <color theme="1"/>
        <rFont val="Aptos Narrow"/>
        <family val="2"/>
        <scheme val="minor"/>
      </rPr>
      <t xml:space="preserve"> (no descargar contaminadas); </t>
    </r>
    <r>
      <rPr>
        <b/>
        <sz val="10"/>
        <color theme="1"/>
        <rFont val="Aptos Narrow"/>
        <family val="2"/>
        <scheme val="minor"/>
      </rPr>
      <t>SOP:</t>
    </r>
    <r>
      <rPr>
        <sz val="10"/>
        <color theme="1"/>
        <rFont val="Aptos Narrow"/>
        <family val="2"/>
        <scheme val="minor"/>
      </rPr>
      <t xml:space="preserve"> ejecutar inspecciones (trimestrales visuales, </t>
    </r>
    <r>
      <rPr>
        <b/>
        <sz val="10"/>
        <color theme="1"/>
        <rFont val="Aptos Narrow"/>
        <family val="2"/>
        <scheme val="minor"/>
      </rPr>
      <t>mensuales</t>
    </r>
    <r>
      <rPr>
        <sz val="10"/>
        <color theme="1"/>
        <rFont val="Aptos Narrow"/>
        <family val="2"/>
        <scheme val="minor"/>
      </rPr>
      <t xml:space="preserve"> de sitio y de contenciones) y documentarlas.</t>
    </r>
  </si>
  <si>
    <r>
      <t>Inicial (antes de asignación)</t>
    </r>
    <r>
      <rPr>
        <sz val="10"/>
        <color theme="1"/>
        <rFont val="Aptos Narrow"/>
        <family val="2"/>
        <scheme val="minor"/>
      </rPr>
      <t xml:space="preserve"> + por cambios de permisos/procesos/equipos o incidentes</t>
    </r>
  </si>
  <si>
    <t>Programa de Agua (HSE)</t>
  </si>
  <si>
    <t xml:space="preserve">HSE 360: ENVMS.006 </t>
  </si>
  <si>
    <t>Sí (rol de gestión)</t>
  </si>
  <si>
    <t>hse</t>
  </si>
  <si>
    <t>Conocimiento,  Evaluacion</t>
  </si>
  <si>
    <r>
      <t>KRR:</t>
    </r>
    <r>
      <rPr>
        <sz val="10"/>
        <color theme="1"/>
        <rFont val="Aptos Narrow"/>
        <family val="2"/>
        <scheme val="minor"/>
      </rPr>
      <t xml:space="preserve"> minimizar contaminantes; mantener </t>
    </r>
    <r>
      <rPr>
        <b/>
        <sz val="10"/>
        <color theme="1"/>
        <rFont val="Aptos Narrow"/>
        <family val="2"/>
        <scheme val="minor"/>
      </rPr>
      <t>permisos/exenciones</t>
    </r>
    <r>
      <rPr>
        <sz val="10"/>
        <color theme="1"/>
        <rFont val="Aptos Narrow"/>
        <family val="2"/>
        <scheme val="minor"/>
      </rPr>
      <t xml:space="preserve"> y documentación; definir y mantener registros; </t>
    </r>
    <r>
      <rPr>
        <b/>
        <sz val="10"/>
        <color theme="1"/>
        <rFont val="Aptos Narrow"/>
        <family val="2"/>
        <scheme val="minor"/>
      </rPr>
      <t>SOP:</t>
    </r>
    <r>
      <rPr>
        <sz val="10"/>
        <color theme="1"/>
        <rFont val="Aptos Narrow"/>
        <family val="2"/>
        <scheme val="minor"/>
      </rPr>
      <t xml:space="preserve"> implementar programa local, asegurar capacitación y cumplimiento.</t>
    </r>
  </si>
  <si>
    <t>Lectura de procedimiento + revisión documental</t>
  </si>
  <si>
    <t>Auditoría/verificación de cumplimiento</t>
  </si>
  <si>
    <t>Inicial + cuando cambien requisitos regulatorios/cliente.</t>
  </si>
  <si>
    <t>HIV/SIDA y otras enfermedades de transmisión sexual (ETS)</t>
  </si>
  <si>
    <t xml:space="preserve">Cumplimiento de capacitación HSE/Salud y concientización al personal. </t>
  </si>
  <si>
    <t>Medicina Laboral / HSE (según disponibilidad)</t>
  </si>
  <si>
    <t>Marco legal: Ley 19.587/72 Art. 9 inc. k; Dec. 351/79 Arts. 208–213; Res. SRT 905/15. Prevención, reducción de exposición y promoción de conductas seguras.</t>
  </si>
  <si>
    <t>A</t>
  </si>
  <si>
    <r>
      <t>A:</t>
    </r>
    <r>
      <rPr>
        <sz val="11"/>
        <color theme="1"/>
        <rFont val="Aptos Narrow"/>
        <family val="2"/>
        <scheme val="minor"/>
      </rPr>
      <t xml:space="preserve"> conceptos básicos HIV/ETS, vías de transmisión, mitos, prevención, confidencialidad, conducta responsable. 
</t>
    </r>
    <r>
      <rPr>
        <b/>
        <sz val="11"/>
        <color theme="1"/>
        <rFont val="Aptos Narrow"/>
        <family val="2"/>
        <scheme val="minor"/>
      </rPr>
      <t>B:</t>
    </r>
    <r>
      <rPr>
        <sz val="11"/>
        <color theme="1"/>
        <rFont val="Aptos Narrow"/>
        <family val="2"/>
        <scheme val="minor"/>
      </rPr>
      <t xml:space="preserve"> aplicación de medidas preventivas y conducta segura. 
</t>
    </r>
    <r>
      <rPr>
        <b/>
        <sz val="11"/>
        <color theme="1"/>
        <rFont val="Aptos Narrow"/>
        <family val="2"/>
        <scheme val="minor"/>
      </rPr>
      <t>C:</t>
    </r>
    <r>
      <rPr>
        <sz val="11"/>
        <color theme="1"/>
        <rFont val="Aptos Narrow"/>
        <family val="2"/>
        <scheme val="minor"/>
      </rPr>
      <t xml:space="preserve"> no aplica (salvo rol verificador).</t>
    </r>
  </si>
  <si>
    <t>Charla / e-learning</t>
  </si>
  <si>
    <t>Quiz corto (aprobación mínima definida)</t>
  </si>
  <si>
    <t>Anual; ingreso/inducción; campañas; cambios epidemiológicos o requerimientos cliente</t>
  </si>
  <si>
    <t>HSE / Medicina Laboral</t>
  </si>
  <si>
    <t>Drogas de abuso (concientización y prevención)</t>
  </si>
  <si>
    <t xml:space="preserve">Cumplimiento de capacitación HSE/Salud. </t>
  </si>
  <si>
    <t>Marco legal : Ley 19.587/72 Art. 9 inc. k; Dec. 351/79 Arts. 208–213; Res. SRT 905/15. Prevención de incidentes por deterioro de aptitud, seguridad operacional y cultura preventiva.</t>
  </si>
  <si>
    <r>
      <t>A:</t>
    </r>
    <r>
      <rPr>
        <sz val="11"/>
        <color theme="1"/>
        <rFont val="Aptos Narrow"/>
        <family val="2"/>
        <scheme val="minor"/>
      </rPr>
      <t xml:space="preserve"> efectos en la seguridad, signos de alerta, factores de riesgo, canales de ayuda, normas internas. 
</t>
    </r>
    <r>
      <rPr>
        <b/>
        <sz val="11"/>
        <color theme="1"/>
        <rFont val="Aptos Narrow"/>
        <family val="2"/>
        <scheme val="minor"/>
      </rPr>
      <t>B:</t>
    </r>
    <r>
      <rPr>
        <sz val="11"/>
        <color theme="1"/>
        <rFont val="Aptos Narrow"/>
        <family val="2"/>
        <scheme val="minor"/>
      </rPr>
      <t xml:space="preserve"> conducta segura: reporte, autocuidado, no tolerancia a prácticas inseguras.
</t>
    </r>
    <r>
      <rPr>
        <b/>
        <sz val="11"/>
        <color theme="1"/>
        <rFont val="Aptos Narrow"/>
        <family val="2"/>
        <scheme val="minor"/>
      </rPr>
      <t>C:</t>
    </r>
    <r>
      <rPr>
        <sz val="11"/>
        <color theme="1"/>
        <rFont val="Aptos Narrow"/>
        <family val="2"/>
        <scheme val="minor"/>
      </rPr>
      <t xml:space="preserve"> no aplica.</t>
    </r>
  </si>
  <si>
    <t>Quiz + registro de asistencia</t>
  </si>
  <si>
    <t>Anual; ingreso; incidentes/casi-incidentes; observaciones de conducta; campañas</t>
  </si>
  <si>
    <t>Vida saludable (hábitos, autocuidado y bienestar)</t>
  </si>
  <si>
    <t xml:space="preserve">Cumplimiento de capacitación HSE/Salud y promoción de condiciones saludables. </t>
  </si>
  <si>
    <t>Medicina Laboral / HSE</t>
  </si>
  <si>
    <t>Marco legal: Ley 19.587/72 Art. 9 inc. k; Dec. 351/79 Arts. 208–213; Res. SRT 905/15. Enfoque preventivo (fatiga, alimentación, descanso, ergonomía conductual).</t>
  </si>
  <si>
    <r>
      <t>A:</t>
    </r>
    <r>
      <rPr>
        <sz val="11"/>
        <color theme="1"/>
        <rFont val="Aptos Narrow"/>
        <family val="2"/>
        <scheme val="minor"/>
      </rPr>
      <t xml:space="preserve"> hábitos saludables, hidratación, descanso, prevención de fatiga, señales de alerta. 
</t>
    </r>
    <r>
      <rPr>
        <b/>
        <sz val="11"/>
        <color theme="1"/>
        <rFont val="Aptos Narrow"/>
        <family val="2"/>
        <scheme val="minor"/>
      </rPr>
      <t>B:</t>
    </r>
    <r>
      <rPr>
        <sz val="11"/>
        <color theme="1"/>
        <rFont val="Aptos Narrow"/>
        <family val="2"/>
        <scheme val="minor"/>
      </rPr>
      <t xml:space="preserve"> aplicación práctica en rutina (pausas, autocontrol, comunicación temprana). 
</t>
    </r>
    <r>
      <rPr>
        <b/>
        <sz val="11"/>
        <color theme="1"/>
        <rFont val="Aptos Narrow"/>
        <family val="2"/>
        <scheme val="minor"/>
      </rPr>
      <t>C:</t>
    </r>
    <r>
      <rPr>
        <sz val="11"/>
        <color theme="1"/>
        <rFont val="Aptos Narrow"/>
        <family val="2"/>
        <scheme val="minor"/>
      </rPr>
      <t xml:space="preserve"> no aplica.</t>
    </r>
  </si>
  <si>
    <t>Quiz / encuesta de comprensión</t>
  </si>
  <si>
    <t>Anual; ingreso; campañas; aumento de incidentes asociados a fatiga/bienestar</t>
  </si>
  <si>
    <t>Primeros auxilios y Reanimación Cardio Pulmonar (RCP)</t>
  </si>
  <si>
    <t xml:space="preserve">Competencia crítica de respuesta ante emergencias. </t>
  </si>
  <si>
    <t>Proveedor habilitado / Brigada / HSE (según esquema)</t>
  </si>
  <si>
    <t>Marco legal: Ley 19.587/72 Art. 9 inc. k; Dec. 351/79 Arts. 208–213; Res. SRT 905/15. Requisito operativo para respuesta inicial y coordinación ante eventos médicos.</t>
  </si>
  <si>
    <t>B</t>
  </si>
  <si>
    <r>
      <t>A:</t>
    </r>
    <r>
      <rPr>
        <sz val="11"/>
        <color theme="1"/>
        <rFont val="Aptos Narrow"/>
        <family val="2"/>
        <scheme val="minor"/>
      </rPr>
      <t xml:space="preserve"> reconocimiento de emergencia, cadena de supervivencia, riesgos, bioseguridad. 
</t>
    </r>
    <r>
      <rPr>
        <b/>
        <sz val="11"/>
        <color theme="1"/>
        <rFont val="Aptos Narrow"/>
        <family val="2"/>
        <scheme val="minor"/>
      </rPr>
      <t>B:</t>
    </r>
    <r>
      <rPr>
        <sz val="11"/>
        <color theme="1"/>
        <rFont val="Aptos Narrow"/>
        <family val="2"/>
        <scheme val="minor"/>
      </rPr>
      <t xml:space="preserve"> RCP práctica, uso DEA si aplica, control de hemorragias, manejo inicial hasta arribo de ayuda. 
</t>
    </r>
    <r>
      <rPr>
        <b/>
        <sz val="11"/>
        <color theme="1"/>
        <rFont val="Aptos Narrow"/>
        <family val="2"/>
        <scheme val="minor"/>
      </rPr>
      <t>C:</t>
    </r>
    <r>
      <rPr>
        <sz val="11"/>
        <color theme="1"/>
        <rFont val="Aptos Narrow"/>
        <family val="2"/>
        <scheme val="minor"/>
      </rPr>
      <t xml:space="preserve"> evaluación práctica por instructor/verificador.</t>
    </r>
  </si>
  <si>
    <t>Presencial práctico</t>
  </si>
  <si>
    <t>Evaluación práctica + quiz (si aplica)</t>
  </si>
  <si>
    <t>Anual (o según estándar); ingreso a brigada; cambios de rol; post-incidente</t>
  </si>
  <si>
    <t>Proveedor / Brigada / HSE</t>
  </si>
  <si>
    <t>Prevención cardiovascular (factores de riesgo y señales de alarma)</t>
  </si>
  <si>
    <t>Marco legal: Ley 19.587/72 Art. 9 inc. k; Dec. 351/79 Arts. 208–213; Res. SRT 905/15. Prevención de eventos agudos, identificación temprana, hábitos protectores.</t>
  </si>
  <si>
    <r>
      <t>A:</t>
    </r>
    <r>
      <rPr>
        <sz val="11"/>
        <color theme="1"/>
        <rFont val="Aptos Narrow"/>
        <family val="2"/>
        <scheme val="minor"/>
      </rPr>
      <t xml:space="preserve"> factores de riesgo, señales de alarma (ACV/infarto), conducta de respuesta. 
</t>
    </r>
    <r>
      <rPr>
        <b/>
        <sz val="11"/>
        <color theme="1"/>
        <rFont val="Aptos Narrow"/>
        <family val="2"/>
        <scheme val="minor"/>
      </rPr>
      <t>B:</t>
    </r>
    <r>
      <rPr>
        <sz val="11"/>
        <color theme="1"/>
        <rFont val="Aptos Narrow"/>
        <family val="2"/>
        <scheme val="minor"/>
      </rPr>
      <t xml:space="preserve"> aplicación en hábitos/rutina y búsqueda temprana de ayuda. 
</t>
    </r>
    <r>
      <rPr>
        <b/>
        <sz val="11"/>
        <color theme="1"/>
        <rFont val="Aptos Narrow"/>
        <family val="2"/>
        <scheme val="minor"/>
      </rPr>
      <t>C:</t>
    </r>
    <r>
      <rPr>
        <sz val="11"/>
        <color theme="1"/>
        <rFont val="Aptos Narrow"/>
        <family val="2"/>
        <scheme val="minor"/>
      </rPr>
      <t xml:space="preserve"> no aplica.</t>
    </r>
  </si>
  <si>
    <t>Quiz corto</t>
  </si>
  <si>
    <t>Anual; campañas; estadísticas médicas internas; requerimiento cliente</t>
  </si>
  <si>
    <t>Efectos del tabaco sobre la salud</t>
  </si>
  <si>
    <t xml:space="preserve">Cumplimiento de capacitación HSE/Salud y concientización. </t>
  </si>
  <si>
    <t>Marco legal: Ley 19.587/72 Art. 9 inc. k; Dec. 351/79 Arts. 208–213; Res. SRT 905/15. Prevención, salud respiratoria y reducción de factores de riesgo.</t>
  </si>
  <si>
    <r>
      <t>A:</t>
    </r>
    <r>
      <rPr>
        <sz val="11"/>
        <color theme="1"/>
        <rFont val="Aptos Narrow"/>
        <family val="2"/>
        <scheme val="minor"/>
      </rPr>
      <t xml:space="preserve"> efectos del tabaco, impacto respiratorio/cardiovascular, riesgo laboral indirecto (fatiga, recuperación), recursos de cesación. 
</t>
    </r>
    <r>
      <rPr>
        <b/>
        <sz val="11"/>
        <color theme="1"/>
        <rFont val="Aptos Narrow"/>
        <family val="2"/>
        <scheme val="minor"/>
      </rPr>
      <t>B:</t>
    </r>
    <r>
      <rPr>
        <sz val="11"/>
        <color theme="1"/>
        <rFont val="Aptos Narrow"/>
        <family val="2"/>
        <scheme val="minor"/>
      </rPr>
      <t xml:space="preserve"> compromiso de conductas saludables/adhesión a políticas del sitio. 
</t>
    </r>
    <r>
      <rPr>
        <b/>
        <sz val="11"/>
        <color theme="1"/>
        <rFont val="Aptos Narrow"/>
        <family val="2"/>
        <scheme val="minor"/>
      </rPr>
      <t>C:</t>
    </r>
    <r>
      <rPr>
        <sz val="11"/>
        <color theme="1"/>
        <rFont val="Aptos Narrow"/>
        <family val="2"/>
        <scheme val="minor"/>
      </rPr>
      <t xml:space="preserve"> no aplica.</t>
    </r>
  </si>
  <si>
    <t>Quiz / confirmación de lectura</t>
  </si>
  <si>
    <t>Anual; campañas; requerimiento cliente</t>
  </si>
  <si>
    <t>Cargadora (Op. Montacargas)</t>
  </si>
  <si>
    <t>NOMBRE</t>
  </si>
  <si>
    <t>FECHA</t>
  </si>
  <si>
    <t>TIPO</t>
  </si>
  <si>
    <t>VIGENCIAS</t>
  </si>
  <si>
    <t>ESTADO</t>
  </si>
  <si>
    <t>SELECCIONE PERSONA:</t>
  </si>
  <si>
    <t>N°HUB</t>
  </si>
  <si>
    <t>HUB</t>
  </si>
  <si>
    <t>AP</t>
  </si>
  <si>
    <t>AGUERO, MARCOS ALEXANDER</t>
  </si>
  <si>
    <t>AGUILAR, SEBASTIAN OSVALDO</t>
  </si>
  <si>
    <t>YAPURA, ELIO ELIAS</t>
  </si>
  <si>
    <t>WOODLEY, ENRIQUE JAVIER</t>
  </si>
  <si>
    <t>VILLOUTA, VICTOR LEONEL</t>
  </si>
  <si>
    <t>ALMADA, CRISTIAN HORACIO</t>
  </si>
  <si>
    <t>VILLARREAL, FERNANDO GABRIEL</t>
  </si>
  <si>
    <t>VILLAR HIDALGO, JUAN CARLOS</t>
  </si>
  <si>
    <t>VILLAFAÑE, ALFREDO HUGO</t>
  </si>
  <si>
    <t>ALVARADO, LEANDRO GERMAN</t>
  </si>
  <si>
    <t>VIDAL ALVARADO, LUIS MARCELO</t>
  </si>
  <si>
    <t>VERON, EZEQUIEL</t>
  </si>
  <si>
    <t>VERA, JORGE GUSTAVO</t>
  </si>
  <si>
    <t>VELASQUEZ CAICO, MIGUEL ALFONSO</t>
  </si>
  <si>
    <t>VEGA, WALTER GUILLERMO</t>
  </si>
  <si>
    <t>ARAOZ, JORGE MATIAS</t>
  </si>
  <si>
    <t>VEGA, ANDREA DANIELA</t>
  </si>
  <si>
    <t>VASQUE, ROLANDO JAVIER</t>
  </si>
  <si>
    <t>VARGAS, RICARDO DAVID</t>
  </si>
  <si>
    <t>VARGAS, LUCAS RICARDO</t>
  </si>
  <si>
    <t>AVILA, LUCAS MIGUEL</t>
  </si>
  <si>
    <t>VARGAS OYARZUN, HANNER SEPTIMO</t>
  </si>
  <si>
    <t>VALDES, GUILLERMO FABIAN</t>
  </si>
  <si>
    <t>USQUEDA, ANDRES ARNALDO</t>
  </si>
  <si>
    <t>URREA, ARTURO MARTIN</t>
  </si>
  <si>
    <t>URIBE CASTRO, JUAN CARLOS</t>
  </si>
  <si>
    <t>UNQUEN, EDGARDO</t>
  </si>
  <si>
    <t>TRIVIÑO, SERGIO ALEJANDRO</t>
  </si>
  <si>
    <t>TORRES MANSILLA, JUAN ELADIO</t>
  </si>
  <si>
    <t>TORRES MANSILLA, JOSE RAUL</t>
  </si>
  <si>
    <t>TOLEDO, ROBERTO SEBASTIAN</t>
  </si>
  <si>
    <t>BARRIONUEVO, MAXIMO ANDRE</t>
  </si>
  <si>
    <t>TENEB, LUIS ENRIQUE</t>
  </si>
  <si>
    <t>TELLO, NATALIA ANDREA</t>
  </si>
  <si>
    <t>TELLEZ, DIEGO EMANUEL</t>
  </si>
  <si>
    <t>BAZAN, ANDRES RODOLFO</t>
  </si>
  <si>
    <t>TAHIR, PABLO MARTIN</t>
  </si>
  <si>
    <t>SOTOMAYOR, RICARDO MANUEL</t>
  </si>
  <si>
    <t>SOTO, SERGIO FABIAN</t>
  </si>
  <si>
    <t>SOTO, JOSE ROBERTO</t>
  </si>
  <si>
    <t>SOTO, CLAUDIO ANDRES</t>
  </si>
  <si>
    <t>SOTO, CARLOS ALEXANDER</t>
  </si>
  <si>
    <t>BOGADO, JOSE JAVIER</t>
  </si>
  <si>
    <t>SOSA, MARCELO EDUARDO</t>
  </si>
  <si>
    <t>SOSA, CRISTIAN EDUARDO</t>
  </si>
  <si>
    <t>SORIANO RODRIGUEZ, JUAN CARLOS</t>
  </si>
  <si>
    <t>SOLANO BOLAÑOS, JOSE ESTEBAN</t>
  </si>
  <si>
    <t>SILVA, MARCOS ANTONIO</t>
  </si>
  <si>
    <t>SILVA, LEANDRO</t>
  </si>
  <si>
    <t>SANZANA, HORACIO JORGE</t>
  </si>
  <si>
    <t>SANTILLAN, BRUNO RODRIGO</t>
  </si>
  <si>
    <t>SANTANA, OCTAVIO MARTIN</t>
  </si>
  <si>
    <t>SANTA CRUZ, LUCIANA BEATRIZ</t>
  </si>
  <si>
    <t>SANDOVAL, MATIAS</t>
  </si>
  <si>
    <t>SANCHEZ, LUIS ALBERTO</t>
  </si>
  <si>
    <t>SANCHEZ, LUCAS MARTIN</t>
  </si>
  <si>
    <t>SANCHEZ, HECTOR SEBASTIAN</t>
  </si>
  <si>
    <t>SAN MARTIN, JOSE DAVID</t>
  </si>
  <si>
    <t>SALVATIERRA, MARCOS FEDERICO</t>
  </si>
  <si>
    <t>SALVATIERRA, GUILLERMO ALEJANDRO</t>
  </si>
  <si>
    <t>SALESKY, JORGE EMILIO</t>
  </si>
  <si>
    <t>CARCAMO, MAURICIO ANDRES</t>
  </si>
  <si>
    <t>SAGUIR, DARIO FERNANDO</t>
  </si>
  <si>
    <t>RUNIN, ADRIAN</t>
  </si>
  <si>
    <t>RUIZ, CHRISTIAN DAMIAN</t>
  </si>
  <si>
    <t>RODRIGUEZ, JOSE LUIS</t>
  </si>
  <si>
    <t>CARRIL, SERGIO IVAN</t>
  </si>
  <si>
    <t>CARRIZO BARRETO, LAUTARO YAMIL</t>
  </si>
  <si>
    <t>CARRIZO, CARLOS ALFREDO</t>
  </si>
  <si>
    <t>CARRIZO, CLIVER GONZALO</t>
  </si>
  <si>
    <t>CARRIZO, ERIC DAVID</t>
  </si>
  <si>
    <t>ROBLEDO, MARCELO GABRIEL</t>
  </si>
  <si>
    <t>CASAS, MARTIN EDUARDO</t>
  </si>
  <si>
    <t>RIOS SUBIABRE, SERGIO PATRICIO</t>
  </si>
  <si>
    <t>RIBEIRO DUARTE, CINTIA IOANA</t>
  </si>
  <si>
    <t>CASTILLO, LEANDRO FABIAN</t>
  </si>
  <si>
    <t>REMOLCOY CARCAMO, JOSE NAZARIO</t>
  </si>
  <si>
    <t>REINOSO, RICARDO SEBASTIAN</t>
  </si>
  <si>
    <t>REALES, JUAN NICOMEDES</t>
  </si>
  <si>
    <t>CEJAS, ALFREDO NICOLAS</t>
  </si>
  <si>
    <t>QUISPE, DANIEL ALFREDO</t>
  </si>
  <si>
    <t>CHACOMA, JUAN ALBERTO</t>
  </si>
  <si>
    <t>QUIROZ, LUIS ALEJANDRO EXZEQ</t>
  </si>
  <si>
    <t>QUINCHAMAN, JOSE DAGOBERTO</t>
  </si>
  <si>
    <t>QUELIPANI, OSCAR ANDRES</t>
  </si>
  <si>
    <t>PONTELLI, MATIAS MIYAEL</t>
  </si>
  <si>
    <t>PISANO, AUDINO CARLOS FABIAN</t>
  </si>
  <si>
    <t>PERALTA, CRISTIAN DANIEL</t>
  </si>
  <si>
    <t>PAREDES, SERGIO ANDRES</t>
  </si>
  <si>
    <t>PAREDES, RAMON ENRIQUE</t>
  </si>
  <si>
    <t>PAREDES, JUAN JOSE</t>
  </si>
  <si>
    <t>PAREDES, DIEGO FERNANDO</t>
  </si>
  <si>
    <t>PALACIOS, FACUNDO ARIEL</t>
  </si>
  <si>
    <t>PALACIO, RAFAEL URIEL</t>
  </si>
  <si>
    <t>CORTEZ-AYOSA, ALAN FEDERICO</t>
  </si>
  <si>
    <t>PALACIO, DANIEL ALEJANDRO</t>
  </si>
  <si>
    <t>PAIRO, FRANCISCO MARTIN</t>
  </si>
  <si>
    <t>PAIRO, ELIO EMANUEL</t>
  </si>
  <si>
    <t>PAILLAN, SERGIO ENRIQUE</t>
  </si>
  <si>
    <t>PAEZ, MIGUEL ANGEL</t>
  </si>
  <si>
    <t>PAEZ, MAURO JOSE</t>
  </si>
  <si>
    <t>PAEZ, CHRISTIAN ARIEL</t>
  </si>
  <si>
    <t>PAEZ, CESAR RUBEN</t>
  </si>
  <si>
    <t>PACHECO, SERGIO DANIEL</t>
  </si>
  <si>
    <t>DELGADO, ARIEL DARIO</t>
  </si>
  <si>
    <t>DELGADO, SERGIO ABEL</t>
  </si>
  <si>
    <t>PACHECO, LEONARDO ENRIQUE</t>
  </si>
  <si>
    <t>OYARZO, VICTOR MARIO</t>
  </si>
  <si>
    <t>OYARZO, MIRZO ALEJANDRO</t>
  </si>
  <si>
    <t>OVALLE ALVARADO, PABLO DARIO</t>
  </si>
  <si>
    <t>OLIVERA, JAVIER ALEJANDRO</t>
  </si>
  <si>
    <t>DIAZ, LUIS HORACIO</t>
  </si>
  <si>
    <t>OJEDA, MAURO NICOLAS</t>
  </si>
  <si>
    <t>DIAZ, MARTIN ARIEL</t>
  </si>
  <si>
    <t>OJEDA, JORGE DANIEL</t>
  </si>
  <si>
    <t>OJEDA, DARIO SEBASTIÁN</t>
  </si>
  <si>
    <t>DUARTE, FERNANDO GASTON</t>
  </si>
  <si>
    <t>OJEDA, ARTURO ENRIQUE</t>
  </si>
  <si>
    <t>NUÑEZ, JUAN CRUZ</t>
  </si>
  <si>
    <t>NICKELS, BRAIAN MICHEL</t>
  </si>
  <si>
    <t>NEHUE, CESAR GABRIEL</t>
  </si>
  <si>
    <t>NAVARRO, LUIS HORACIO</t>
  </si>
  <si>
    <t>NAUTO, VICTOR EDUARDO</t>
  </si>
  <si>
    <t>NARANJO LARA, MATIAS GABRIEL</t>
  </si>
  <si>
    <t>NAIN, SANTIAGO MARCELO</t>
  </si>
  <si>
    <t>MUÑOZ, LUIS ANDRES</t>
  </si>
  <si>
    <t>MUÑOZ, DANIEL ALEJANDRO</t>
  </si>
  <si>
    <t>MOSSUTTO, REBECA</t>
  </si>
  <si>
    <t>FRADEJAS, MARIO ENRIQUE</t>
  </si>
  <si>
    <t>MORENO, FRANCO DAMIAN</t>
  </si>
  <si>
    <t>FUENTES, LUIS ALEJANDRO</t>
  </si>
  <si>
    <t>MORALES SORIA, CESAR EDGARDO</t>
  </si>
  <si>
    <t>MONGILARDI, HECTOR ALBERTO</t>
  </si>
  <si>
    <t>GALVAN, PABLO ROBERTO</t>
  </si>
  <si>
    <t>MIRANDA, LUIS ROSARIO</t>
  </si>
  <si>
    <t>MIRANDA, LUCAS NICOLÁS</t>
  </si>
  <si>
    <t>MIRANDA, BAUDILIO MATIAS</t>
  </si>
  <si>
    <t>MIRANDA, ANIBAL NAHUEL</t>
  </si>
  <si>
    <t>MIÑO, ANGEL ISMAEL</t>
  </si>
  <si>
    <t>MERLO, EDGARDO EXZEQUIEL</t>
  </si>
  <si>
    <t>MERCADO, ANTONIO ALFREDO MART</t>
  </si>
  <si>
    <t>MELO, NESTOR GABRIEL</t>
  </si>
  <si>
    <t>GOMEZ, PABLO JOAQUIN</t>
  </si>
  <si>
    <t>MELO, LUCAS FRANCISCO</t>
  </si>
  <si>
    <t>MAYORGA, PABLO CESAR</t>
  </si>
  <si>
    <t>MAYORGA, NESTOR OSCAR</t>
  </si>
  <si>
    <t>MAYORGA, JOSE LUIS</t>
  </si>
  <si>
    <t>MATULICH, ALEJANDRO CRISTIAN</t>
  </si>
  <si>
    <t>MARUCCI, ANDRES ALEJANDRO</t>
  </si>
  <si>
    <t>MARTINEZ, DANIEL EDGARDO</t>
  </si>
  <si>
    <t>MARTINEZ ESCOBAR, NAHUEL FACUNDO</t>
  </si>
  <si>
    <t>HERRERA, CLAUDIO CESAR</t>
  </si>
  <si>
    <t>MARTEL, FERNANDO JAVIER</t>
  </si>
  <si>
    <t>MARQUEZ, JESUS MATIAS</t>
  </si>
  <si>
    <t>MARIO, CLAUDIA ALEJANDRA</t>
  </si>
  <si>
    <t>MANSILLA, PABLO ABRAHAN</t>
  </si>
  <si>
    <t>MANSILLA, JOSE LUIS</t>
  </si>
  <si>
    <t>MAIMO, RICARDO ELIAS</t>
  </si>
  <si>
    <t>LUCERO, FELIX EDGARDO</t>
  </si>
  <si>
    <t>LORENZ, FRANCO EMILIO</t>
  </si>
  <si>
    <t>LOPEZ, MONICA ALICIA</t>
  </si>
  <si>
    <t>LOPEZ, MARIANO DANIEL</t>
  </si>
  <si>
    <t>LOPEZ, JONATAN DANIEL</t>
  </si>
  <si>
    <t>LINARES, FLORENCIA</t>
  </si>
  <si>
    <t>LIENDO, PABLO EUGENIO</t>
  </si>
  <si>
    <t>LEVIPAN, GUSTAVO ANDRES</t>
  </si>
  <si>
    <t>LEONORI, DANTE OMAR</t>
  </si>
  <si>
    <t>LEDESMA, NESTOR FABIAN</t>
  </si>
  <si>
    <t>LEIVA, LUCIANO</t>
  </si>
  <si>
    <t>LEBLIC, GASTON ARIEL</t>
  </si>
  <si>
    <t>LEAL, GUILLERMO ALBERTO</t>
  </si>
  <si>
    <t>LATORRE, FRANCO GASTON</t>
  </si>
  <si>
    <t>LAIME MERCADO, LIMBERT</t>
  </si>
  <si>
    <t>KLUMPP, LUCIANO ANDRES</t>
  </si>
  <si>
    <t>JOFRE, JOSE LUIS</t>
  </si>
  <si>
    <t>JOFRE, GUSTAVO LEONARDO</t>
  </si>
  <si>
    <t>JARAMILLO, LUIS EMILIO</t>
  </si>
  <si>
    <t>JARA, LISANDRO GABRIEL</t>
  </si>
  <si>
    <t>LUSTO VALLEJO, FEDERICO GABRIEL</t>
  </si>
  <si>
    <t>IVANOVIC, MARIA LAURA</t>
  </si>
  <si>
    <t>MALDONADO, VICTOR ARIEL</t>
  </si>
  <si>
    <t>INOSTROSA, PABLO MARTIN</t>
  </si>
  <si>
    <t>IBARROLA, CARLOS MARIA</t>
  </si>
  <si>
    <t>HIDALGO, SILVANA LORENA</t>
  </si>
  <si>
    <t>HERRERA, PEDRO JAVIER</t>
  </si>
  <si>
    <t>HERRERA, FERNANDO GABRIEL</t>
  </si>
  <si>
    <t>HERNANDEZ, PABLO SEBASTIAN</t>
  </si>
  <si>
    <t>HERNANDEZ, BRUNO ANDRES</t>
  </si>
  <si>
    <t>MARTINEZ, FRANCO JOSE GABRIEL</t>
  </si>
  <si>
    <t>GUTIERREZ, GUSTAVO RAMON</t>
  </si>
  <si>
    <t>GUEVARA, DARIO JOSE RENE</t>
  </si>
  <si>
    <t>GUERRERO HERNANDEZ, CLAUDIO ESTEBAN</t>
  </si>
  <si>
    <t>GONZALEZ, MIGUEL ANGEL</t>
  </si>
  <si>
    <t>GONZALEZ, FRANCISCO MIGUEL</t>
  </si>
  <si>
    <t>MELI, DANIEL ANDRES</t>
  </si>
  <si>
    <t>GONZALEZ, CESAR ORLANDO</t>
  </si>
  <si>
    <t>GOMEZ, JUAN GASPAR</t>
  </si>
  <si>
    <t>GODOY, JOSÉ LUIS</t>
  </si>
  <si>
    <t>GODOY, JORGE HUMBERTO</t>
  </si>
  <si>
    <t>GODOY, ARIEL ALEJANDRO</t>
  </si>
  <si>
    <t>MIRABAL, WALTER OSVALDO</t>
  </si>
  <si>
    <t>GIMENEZ, PABLO ANDRES</t>
  </si>
  <si>
    <t>GERARDI, CARLOS JAVIER</t>
  </si>
  <si>
    <t>GARRIDO, DIEGO ALEXIS</t>
  </si>
  <si>
    <t>GAMIN, DIEGO ELIAS</t>
  </si>
  <si>
    <t>GALLARDO, GASTON</t>
  </si>
  <si>
    <t>MONTES DE OCA, EZEQUIEL NICOLAS</t>
  </si>
  <si>
    <t>GALAZ, GONZALO MARTIN</t>
  </si>
  <si>
    <t>MORALES, DIEGO REINALDO</t>
  </si>
  <si>
    <t>MORALES, ROMAN AGUSTIN</t>
  </si>
  <si>
    <t>FUENTES PEREZ, PATRICIO RUDECINDO</t>
  </si>
  <si>
    <t>MORENO, GABRIEL ERNESTO</t>
  </si>
  <si>
    <t>FORNI, MIGUEL CARLOS</t>
  </si>
  <si>
    <t>FONSECA GONZALEZ, ALEXI SELIM</t>
  </si>
  <si>
    <t>FLORES, JULIO ALBERTO</t>
  </si>
  <si>
    <t>FLORES, CARLOS IVAN</t>
  </si>
  <si>
    <t>FLORES, ANGEL MATIAS</t>
  </si>
  <si>
    <t>FIGUEROA, ANDRES ENRIQUE</t>
  </si>
  <si>
    <t>FERNANDEZ, RODRIGO NICOLAS</t>
  </si>
  <si>
    <t>FERNANDEZ, MAURO ARIEL</t>
  </si>
  <si>
    <t>FERNANDEZ, JEREMIAS TIAGO</t>
  </si>
  <si>
    <t>FERNANDEZ, ARTURO RAUL</t>
  </si>
  <si>
    <t>OCAMPO, ESTEBAN EZEQUIEL</t>
  </si>
  <si>
    <t>ESTRADA, MAURO EMANUEL</t>
  </si>
  <si>
    <t>DODDS, CARLOS DANIEL</t>
  </si>
  <si>
    <t>DIMENZA, ENZO ALBERTO</t>
  </si>
  <si>
    <t>DIAZ, MARTIN ADRIAN</t>
  </si>
  <si>
    <t>OLIVARES, NICOLAS IGNACIO SAID</t>
  </si>
  <si>
    <t>DIAZ, EDUARDO ALEJANDRO</t>
  </si>
  <si>
    <t>OLIVERA, SERGIO HERNAN</t>
  </si>
  <si>
    <t>DIANA LAVALLE, JUAN MANUEL</t>
  </si>
  <si>
    <t>OVIEDO, ISIDRO EZEQUIEL</t>
  </si>
  <si>
    <t>DI PILLA, FEDERICO</t>
  </si>
  <si>
    <t>DESPOS, ISMAEL FRANCISCO</t>
  </si>
  <si>
    <t>DELGADO, YANINA VANESA</t>
  </si>
  <si>
    <t>DEL RIO, PABLO ANDRES</t>
  </si>
  <si>
    <t>DEL RIO, JAVIER ALEJANDRO</t>
  </si>
  <si>
    <t>DEL RIO CONTRERAS, GUILLERMO IVAN</t>
  </si>
  <si>
    <t>DE LA TORRE, MAXIMILIANO JAVIER</t>
  </si>
  <si>
    <t>DE BRITO, JUAN RODRIGO</t>
  </si>
  <si>
    <t>DAGFAL, BENJAMIN ARIEL</t>
  </si>
  <si>
    <t>PAINELAF, DANIEL AGUSTIN</t>
  </si>
  <si>
    <t>CURRUHINCA, SANDRO DANIEL</t>
  </si>
  <si>
    <t>COSTANZO, CAMILO ERNESTO NAHUE</t>
  </si>
  <si>
    <t>CORZO, FRANCO SEBASTIAN</t>
  </si>
  <si>
    <t>CORIA, CARLOS ORLANDO</t>
  </si>
  <si>
    <t>CORDOBA, ROGELIO GABRIEL</t>
  </si>
  <si>
    <t>PALMA, ANGEL ANIBAL</t>
  </si>
  <si>
    <t>PAPA CORONEL, ANDRES CAMILO</t>
  </si>
  <si>
    <t>CORDOBA, ARIEL SANTOS</t>
  </si>
  <si>
    <t>COLIBORO, JACINTO LUIS</t>
  </si>
  <si>
    <t>CHOCOBAR, SANDRA NOEMI</t>
  </si>
  <si>
    <t>CHIVICO ROSAS, ALEXANDER JOSE</t>
  </si>
  <si>
    <t>PAYERO PERONA, JUAN CARLOS</t>
  </si>
  <si>
    <t>CHIGUAY, RUBEN</t>
  </si>
  <si>
    <t>PEREA, JULIAN ALBERTO</t>
  </si>
  <si>
    <t>PEREYRA, JORGE ORLANDO</t>
  </si>
  <si>
    <t>PERONA, EMANUEL EDGARDO</t>
  </si>
  <si>
    <t>PILQUIMAN, MARCELO JORGE</t>
  </si>
  <si>
    <t>CHICAO MANRIQUEZ, JUAN AMADOR</t>
  </si>
  <si>
    <t>CHAZAMPI, ORLANDO GABRIEL</t>
  </si>
  <si>
    <t>PUERTA, MAURO ROBERTO</t>
  </si>
  <si>
    <t>CHAVEZ, DANIEL ANDRES</t>
  </si>
  <si>
    <t>CHANTA, MARTIN FACUNDO</t>
  </si>
  <si>
    <t>QUIROGA, LAUTARO MARTIN</t>
  </si>
  <si>
    <t>CHAILE, ALBERTO DANIEL</t>
  </si>
  <si>
    <t>CERDA, EMANUEL ALEJANDRO</t>
  </si>
  <si>
    <t>RAMIREZ, MARCELO JAVIER</t>
  </si>
  <si>
    <t>REA, RAUL RICARDO</t>
  </si>
  <si>
    <t>CEBALLOS, MARIO ALBERTO</t>
  </si>
  <si>
    <t>CAYUAN, LUCAS FRANCO</t>
  </si>
  <si>
    <t>CASTRO, MANUEL ANTONIO</t>
  </si>
  <si>
    <t>RETAMAL, DAVID RICARDO</t>
  </si>
  <si>
    <t>REUQUE, HUMBERTO MANUEL</t>
  </si>
  <si>
    <t>REYNOSO, NESTOR MARCELO</t>
  </si>
  <si>
    <t>CASTELLANO, CARLOS SALVADOR</t>
  </si>
  <si>
    <t>CASAS, MONICA MABEL</t>
  </si>
  <si>
    <t>RIOS, DAVID ANDRES</t>
  </si>
  <si>
    <t>CARRIZO, MARCOS SEBASTIAN</t>
  </si>
  <si>
    <t>RODRIGUEZ QUIPILDOR, MANUEL IGNACIO</t>
  </si>
  <si>
    <t>RODRIGUEZ QUIPILDOR, PATRICIO DANIEL</t>
  </si>
  <si>
    <t>CARRANZA, NICOLAS GERARDO</t>
  </si>
  <si>
    <t>RODRIGUEZ, PABLO SEBASTIAN</t>
  </si>
  <si>
    <t>ROSSI, BRUNO ROBERTO</t>
  </si>
  <si>
    <t>CARDOZO, ROBERTO DANIEL</t>
  </si>
  <si>
    <t>CARDENAS, JOSE LUIS</t>
  </si>
  <si>
    <t>SAEZ, NERI EMANUEL</t>
  </si>
  <si>
    <t>CARCAMO, NESTOR FABIAN</t>
  </si>
  <si>
    <t>SALDAÑA, CARLOS RUBEN</t>
  </si>
  <si>
    <t>CARCAMO, EDUARDO ANDRES</t>
  </si>
  <si>
    <t>SALGADO, SEBASTIAN AMERICO</t>
  </si>
  <si>
    <t>SALICAS, JUSTO MANUEL</t>
  </si>
  <si>
    <t>CAPURRO, GERARDO DANIEL</t>
  </si>
  <si>
    <t>CAPPELLI, GABRIEL HORACIO</t>
  </si>
  <si>
    <t>CANALES, EDUARDO ADALBERTO</t>
  </si>
  <si>
    <t>SANCHEZ, DIEGO SISTO</t>
  </si>
  <si>
    <t>CAMPOS, WALTER DAMIÁN</t>
  </si>
  <si>
    <t>CAMPO, JONATAN RODRIGO</t>
  </si>
  <si>
    <t>CAMPO, FRANCO DANILO</t>
  </si>
  <si>
    <t>CAMPANO, GUILLERMO RENE</t>
  </si>
  <si>
    <t>CALVO, DIEGO RAUL</t>
  </si>
  <si>
    <t>CALDERON, NOLBERTO DANIEL</t>
  </si>
  <si>
    <t>CAFFAREL, NESTOR ARIEL</t>
  </si>
  <si>
    <t>SANTOS, JULIO EDUARDO ARIEL</t>
  </si>
  <si>
    <t>CAAMAÑO, HECTOR DANIEL</t>
  </si>
  <si>
    <t>SARACHO, AGUSTIN NAZARENO</t>
  </si>
  <si>
    <t>SIARES, OMAR ANTONIO</t>
  </si>
  <si>
    <t>BUSTAMANTE, MAURICIO DARIO</t>
  </si>
  <si>
    <t>BUSTAMANTE, BRUNO ARIEL</t>
  </si>
  <si>
    <t>BURELA, MAXIMILIANO</t>
  </si>
  <si>
    <t>SORIA, DIEGO FABIAN</t>
  </si>
  <si>
    <t>BRUGNONI, AXEL MAURICIO</t>
  </si>
  <si>
    <t>BRIZUELA, MARCELO FABIÁN</t>
  </si>
  <si>
    <t>BOUZA, LEANDRO SEBASTIAN</t>
  </si>
  <si>
    <t>BILL, DAVID ALEJANDRO</t>
  </si>
  <si>
    <t>BILBAO, FRANCO JOSE</t>
  </si>
  <si>
    <t>BERRO, WALTER MANUEL</t>
  </si>
  <si>
    <t>BERRO, JUAN JOSE</t>
  </si>
  <si>
    <t>BENET, MARIANO JUAN MANUEL</t>
  </si>
  <si>
    <t>BECHARA ARCURI, MARIO ALFREDO</t>
  </si>
  <si>
    <t>TAPIA, JOSE LUIS</t>
  </si>
  <si>
    <t>TAPIA, LEONARDO</t>
  </si>
  <si>
    <t>BATISTA, FRANCO ANTONIO</t>
  </si>
  <si>
    <t>BASTIDAS, LUIS ALBERTO</t>
  </si>
  <si>
    <t>BASTIDAS, DANIEL ALEJANDRO</t>
  </si>
  <si>
    <t>TIBERIO, JUAN MARCELO</t>
  </si>
  <si>
    <t>BARRIONUEVO, LUCAS MANUEL</t>
  </si>
  <si>
    <t>TORRALBO, JORGE FABRICIO</t>
  </si>
  <si>
    <t>BARRIONUEVO, CHRISTIAN ALBERTO</t>
  </si>
  <si>
    <t>BARRIGA, LUIS ISRAEL</t>
  </si>
  <si>
    <t>TORRES, JORGE ALBERTO</t>
  </si>
  <si>
    <t>TRIVIÑO GONZALEZ, MIGUEL ANGEL</t>
  </si>
  <si>
    <t>BARRIENTOS, LEANDRO JOSE MARTIN</t>
  </si>
  <si>
    <t>ULLOA, EDGARDO ALEXIS</t>
  </si>
  <si>
    <t>ULLOA, RODRIGO SAMUEL</t>
  </si>
  <si>
    <t>BARRIA, PABLO ALEXIS</t>
  </si>
  <si>
    <t>BARRIA, LUIS HUMBERTO</t>
  </si>
  <si>
    <t>URIBE, DAMIAN ALEXIS</t>
  </si>
  <si>
    <t>BARRIA, JUAN RAMON</t>
  </si>
  <si>
    <t>BALDRINI, ANGEL GABRIEL</t>
  </si>
  <si>
    <t>BAIN, NATALIA ANDREA</t>
  </si>
  <si>
    <t>VAQUINZAY, CRISTIAN ANTONIO</t>
  </si>
  <si>
    <t>BAHAMONDE, ENZO GABRIEL</t>
  </si>
  <si>
    <t>AVILA, DANIEL NICOLAS</t>
  </si>
  <si>
    <t>AVELLANEDA, DIEGO JOSE</t>
  </si>
  <si>
    <t>ASTETE, JUAN ALFREDO</t>
  </si>
  <si>
    <t>VASQUEZ, OSVALDO HERNAN</t>
  </si>
  <si>
    <t>VAZQUEZ, DIEGO ALBERTO</t>
  </si>
  <si>
    <t>ASENCIO, MANUEL FRANCO</t>
  </si>
  <si>
    <t>ARANEDA, MATIAS GABRIEL</t>
  </si>
  <si>
    <t>ARAMAYO, EDUARDO ANDRES</t>
  </si>
  <si>
    <t>VERA, GUSTAVO FABIAN</t>
  </si>
  <si>
    <t>ANGELOFF, PAOLA FABIANA</t>
  </si>
  <si>
    <t>ANDRADE FUENTES, RAFAEL ESTEBAN</t>
  </si>
  <si>
    <t>ALVARADO, SEBASTIAN OSCAR</t>
  </si>
  <si>
    <t>VILLA, MARCELO MARTIN</t>
  </si>
  <si>
    <t>ALVARADO, JUAN RAMON</t>
  </si>
  <si>
    <t>ALVARADO, JOSE RAMON</t>
  </si>
  <si>
    <t>ALMONACID, JULIO ANDRES</t>
  </si>
  <si>
    <t>ALIQUINTUI GONZALEZ, ADRIAN ALBERTO</t>
  </si>
  <si>
    <t>ALDRICH, SERGIO RUBEN</t>
  </si>
  <si>
    <t>ALBARRAZIN, LUCAS EMMANUEL</t>
  </si>
  <si>
    <t>ZABALA CORREA, LAUTARO BENJAMIN</t>
  </si>
  <si>
    <t>ZALAZAR, NICOLAS IGNACIO</t>
  </si>
  <si>
    <t>Segmento de Negocio</t>
  </si>
  <si>
    <t>Unidad de Negocio</t>
  </si>
  <si>
    <t>PUESTO</t>
  </si>
  <si>
    <t>EPS</t>
  </si>
  <si>
    <t>IND - TUBOSCOPE</t>
  </si>
  <si>
    <t>Analista de Control Documental</t>
  </si>
  <si>
    <t>Analista Operativo</t>
  </si>
  <si>
    <t>Asistente Esp. Vaporizador Tb y Vb</t>
  </si>
  <si>
    <t>Auxiliar de Oficios</t>
  </si>
  <si>
    <t>Auxiliar en Ensayo no Destructivo</t>
  </si>
  <si>
    <t>Ayudante de Oficios</t>
  </si>
  <si>
    <t>Ayudante END</t>
  </si>
  <si>
    <t>Ayudante ESP Ensayo No Destructivo</t>
  </si>
  <si>
    <t>Coordinador de Supervisores</t>
  </si>
  <si>
    <t>Coordinador Control Documental</t>
  </si>
  <si>
    <t>Despachante de Deposito</t>
  </si>
  <si>
    <t>Encargado Administrativo</t>
  </si>
  <si>
    <t>Encargado de Mantenimiento</t>
  </si>
  <si>
    <t>Gerente de Operaciones MZA</t>
  </si>
  <si>
    <t>Gerente de Servicios IND</t>
  </si>
  <si>
    <t>Gerente Operaciones TB ARG</t>
  </si>
  <si>
    <t>Gerente Operaciones TBA CRV</t>
  </si>
  <si>
    <t>Ingresante</t>
  </si>
  <si>
    <t>Inspector</t>
  </si>
  <si>
    <t>Jefe de Servicios IND</t>
  </si>
  <si>
    <t>Maestranza</t>
  </si>
  <si>
    <t>Maestro Tornero</t>
  </si>
  <si>
    <t>Oficial de Oficios</t>
  </si>
  <si>
    <t>Oficial Especializado Tornero</t>
  </si>
  <si>
    <t>Oficial Tornero</t>
  </si>
  <si>
    <t>Operador Calderista Esp.</t>
  </si>
  <si>
    <t>Operador en Ensayo no Destructivo</t>
  </si>
  <si>
    <t>Operador Sky Truck Autoelevador Telescopico</t>
  </si>
  <si>
    <t>Operario Inspección Cuplas en Varillas</t>
  </si>
  <si>
    <t>Pañolero - Rec y Despachante de Materiales</t>
  </si>
  <si>
    <t>Responsable de Administracion</t>
  </si>
  <si>
    <t>Secretaria Recepcionista</t>
  </si>
  <si>
    <t>Supervisor IR IND</t>
  </si>
  <si>
    <t>Supervisor MILL AUDIT (Campana)</t>
  </si>
  <si>
    <t>Vicepresidente de OP TVA SUDAMERICA</t>
  </si>
  <si>
    <t>Gerente de Planificación y Rendimiento SAM</t>
  </si>
  <si>
    <t>CONSULTA COMPETENCIAS/MES</t>
  </si>
  <si>
    <t>AÑO</t>
  </si>
  <si>
    <t>INICIO_MES</t>
  </si>
  <si>
    <t>FIN_MES</t>
  </si>
  <si>
    <t>MES</t>
  </si>
  <si>
    <t>Diciembre</t>
  </si>
  <si>
    <t>CANT. PERSONAS</t>
  </si>
  <si>
    <t>HORAS</t>
  </si>
  <si>
    <t xml:space="preserve">BASE </t>
  </si>
  <si>
    <t>FID</t>
  </si>
  <si>
    <t>BU</t>
  </si>
  <si>
    <t>TB AR CRV CANADON SECO INSP</t>
  </si>
  <si>
    <t>TB AR CRV OPS SUPPORT</t>
  </si>
  <si>
    <t>TB AR CRV ESCALANTE INSP</t>
  </si>
  <si>
    <t>TB AR CRV CERRO DRAGO INSP</t>
  </si>
  <si>
    <t>TB AR CRV DRILL PIPE INSP</t>
  </si>
  <si>
    <t>TB AR HSE</t>
  </si>
  <si>
    <t xml:space="preserve"> -</t>
  </si>
  <si>
    <t>TB AR QUAL AND MAINT SUPPORT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</si>
</sst>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_ ;\-0\ "/>
    <numFmt numFmtId="165" formatCode="d/m/yyyy;;"/>
  </numFmts>
  <fonts count="3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0"/>
      <name val="Arial"/>
      <family val="2"/>
    </font>
    <font>
      <b/>
      <sz val="8"/>
      <name val="Verdana"/>
      <family val="2"/>
    </font>
    <font>
      <sz val="8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u/>
      <sz val="16"/>
      <name val="Arial"/>
      <family val="2"/>
    </font>
    <font>
      <b/>
      <sz val="10"/>
      <color theme="0"/>
      <name val="Arial"/>
      <family val="2"/>
    </font>
    <font>
      <b/>
      <sz val="10"/>
      <color indexed="62"/>
      <name val="Arial"/>
      <family val="2"/>
    </font>
    <font>
      <sz val="16"/>
      <name val="Arial"/>
      <family val="2"/>
    </font>
    <font>
      <sz val="12"/>
      <name val="Arial"/>
      <family val="2"/>
    </font>
    <font>
      <sz val="11"/>
      <name val="Aptos Narrow"/>
      <family val="2"/>
      <scheme val="minor"/>
    </font>
    <font>
      <sz val="10"/>
      <color indexed="62"/>
      <name val="Arial"/>
      <family val="2"/>
    </font>
    <font>
      <b/>
      <sz val="11"/>
      <name val="Arial"/>
      <family val="2"/>
    </font>
    <font>
      <b/>
      <sz val="12"/>
      <color indexed="10"/>
      <name val="Arial Black"/>
      <family val="2"/>
    </font>
    <font>
      <sz val="12"/>
      <color rgb="FFFF0000"/>
      <name val="Arial"/>
      <family val="2"/>
    </font>
    <font>
      <sz val="12"/>
      <color rgb="FF00B050"/>
      <name val="Arial"/>
      <family val="2"/>
    </font>
    <font>
      <b/>
      <sz val="10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b/>
      <sz val="8"/>
      <color theme="0"/>
      <name val="Calibri"/>
      <family val="2"/>
    </font>
    <font>
      <sz val="8"/>
      <color theme="1"/>
      <name val="Calibri"/>
      <family val="2"/>
    </font>
    <font>
      <b/>
      <sz val="11"/>
      <color theme="1"/>
      <name val="Aptos Narrow"/>
      <family val="2"/>
      <scheme val="minor"/>
    </font>
    <font>
      <b/>
      <sz val="16"/>
      <name val="Arial"/>
      <family val="2"/>
    </font>
    <font>
      <sz val="11"/>
      <color theme="1"/>
      <name val="Arial"/>
      <family val="2"/>
    </font>
    <font>
      <b/>
      <sz val="12"/>
      <name val="Verdana"/>
      <family val="2"/>
    </font>
    <font>
      <sz val="12"/>
      <color theme="1"/>
      <name val="Aptos Narrow"/>
      <family val="2"/>
      <scheme val="minor"/>
    </font>
    <font>
      <b/>
      <sz val="14"/>
      <color theme="1"/>
      <name val="Arial"/>
      <family val="2"/>
    </font>
    <font>
      <b/>
      <sz val="8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8FDE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DD9C4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Dashed">
        <color indexed="64"/>
      </left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7" fillId="0" borderId="0"/>
  </cellStyleXfs>
  <cellXfs count="198">
    <xf numFmtId="0" fontId="0" fillId="0" borderId="0" xfId="0"/>
    <xf numFmtId="0" fontId="3" fillId="0" borderId="0" xfId="0" applyFont="1" applyAlignment="1">
      <alignment horizontal="center" vertical="top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4" borderId="0" xfId="0" applyFill="1" applyAlignment="1">
      <alignment horizontal="center"/>
    </xf>
    <xf numFmtId="0" fontId="0" fillId="4" borderId="0" xfId="0" applyFill="1"/>
    <xf numFmtId="0" fontId="0" fillId="0" borderId="0" xfId="0" applyAlignment="1">
      <alignment horizontal="center"/>
    </xf>
    <xf numFmtId="164" fontId="14" fillId="0" borderId="6" xfId="0" applyNumberFormat="1" applyFont="1" applyBorder="1" applyAlignment="1">
      <alignment horizontal="left"/>
    </xf>
    <xf numFmtId="0" fontId="0" fillId="0" borderId="6" xfId="0" applyBorder="1"/>
    <xf numFmtId="0" fontId="7" fillId="0" borderId="0" xfId="0" applyFont="1"/>
    <xf numFmtId="17" fontId="7" fillId="0" borderId="0" xfId="0" applyNumberFormat="1" applyFont="1"/>
    <xf numFmtId="9" fontId="15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/>
    </xf>
    <xf numFmtId="0" fontId="21" fillId="0" borderId="0" xfId="0" applyFont="1"/>
    <xf numFmtId="0" fontId="21" fillId="0" borderId="0" xfId="0" applyFont="1" applyAlignment="1">
      <alignment horizontal="center" vertical="center" wrapText="1"/>
    </xf>
    <xf numFmtId="0" fontId="21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10" fontId="2" fillId="0" borderId="0" xfId="0" applyNumberFormat="1" applyFont="1" applyAlignment="1">
      <alignment horizontal="center"/>
    </xf>
    <xf numFmtId="0" fontId="12" fillId="0" borderId="8" xfId="0" applyFont="1" applyBorder="1" applyAlignment="1">
      <alignment horizontal="center" textRotation="60" wrapText="1"/>
    </xf>
    <xf numFmtId="0" fontId="21" fillId="0" borderId="6" xfId="0" applyFont="1" applyBorder="1" applyAlignment="1">
      <alignment horizontal="center"/>
    </xf>
    <xf numFmtId="0" fontId="20" fillId="0" borderId="0" xfId="0" applyFont="1" applyAlignment="1">
      <alignment vertical="center"/>
    </xf>
    <xf numFmtId="0" fontId="10" fillId="13" borderId="0" xfId="0" applyFont="1" applyFill="1"/>
    <xf numFmtId="0" fontId="10" fillId="13" borderId="0" xfId="0" applyFont="1" applyFill="1" applyAlignment="1">
      <alignment horizontal="center"/>
    </xf>
    <xf numFmtId="0" fontId="23" fillId="14" borderId="0" xfId="0" applyFont="1" applyFill="1"/>
    <xf numFmtId="0" fontId="24" fillId="0" borderId="0" xfId="0" applyFont="1"/>
    <xf numFmtId="0" fontId="16" fillId="4" borderId="0" xfId="0" applyFont="1" applyFill="1" applyAlignment="1">
      <alignment horizontal="center"/>
    </xf>
    <xf numFmtId="0" fontId="20" fillId="0" borderId="0" xfId="0" applyFont="1" applyAlignment="1">
      <alignment wrapText="1"/>
    </xf>
    <xf numFmtId="0" fontId="4" fillId="5" borderId="0" xfId="0" applyFont="1" applyFill="1" applyAlignment="1">
      <alignment horizontal="left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3" fillId="5" borderId="0" xfId="0" applyFont="1" applyFill="1" applyAlignment="1">
      <alignment horizontal="center" vertical="top"/>
    </xf>
    <xf numFmtId="0" fontId="3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 wrapText="1"/>
    </xf>
    <xf numFmtId="0" fontId="7" fillId="5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left" vertical="center" wrapText="1"/>
    </xf>
    <xf numFmtId="0" fontId="7" fillId="5" borderId="0" xfId="0" applyFont="1" applyFill="1" applyAlignment="1">
      <alignment horizontal="center" vertical="center"/>
    </xf>
    <xf numFmtId="0" fontId="18" fillId="0" borderId="0" xfId="0" applyFont="1" applyAlignment="1">
      <alignment horizontal="right"/>
    </xf>
    <xf numFmtId="0" fontId="19" fillId="0" borderId="0" xfId="0" applyFont="1" applyAlignment="1">
      <alignment horizontal="right"/>
    </xf>
    <xf numFmtId="0" fontId="5" fillId="0" borderId="0" xfId="0" applyFont="1" applyAlignment="1">
      <alignment horizontal="right"/>
    </xf>
    <xf numFmtId="0" fontId="17" fillId="0" borderId="0" xfId="0" applyFont="1"/>
    <xf numFmtId="0" fontId="16" fillId="4" borderId="0" xfId="0" applyFont="1" applyFill="1"/>
    <xf numFmtId="0" fontId="8" fillId="0" borderId="0" xfId="0" applyFont="1"/>
    <xf numFmtId="0" fontId="13" fillId="0" borderId="6" xfId="0" applyFont="1" applyBorder="1" applyAlignment="1">
      <alignment vertical="center"/>
    </xf>
    <xf numFmtId="0" fontId="4" fillId="5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/>
    <xf numFmtId="0" fontId="27" fillId="0" borderId="0" xfId="0" applyFont="1"/>
    <xf numFmtId="0" fontId="6" fillId="0" borderId="6" xfId="2" applyFont="1" applyBorder="1" applyAlignment="1">
      <alignment vertical="center" wrapText="1"/>
    </xf>
    <xf numFmtId="0" fontId="29" fillId="0" borderId="0" xfId="0" applyFont="1"/>
    <xf numFmtId="0" fontId="18" fillId="12" borderId="5" xfId="0" applyFont="1" applyFill="1" applyBorder="1" applyAlignment="1">
      <alignment horizontal="right"/>
    </xf>
    <xf numFmtId="0" fontId="5" fillId="0" borderId="5" xfId="0" applyFont="1" applyBorder="1" applyAlignment="1">
      <alignment horizontal="right"/>
    </xf>
    <xf numFmtId="0" fontId="8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8" fillId="15" borderId="2" xfId="0" applyFont="1" applyFill="1" applyBorder="1" applyAlignment="1">
      <alignment horizontal="center" vertical="center"/>
    </xf>
    <xf numFmtId="0" fontId="5" fillId="15" borderId="12" xfId="0" applyFont="1" applyFill="1" applyBorder="1" applyAlignment="1">
      <alignment horizontal="center" vertical="center"/>
    </xf>
    <xf numFmtId="0" fontId="5" fillId="15" borderId="13" xfId="0" applyFont="1" applyFill="1" applyBorder="1" applyAlignment="1">
      <alignment horizontal="center" vertical="center"/>
    </xf>
    <xf numFmtId="0" fontId="0" fillId="4" borderId="0" xfId="0" applyFill="1" applyAlignment="1" applyProtection="1">
      <alignment horizontal="center"/>
      <protection hidden="1"/>
    </xf>
    <xf numFmtId="0" fontId="10" fillId="13" borderId="0" xfId="0" applyFont="1" applyFill="1" applyProtection="1">
      <protection hidden="1"/>
    </xf>
    <xf numFmtId="0" fontId="30" fillId="15" borderId="6" xfId="0" applyFont="1" applyFill="1" applyBorder="1" applyAlignment="1" applyProtection="1">
      <alignment horizontal="center" vertical="center"/>
      <protection hidden="1"/>
    </xf>
    <xf numFmtId="0" fontId="0" fillId="0" borderId="6" xfId="0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17" fillId="0" borderId="11" xfId="0" applyFont="1" applyBorder="1"/>
    <xf numFmtId="0" fontId="16" fillId="4" borderId="20" xfId="0" applyFont="1" applyFill="1" applyBorder="1"/>
    <xf numFmtId="0" fontId="16" fillId="4" borderId="21" xfId="0" applyFont="1" applyFill="1" applyBorder="1"/>
    <xf numFmtId="0" fontId="5" fillId="0" borderId="0" xfId="0" applyFont="1"/>
    <xf numFmtId="0" fontId="19" fillId="3" borderId="5" xfId="0" applyFont="1" applyFill="1" applyBorder="1"/>
    <xf numFmtId="0" fontId="8" fillId="0" borderId="9" xfId="0" applyFont="1" applyBorder="1"/>
    <xf numFmtId="0" fontId="11" fillId="0" borderId="0" xfId="0" applyFont="1"/>
    <xf numFmtId="0" fontId="18" fillId="2" borderId="5" xfId="0" applyFont="1" applyFill="1" applyBorder="1"/>
    <xf numFmtId="10" fontId="2" fillId="0" borderId="0" xfId="0" applyNumberFormat="1" applyFont="1"/>
    <xf numFmtId="0" fontId="8" fillId="0" borderId="5" xfId="0" applyFont="1" applyBorder="1"/>
    <xf numFmtId="0" fontId="5" fillId="0" borderId="9" xfId="0" applyFont="1" applyBorder="1"/>
    <xf numFmtId="0" fontId="5" fillId="0" borderId="5" xfId="0" applyFont="1" applyBorder="1"/>
    <xf numFmtId="9" fontId="16" fillId="4" borderId="22" xfId="1" applyFont="1" applyFill="1" applyBorder="1" applyAlignment="1" applyProtection="1">
      <alignment horizontal="center"/>
      <protection hidden="1"/>
    </xf>
    <xf numFmtId="0" fontId="17" fillId="0" borderId="0" xfId="0" applyFont="1" applyAlignment="1" applyProtection="1">
      <alignment horizontal="center"/>
      <protection hidden="1"/>
    </xf>
    <xf numFmtId="0" fontId="8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164" fontId="14" fillId="0" borderId="6" xfId="0" applyNumberFormat="1" applyFont="1" applyBorder="1" applyAlignment="1" applyProtection="1">
      <alignment horizontal="left"/>
      <protection locked="0"/>
    </xf>
    <xf numFmtId="0" fontId="13" fillId="0" borderId="6" xfId="0" applyFont="1" applyBorder="1" applyAlignment="1" applyProtection="1">
      <alignment vertical="center"/>
      <protection locked="0"/>
    </xf>
    <xf numFmtId="14" fontId="7" fillId="0" borderId="6" xfId="0" applyNumberFormat="1" applyFont="1" applyBorder="1" applyProtection="1">
      <protection locked="0"/>
    </xf>
    <xf numFmtId="0" fontId="10" fillId="13" borderId="0" xfId="0" applyFont="1" applyFill="1" applyAlignment="1" applyProtection="1">
      <alignment horizontal="center"/>
      <protection hidden="1"/>
    </xf>
    <xf numFmtId="164" fontId="14" fillId="0" borderId="6" xfId="0" applyNumberFormat="1" applyFont="1" applyBorder="1" applyAlignment="1" applyProtection="1">
      <alignment horizontal="center"/>
      <protection hidden="1"/>
    </xf>
    <xf numFmtId="0" fontId="20" fillId="0" borderId="6" xfId="0" applyFont="1" applyBorder="1" applyAlignment="1" applyProtection="1">
      <alignment vertical="center" wrapText="1"/>
      <protection locked="0"/>
    </xf>
    <xf numFmtId="0" fontId="21" fillId="0" borderId="6" xfId="0" applyFont="1" applyBorder="1" applyAlignment="1" applyProtection="1">
      <alignment vertical="center" wrapText="1"/>
      <protection locked="0"/>
    </xf>
    <xf numFmtId="0" fontId="21" fillId="0" borderId="6" xfId="0" applyFont="1" applyBorder="1" applyAlignment="1" applyProtection="1">
      <alignment horizontal="center" vertical="center" wrapText="1"/>
      <protection locked="0"/>
    </xf>
    <xf numFmtId="0" fontId="0" fillId="15" borderId="0" xfId="0" applyFill="1" applyAlignment="1" applyProtection="1">
      <alignment horizontal="center"/>
      <protection hidden="1"/>
    </xf>
    <xf numFmtId="0" fontId="0" fillId="15" borderId="0" xfId="0" applyFill="1" applyProtection="1">
      <protection hidden="1"/>
    </xf>
    <xf numFmtId="14" fontId="0" fillId="15" borderId="0" xfId="0" applyNumberFormat="1" applyFill="1" applyProtection="1">
      <protection hidden="1"/>
    </xf>
    <xf numFmtId="0" fontId="0" fillId="0" borderId="0" xfId="0" applyProtection="1">
      <protection hidden="1"/>
    </xf>
    <xf numFmtId="14" fontId="0" fillId="0" borderId="0" xfId="0" applyNumberFormat="1" applyProtection="1"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165" fontId="0" fillId="0" borderId="0" xfId="0" applyNumberFormat="1" applyProtection="1">
      <protection hidden="1"/>
    </xf>
    <xf numFmtId="0" fontId="0" fillId="0" borderId="0" xfId="0" applyAlignment="1" applyProtection="1">
      <alignment wrapText="1"/>
      <protection hidden="1"/>
    </xf>
    <xf numFmtId="0" fontId="25" fillId="16" borderId="6" xfId="0" applyFont="1" applyFill="1" applyBorder="1" applyProtection="1">
      <protection hidden="1"/>
    </xf>
    <xf numFmtId="0" fontId="25" fillId="16" borderId="6" xfId="0" applyFont="1" applyFill="1" applyBorder="1" applyAlignment="1" applyProtection="1">
      <alignment wrapText="1"/>
      <protection hidden="1"/>
    </xf>
    <xf numFmtId="0" fontId="0" fillId="0" borderId="6" xfId="0" applyBorder="1" applyAlignment="1" applyProtection="1">
      <alignment wrapText="1"/>
      <protection hidden="1"/>
    </xf>
    <xf numFmtId="0" fontId="0" fillId="0" borderId="6" xfId="0" applyBorder="1" applyProtection="1">
      <protection hidden="1"/>
    </xf>
    <xf numFmtId="0" fontId="0" fillId="15" borderId="0" xfId="0" applyFill="1" applyAlignment="1" applyProtection="1">
      <alignment horizontal="center" vertical="center"/>
      <protection hidden="1"/>
    </xf>
    <xf numFmtId="0" fontId="0" fillId="15" borderId="0" xfId="0" applyFill="1" applyAlignment="1" applyProtection="1">
      <alignment vertical="center"/>
      <protection hidden="1"/>
    </xf>
    <xf numFmtId="14" fontId="0" fillId="15" borderId="0" xfId="0" applyNumberFormat="1" applyFill="1" applyAlignment="1" applyProtection="1">
      <alignment vertical="center"/>
      <protection hidden="1"/>
    </xf>
    <xf numFmtId="0" fontId="0" fillId="16" borderId="0" xfId="0" applyFill="1" applyProtection="1">
      <protection hidden="1"/>
    </xf>
    <xf numFmtId="165" fontId="0" fillId="16" borderId="0" xfId="0" applyNumberFormat="1" applyFill="1" applyProtection="1">
      <protection hidden="1"/>
    </xf>
    <xf numFmtId="1" fontId="0" fillId="7" borderId="0" xfId="0" applyNumberFormat="1" applyFill="1" applyAlignment="1" applyProtection="1">
      <alignment horizontal="center"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5" borderId="0" xfId="0" applyFill="1" applyAlignment="1" applyProtection="1">
      <alignment horizontal="center" vertical="center" wrapText="1"/>
      <protection hidden="1"/>
    </xf>
    <xf numFmtId="0" fontId="0" fillId="5" borderId="0" xfId="0" applyFill="1" applyAlignment="1" applyProtection="1">
      <alignment horizontal="center" wrapText="1"/>
      <protection hidden="1"/>
    </xf>
    <xf numFmtId="0" fontId="0" fillId="5" borderId="0" xfId="0" applyFill="1" applyAlignment="1" applyProtection="1">
      <alignment wrapText="1"/>
      <protection hidden="1"/>
    </xf>
    <xf numFmtId="0" fontId="0" fillId="5" borderId="0" xfId="0" applyFill="1" applyProtection="1">
      <protection hidden="1"/>
    </xf>
    <xf numFmtId="0" fontId="0" fillId="5" borderId="0" xfId="0" applyFill="1" applyAlignment="1" applyProtection="1">
      <alignment vertical="center"/>
      <protection hidden="1"/>
    </xf>
    <xf numFmtId="0" fontId="0" fillId="5" borderId="0" xfId="0" applyFill="1" applyAlignment="1" applyProtection="1">
      <alignment horizontal="center"/>
      <protection hidden="1"/>
    </xf>
    <xf numFmtId="0" fontId="21" fillId="5" borderId="0" xfId="0" applyFont="1" applyFill="1" applyAlignment="1" applyProtection="1">
      <alignment horizontal="center"/>
      <protection hidden="1"/>
    </xf>
    <xf numFmtId="0" fontId="21" fillId="5" borderId="0" xfId="0" applyFont="1" applyFill="1" applyAlignment="1" applyProtection="1">
      <alignment horizontal="center" wrapText="1"/>
      <protection hidden="1"/>
    </xf>
    <xf numFmtId="0" fontId="21" fillId="5" borderId="0" xfId="0" applyFont="1" applyFill="1" applyAlignment="1" applyProtection="1">
      <alignment wrapText="1"/>
      <protection hidden="1"/>
    </xf>
    <xf numFmtId="0" fontId="21" fillId="5" borderId="0" xfId="0" applyFont="1" applyFill="1" applyProtection="1">
      <protection hidden="1"/>
    </xf>
    <xf numFmtId="0" fontId="0" fillId="15" borderId="0" xfId="0" applyFill="1" applyAlignment="1" applyProtection="1">
      <alignment wrapText="1"/>
      <protection hidden="1"/>
    </xf>
    <xf numFmtId="0" fontId="25" fillId="15" borderId="0" xfId="0" applyFont="1" applyFill="1" applyAlignment="1" applyProtection="1">
      <alignment horizontal="center" vertical="center" wrapText="1"/>
      <protection hidden="1"/>
    </xf>
    <xf numFmtId="0" fontId="25" fillId="15" borderId="0" xfId="0" applyFont="1" applyFill="1" applyAlignment="1" applyProtection="1">
      <alignment horizontal="center" vertical="center"/>
      <protection hidden="1"/>
    </xf>
    <xf numFmtId="0" fontId="0" fillId="15" borderId="0" xfId="0" applyFill="1" applyAlignment="1" applyProtection="1">
      <alignment horizontal="center" wrapText="1"/>
      <protection hidden="1"/>
    </xf>
    <xf numFmtId="0" fontId="21" fillId="5" borderId="0" xfId="0" applyFont="1" applyFill="1" applyAlignment="1" applyProtection="1">
      <alignment horizontal="center" vertical="center"/>
      <protection hidden="1"/>
    </xf>
    <xf numFmtId="0" fontId="21" fillId="5" borderId="0" xfId="0" applyFont="1" applyFill="1" applyAlignment="1" applyProtection="1">
      <alignment horizontal="center" vertical="center" wrapText="1"/>
      <protection hidden="1"/>
    </xf>
    <xf numFmtId="0" fontId="21" fillId="5" borderId="0" xfId="0" applyFont="1" applyFill="1" applyAlignment="1" applyProtection="1">
      <alignment vertical="center" wrapText="1"/>
      <protection hidden="1"/>
    </xf>
    <xf numFmtId="0" fontId="21" fillId="5" borderId="0" xfId="0" applyFont="1" applyFill="1" applyAlignment="1" applyProtection="1">
      <alignment vertical="center"/>
      <protection hidden="1"/>
    </xf>
    <xf numFmtId="165" fontId="25" fillId="15" borderId="0" xfId="0" applyNumberFormat="1" applyFont="1" applyFill="1" applyAlignment="1" applyProtection="1">
      <alignment horizontal="center" vertical="center"/>
      <protection hidden="1"/>
    </xf>
    <xf numFmtId="165" fontId="0" fillId="5" borderId="0" xfId="0" applyNumberFormat="1" applyFill="1" applyAlignment="1" applyProtection="1">
      <alignment horizontal="center" vertical="center"/>
      <protection hidden="1"/>
    </xf>
    <xf numFmtId="0" fontId="0" fillId="5" borderId="23" xfId="0" applyFill="1" applyBorder="1" applyAlignment="1" applyProtection="1">
      <alignment horizontal="center" vertical="center" wrapText="1"/>
      <protection locked="0" hidden="1"/>
    </xf>
    <xf numFmtId="0" fontId="21" fillId="15" borderId="0" xfId="0" applyFont="1" applyFill="1" applyAlignment="1" applyProtection="1">
      <alignment horizontal="center" vertical="center" wrapText="1"/>
      <protection hidden="1"/>
    </xf>
    <xf numFmtId="14" fontId="21" fillId="15" borderId="0" xfId="0" applyNumberFormat="1" applyFont="1" applyFill="1" applyAlignment="1" applyProtection="1">
      <alignment horizontal="center" vertical="center" wrapText="1"/>
      <protection hidden="1"/>
    </xf>
    <xf numFmtId="0" fontId="21" fillId="0" borderId="0" xfId="0" applyFont="1" applyAlignment="1" applyProtection="1">
      <alignment horizontal="center" vertical="center" wrapText="1"/>
      <protection hidden="1"/>
    </xf>
    <xf numFmtId="14" fontId="21" fillId="0" borderId="0" xfId="0" applyNumberFormat="1" applyFont="1" applyAlignment="1" applyProtection="1">
      <alignment horizontal="center" vertical="center" wrapText="1"/>
      <protection hidden="1"/>
    </xf>
    <xf numFmtId="0" fontId="25" fillId="16" borderId="9" xfId="0" applyFont="1" applyFill="1" applyBorder="1" applyProtection="1">
      <protection hidden="1"/>
    </xf>
    <xf numFmtId="0" fontId="0" fillId="0" borderId="23" xfId="0" applyBorder="1" applyAlignment="1" applyProtection="1">
      <alignment horizontal="center" vertical="center"/>
      <protection locked="0" hidden="1"/>
    </xf>
    <xf numFmtId="0" fontId="31" fillId="0" borderId="6" xfId="0" applyFont="1" applyBorder="1" applyAlignment="1" applyProtection="1">
      <alignment horizontal="center" vertical="center" wrapText="1"/>
      <protection locked="0"/>
    </xf>
    <xf numFmtId="0" fontId="25" fillId="0" borderId="6" xfId="0" applyFont="1" applyBorder="1" applyAlignment="1" applyProtection="1">
      <alignment horizontal="center" vertical="center" wrapText="1"/>
      <protection locked="0"/>
    </xf>
    <xf numFmtId="0" fontId="0" fillId="0" borderId="24" xfId="0" applyBorder="1" applyAlignment="1">
      <alignment horizontal="center" vertical="center" wrapText="1"/>
    </xf>
    <xf numFmtId="0" fontId="25" fillId="0" borderId="24" xfId="0" applyFont="1" applyBorder="1" applyAlignment="1" applyProtection="1">
      <alignment horizontal="center" vertical="center" wrapText="1"/>
      <protection locked="0"/>
    </xf>
    <xf numFmtId="0" fontId="21" fillId="0" borderId="24" xfId="0" applyFont="1" applyBorder="1" applyAlignment="1">
      <alignment horizontal="center" vertical="center" wrapText="1"/>
    </xf>
    <xf numFmtId="0" fontId="25" fillId="16" borderId="24" xfId="0" applyFont="1" applyFill="1" applyBorder="1" applyAlignment="1" applyProtection="1">
      <alignment horizontal="center" vertical="center" textRotation="90" wrapText="1"/>
      <protection hidden="1"/>
    </xf>
    <xf numFmtId="0" fontId="26" fillId="15" borderId="6" xfId="0" applyFont="1" applyFill="1" applyBorder="1" applyAlignment="1">
      <alignment horizontal="center" vertical="center" wrapText="1"/>
    </xf>
    <xf numFmtId="0" fontId="26" fillId="15" borderId="6" xfId="0" applyFont="1" applyFill="1" applyBorder="1" applyAlignment="1" applyProtection="1">
      <alignment horizontal="center" vertical="center" wrapText="1"/>
      <protection hidden="1"/>
    </xf>
    <xf numFmtId="0" fontId="0" fillId="0" borderId="17" xfId="0" applyBorder="1" applyAlignment="1">
      <alignment horizontal="center" vertical="center" textRotation="45" wrapText="1"/>
    </xf>
    <xf numFmtId="0" fontId="6" fillId="17" borderId="18" xfId="0" applyFont="1" applyFill="1" applyBorder="1" applyAlignment="1">
      <alignment horizontal="center" vertical="center" textRotation="45" wrapText="1"/>
    </xf>
    <xf numFmtId="0" fontId="6" fillId="17" borderId="8" xfId="0" applyFont="1" applyFill="1" applyBorder="1" applyAlignment="1">
      <alignment horizontal="center" vertical="center" textRotation="45" wrapText="1"/>
    </xf>
    <xf numFmtId="0" fontId="6" fillId="7" borderId="8" xfId="0" applyFont="1" applyFill="1" applyBorder="1" applyAlignment="1">
      <alignment horizontal="center" vertical="center" textRotation="45" wrapText="1"/>
    </xf>
    <xf numFmtId="0" fontId="6" fillId="8" borderId="8" xfId="0" applyFont="1" applyFill="1" applyBorder="1" applyAlignment="1">
      <alignment horizontal="center" vertical="center" textRotation="45" wrapText="1"/>
    </xf>
    <xf numFmtId="0" fontId="6" fillId="9" borderId="8" xfId="0" applyFont="1" applyFill="1" applyBorder="1" applyAlignment="1">
      <alignment horizontal="center" vertical="center" textRotation="45" wrapText="1"/>
    </xf>
    <xf numFmtId="0" fontId="6" fillId="10" borderId="8" xfId="0" applyFont="1" applyFill="1" applyBorder="1" applyAlignment="1">
      <alignment horizontal="center" vertical="center" textRotation="45" wrapText="1"/>
    </xf>
    <xf numFmtId="0" fontId="6" fillId="6" borderId="8" xfId="0" applyFont="1" applyFill="1" applyBorder="1" applyAlignment="1">
      <alignment horizontal="center" vertical="center" textRotation="45" wrapText="1"/>
    </xf>
    <xf numFmtId="0" fontId="6" fillId="11" borderId="8" xfId="0" applyFont="1" applyFill="1" applyBorder="1" applyAlignment="1">
      <alignment horizontal="center" vertical="center" textRotation="45" wrapText="1"/>
    </xf>
    <xf numFmtId="0" fontId="0" fillId="0" borderId="17" xfId="0" applyBorder="1" applyAlignment="1">
      <alignment vertical="center" textRotation="45" wrapText="1"/>
    </xf>
    <xf numFmtId="0" fontId="0" fillId="0" borderId="17" xfId="0" applyBorder="1" applyAlignment="1">
      <alignment vertical="center" textRotation="45"/>
    </xf>
    <xf numFmtId="0" fontId="26" fillId="15" borderId="6" xfId="0" applyFont="1" applyFill="1" applyBorder="1" applyAlignment="1">
      <alignment horizontal="center" vertical="center" textRotation="90" wrapText="1"/>
    </xf>
    <xf numFmtId="0" fontId="25" fillId="16" borderId="24" xfId="0" applyFont="1" applyFill="1" applyBorder="1" applyAlignment="1" applyProtection="1">
      <alignment horizontal="center" vertical="center" wrapText="1"/>
      <protection locked="0" hidden="1"/>
    </xf>
    <xf numFmtId="0" fontId="20" fillId="0" borderId="6" xfId="0" applyFont="1" applyBorder="1" applyAlignment="1" applyProtection="1">
      <alignment horizontal="center" vertical="center" wrapText="1"/>
      <protection locked="0"/>
    </xf>
    <xf numFmtId="0" fontId="20" fillId="0" borderId="0" xfId="0" applyFont="1" applyAlignment="1">
      <alignment horizontal="center" wrapText="1"/>
    </xf>
    <xf numFmtId="0" fontId="2" fillId="15" borderId="6" xfId="0" applyFont="1" applyFill="1" applyBorder="1" applyAlignment="1">
      <alignment horizontal="center" vertical="center" wrapText="1"/>
    </xf>
    <xf numFmtId="0" fontId="20" fillId="0" borderId="6" xfId="0" applyFont="1" applyBorder="1" applyAlignment="1">
      <alignment vertical="center" wrapText="1"/>
    </xf>
    <xf numFmtId="0" fontId="20" fillId="0" borderId="6" xfId="0" applyFont="1" applyBorder="1" applyAlignment="1">
      <alignment horizontal="center" vertical="center" wrapText="1"/>
    </xf>
    <xf numFmtId="0" fontId="21" fillId="0" borderId="6" xfId="0" applyFont="1" applyBorder="1" applyAlignment="1">
      <alignment vertical="center" wrapText="1"/>
    </xf>
    <xf numFmtId="0" fontId="21" fillId="0" borderId="6" xfId="0" applyFont="1" applyBorder="1" applyAlignment="1">
      <alignment horizontal="center" vertical="center" wrapText="1"/>
    </xf>
    <xf numFmtId="0" fontId="20" fillId="12" borderId="6" xfId="0" applyFont="1" applyFill="1" applyBorder="1" applyAlignment="1">
      <alignment vertical="center" wrapText="1"/>
    </xf>
    <xf numFmtId="0" fontId="21" fillId="12" borderId="6" xfId="0" applyFont="1" applyFill="1" applyBorder="1" applyAlignment="1">
      <alignment horizontal="center" vertical="center" wrapText="1"/>
    </xf>
    <xf numFmtId="0" fontId="21" fillId="0" borderId="8" xfId="0" applyFont="1" applyBorder="1" applyAlignment="1">
      <alignment vertical="center" wrapText="1"/>
    </xf>
    <xf numFmtId="0" fontId="21" fillId="0" borderId="9" xfId="0" applyFont="1" applyBorder="1" applyAlignment="1">
      <alignment vertical="center" wrapText="1"/>
    </xf>
    <xf numFmtId="0" fontId="20" fillId="12" borderId="3" xfId="0" applyFont="1" applyFill="1" applyBorder="1" applyAlignment="1">
      <alignment vertical="center" wrapText="1"/>
    </xf>
    <xf numFmtId="0" fontId="20" fillId="12" borderId="1" xfId="0" applyFont="1" applyFill="1" applyBorder="1" applyAlignment="1">
      <alignment vertical="center" wrapText="1"/>
    </xf>
    <xf numFmtId="0" fontId="20" fillId="12" borderId="4" xfId="0" applyFont="1" applyFill="1" applyBorder="1" applyAlignment="1">
      <alignment vertical="center" wrapText="1"/>
    </xf>
    <xf numFmtId="0" fontId="20" fillId="12" borderId="0" xfId="0" applyFont="1" applyFill="1" applyAlignment="1">
      <alignment vertical="center" wrapText="1"/>
    </xf>
    <xf numFmtId="0" fontId="21" fillId="0" borderId="5" xfId="0" applyFont="1" applyBorder="1" applyAlignment="1">
      <alignment horizontal="center" vertical="center" wrapText="1"/>
    </xf>
    <xf numFmtId="0" fontId="21" fillId="0" borderId="11" xfId="0" applyFont="1" applyBorder="1" applyAlignment="1">
      <alignment vertical="center" wrapText="1"/>
    </xf>
    <xf numFmtId="0" fontId="3" fillId="0" borderId="6" xfId="0" applyFont="1" applyBorder="1" applyAlignment="1" applyProtection="1">
      <alignment vertical="center"/>
      <protection hidden="1"/>
    </xf>
    <xf numFmtId="0" fontId="6" fillId="0" borderId="6" xfId="0" applyFont="1" applyBorder="1" applyAlignment="1" applyProtection="1">
      <alignment horizontal="center" vertical="center" wrapText="1"/>
      <protection hidden="1"/>
    </xf>
    <xf numFmtId="0" fontId="7" fillId="0" borderId="6" xfId="0" applyFont="1" applyBorder="1" applyAlignment="1" applyProtection="1">
      <alignment horizontal="center" vertical="center" wrapText="1"/>
      <protection hidden="1"/>
    </xf>
    <xf numFmtId="0" fontId="4" fillId="0" borderId="6" xfId="0" applyFont="1" applyBorder="1" applyAlignment="1" applyProtection="1">
      <alignment horizontal="center" vertical="center" wrapText="1"/>
      <protection hidden="1"/>
    </xf>
    <xf numFmtId="0" fontId="9" fillId="4" borderId="0" xfId="0" applyFont="1" applyFill="1" applyAlignment="1">
      <alignment horizontal="left" vertical="center"/>
    </xf>
    <xf numFmtId="0" fontId="7" fillId="0" borderId="16" xfId="2" applyBorder="1" applyAlignment="1">
      <alignment horizontal="center" vertical="center" wrapText="1"/>
    </xf>
    <xf numFmtId="0" fontId="7" fillId="0" borderId="18" xfId="2" applyBorder="1" applyAlignment="1">
      <alignment horizontal="center" vertical="center" wrapText="1"/>
    </xf>
    <xf numFmtId="0" fontId="7" fillId="0" borderId="10" xfId="2" applyBorder="1" applyAlignment="1">
      <alignment horizontal="center" vertical="center" wrapText="1"/>
    </xf>
    <xf numFmtId="0" fontId="7" fillId="0" borderId="7" xfId="2" applyBorder="1" applyAlignment="1">
      <alignment horizontal="center" vertical="center" wrapText="1"/>
    </xf>
    <xf numFmtId="0" fontId="7" fillId="0" borderId="14" xfId="2" applyBorder="1" applyAlignment="1">
      <alignment horizontal="center" vertical="center" wrapText="1"/>
    </xf>
    <xf numFmtId="0" fontId="7" fillId="0" borderId="19" xfId="2" applyBorder="1" applyAlignment="1">
      <alignment horizontal="center" vertical="center" wrapText="1"/>
    </xf>
    <xf numFmtId="0" fontId="26" fillId="0" borderId="16" xfId="2" applyFont="1" applyBorder="1" applyAlignment="1">
      <alignment horizontal="center" vertical="center" wrapText="1"/>
    </xf>
    <xf numFmtId="0" fontId="26" fillId="0" borderId="17" xfId="2" applyFont="1" applyBorder="1" applyAlignment="1">
      <alignment horizontal="center" vertical="center" wrapText="1"/>
    </xf>
    <xf numFmtId="0" fontId="26" fillId="0" borderId="18" xfId="2" applyFont="1" applyBorder="1" applyAlignment="1">
      <alignment horizontal="center" vertical="center" wrapText="1"/>
    </xf>
    <xf numFmtId="0" fontId="26" fillId="0" borderId="10" xfId="2" applyFont="1" applyBorder="1" applyAlignment="1">
      <alignment horizontal="center" vertical="center" wrapText="1"/>
    </xf>
    <xf numFmtId="0" fontId="26" fillId="0" borderId="0" xfId="2" applyFont="1" applyAlignment="1">
      <alignment horizontal="center" vertical="center" wrapText="1"/>
    </xf>
    <xf numFmtId="0" fontId="26" fillId="0" borderId="7" xfId="2" applyFont="1" applyBorder="1" applyAlignment="1">
      <alignment horizontal="center" vertical="center" wrapText="1"/>
    </xf>
    <xf numFmtId="0" fontId="26" fillId="0" borderId="14" xfId="2" applyFont="1" applyBorder="1" applyAlignment="1">
      <alignment horizontal="center" vertical="center" wrapText="1"/>
    </xf>
    <xf numFmtId="0" fontId="26" fillId="0" borderId="15" xfId="2" applyFont="1" applyBorder="1" applyAlignment="1">
      <alignment horizontal="center" vertical="center" wrapText="1"/>
    </xf>
    <xf numFmtId="0" fontId="26" fillId="0" borderId="19" xfId="2" applyFont="1" applyBorder="1" applyAlignment="1">
      <alignment horizontal="center" vertical="center" wrapText="1"/>
    </xf>
    <xf numFmtId="0" fontId="25" fillId="15" borderId="0" xfId="0" applyFont="1" applyFill="1" applyAlignment="1" applyProtection="1">
      <alignment horizontal="center" vertical="center" wrapText="1"/>
      <protection hidden="1"/>
    </xf>
    <xf numFmtId="0" fontId="25" fillId="15" borderId="0" xfId="0" applyFont="1" applyFill="1" applyAlignment="1" applyProtection="1">
      <alignment horizontal="center" vertical="center"/>
      <protection hidden="1"/>
    </xf>
    <xf numFmtId="165" fontId="25" fillId="15" borderId="0" xfId="0" applyNumberFormat="1" applyFont="1" applyFill="1" applyAlignment="1" applyProtection="1">
      <alignment horizontal="center" vertical="center" wrapText="1"/>
      <protection hidden="1"/>
    </xf>
    <xf numFmtId="0" fontId="0" fillId="7" borderId="0" xfId="0" applyFill="1" applyAlignment="1" applyProtection="1">
      <alignment horizontal="center" vertical="center" wrapText="1"/>
      <protection hidden="1"/>
    </xf>
    <xf numFmtId="0" fontId="0" fillId="7" borderId="0" xfId="0" applyFill="1" applyAlignment="1" applyProtection="1">
      <alignment horizontal="center" vertical="center"/>
      <protection hidden="1"/>
    </xf>
    <xf numFmtId="0" fontId="25" fillId="16" borderId="7" xfId="0" applyFont="1" applyFill="1" applyBorder="1" applyAlignment="1" applyProtection="1">
      <alignment horizontal="center" vertical="center" wrapText="1"/>
      <protection hidden="1"/>
    </xf>
    <xf numFmtId="0" fontId="25" fillId="16" borderId="19" xfId="0" applyFont="1" applyFill="1" applyBorder="1" applyAlignment="1" applyProtection="1">
      <alignment horizontal="center" vertical="center" wrapText="1"/>
      <protection hidden="1"/>
    </xf>
  </cellXfs>
  <cellStyles count="3">
    <cellStyle name="Normal" xfId="0" builtinId="0"/>
    <cellStyle name="Normal 2" xfId="2" xr:uid="{10293AB4-3FC3-4487-9BFD-EDFCD411D511}"/>
    <cellStyle name="Porcentaje" xfId="1" builtinId="5"/>
  </cellStyles>
  <dxfs count="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ill>
        <patternFill>
          <bgColor theme="3" tint="0.89996032593768116"/>
        </patternFill>
      </fill>
    </dxf>
    <dxf>
      <font>
        <color theme="2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family val="2"/>
        <scheme val="none"/>
      </font>
      <fill>
        <patternFill patternType="solid">
          <fgColor indexed="64"/>
          <bgColor theme="1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ont>
        <color theme="2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D9D9D9"/>
        </patternFill>
      </fill>
    </dxf>
    <dxf>
      <font>
        <color theme="2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theme="0" tint="-4.9989318521683403E-2"/>
        </patternFill>
      </fill>
    </dxf>
    <dxf>
      <fill>
        <patternFill>
          <bgColor rgb="FFFF0000"/>
        </patternFill>
      </fill>
    </dxf>
    <dxf>
      <font>
        <color theme="2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DDD9C4"/>
      <color rgb="FFD9D9D9"/>
      <color rgb="FFD9AD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202405</xdr:colOff>
      <xdr:row>0</xdr:row>
      <xdr:rowOff>166689</xdr:rowOff>
    </xdr:from>
    <xdr:to>
      <xdr:col>1</xdr:col>
      <xdr:colOff>2503022</xdr:colOff>
      <xdr:row>2</xdr:row>
      <xdr:rowOff>135892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2574FEF-55BB-47E7-A301-2375D9222B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530" y="166689"/>
          <a:ext cx="2303792" cy="4930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64742</xdr:colOff>
      <xdr:row>0</xdr:row>
      <xdr:rowOff>14942</xdr:rowOff>
    </xdr:from>
    <xdr:to>
      <xdr:col>3</xdr:col>
      <xdr:colOff>3159</xdr:colOff>
      <xdr:row>1</xdr:row>
      <xdr:rowOff>246309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99A87C3-2130-4253-8288-416DF7FBFC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7" y="11767"/>
          <a:ext cx="2304018" cy="409167"/>
        </a:xfrm>
        <a:prstGeom prst="rect">
          <a:avLst/>
        </a:prstGeom>
      </xdr:spPr>
    </xdr:pic>
    <xdr:clientData/>
  </xdr:twoCellAnchor>
  <xdr:twoCellAnchor>
    <xdr:from>
      <xdr:col>2</xdr:col>
      <xdr:colOff>444500</xdr:colOff>
      <xdr:row>6</xdr:row>
      <xdr:rowOff>1079500</xdr:rowOff>
    </xdr:from>
    <xdr:to>
      <xdr:col>2</xdr:col>
      <xdr:colOff>588500</xdr:colOff>
      <xdr:row>6</xdr:row>
      <xdr:rowOff>1295500</xdr:rowOff>
    </xdr:to>
    <xdr:sp macro="" textlink="">
      <xdr:nvSpPr>
        <xdr:cNvPr id="5" name="Flecha: hacia abajo 4">
          <a:extLst>
            <a:ext uri="{FF2B5EF4-FFF2-40B4-BE49-F238E27FC236}">
              <a16:creationId xmlns:a16="http://schemas.microsoft.com/office/drawing/2014/main" id="{756CBEEC-A951-13A8-5B77-29C29CE8850A}"/>
            </a:ext>
          </a:extLst>
        </xdr:cNvPr>
        <xdr:cNvSpPr/>
      </xdr:nvSpPr>
      <xdr:spPr>
        <a:xfrm>
          <a:off x="1701800" y="1600200"/>
          <a:ext cx="144000" cy="216000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AR" sz="1100" kern="1200"/>
        </a:p>
      </xdr:txBody>
    </xdr:sp>
    <xdr:clientData/>
  </xdr:twoCellAnchor>
  <xdr:twoCellAnchor>
    <xdr:from>
      <xdr:col>4</xdr:col>
      <xdr:colOff>1054100</xdr:colOff>
      <xdr:row>6</xdr:row>
      <xdr:rowOff>1066800</xdr:rowOff>
    </xdr:from>
    <xdr:to>
      <xdr:col>4</xdr:col>
      <xdr:colOff>1198100</xdr:colOff>
      <xdr:row>6</xdr:row>
      <xdr:rowOff>1282800</xdr:rowOff>
    </xdr:to>
    <xdr:sp macro="" textlink="">
      <xdr:nvSpPr>
        <xdr:cNvPr id="6" name="Flecha: hacia abajo 5">
          <a:extLst>
            <a:ext uri="{FF2B5EF4-FFF2-40B4-BE49-F238E27FC236}">
              <a16:creationId xmlns:a16="http://schemas.microsoft.com/office/drawing/2014/main" id="{C8F07622-651B-3EAD-3393-81FD51AA7B42}"/>
            </a:ext>
          </a:extLst>
        </xdr:cNvPr>
        <xdr:cNvSpPr/>
      </xdr:nvSpPr>
      <xdr:spPr>
        <a:xfrm>
          <a:off x="5918200" y="1587500"/>
          <a:ext cx="144000" cy="216000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AR" sz="1100" kern="1200"/>
        </a:p>
      </xdr:txBody>
    </xdr:sp>
    <xdr:clientData/>
  </xdr:twoCellAnchor>
  <xdr:twoCellAnchor>
    <xdr:from>
      <xdr:col>5</xdr:col>
      <xdr:colOff>965200</xdr:colOff>
      <xdr:row>6</xdr:row>
      <xdr:rowOff>1054100</xdr:rowOff>
    </xdr:from>
    <xdr:to>
      <xdr:col>5</xdr:col>
      <xdr:colOff>1109200</xdr:colOff>
      <xdr:row>6</xdr:row>
      <xdr:rowOff>1270100</xdr:rowOff>
    </xdr:to>
    <xdr:sp macro="" textlink="">
      <xdr:nvSpPr>
        <xdr:cNvPr id="7" name="Flecha: hacia abajo 6">
          <a:extLst>
            <a:ext uri="{FF2B5EF4-FFF2-40B4-BE49-F238E27FC236}">
              <a16:creationId xmlns:a16="http://schemas.microsoft.com/office/drawing/2014/main" id="{4D7D7A06-6758-9133-C7E6-6B6CD121BD96}"/>
            </a:ext>
          </a:extLst>
        </xdr:cNvPr>
        <xdr:cNvSpPr/>
      </xdr:nvSpPr>
      <xdr:spPr>
        <a:xfrm>
          <a:off x="8089900" y="1574800"/>
          <a:ext cx="144000" cy="216000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AR" sz="1100" kern="1200"/>
        </a:p>
      </xdr:txBody>
    </xdr:sp>
    <xdr:clientData/>
  </xdr:twoCellAnchor>
  <xdr:twoCellAnchor>
    <xdr:from>
      <xdr:col>9</xdr:col>
      <xdr:colOff>381000</xdr:colOff>
      <xdr:row>6</xdr:row>
      <xdr:rowOff>1066800</xdr:rowOff>
    </xdr:from>
    <xdr:to>
      <xdr:col>9</xdr:col>
      <xdr:colOff>525000</xdr:colOff>
      <xdr:row>6</xdr:row>
      <xdr:rowOff>1282800</xdr:rowOff>
    </xdr:to>
    <xdr:sp macro="" textlink="">
      <xdr:nvSpPr>
        <xdr:cNvPr id="8" name="Flecha: hacia abajo 7">
          <a:extLst>
            <a:ext uri="{FF2B5EF4-FFF2-40B4-BE49-F238E27FC236}">
              <a16:creationId xmlns:a16="http://schemas.microsoft.com/office/drawing/2014/main" id="{21562688-7AA3-FF84-4434-3F5F550A2A32}"/>
            </a:ext>
          </a:extLst>
        </xdr:cNvPr>
        <xdr:cNvSpPr/>
      </xdr:nvSpPr>
      <xdr:spPr>
        <a:xfrm>
          <a:off x="11938000" y="1587500"/>
          <a:ext cx="144000" cy="216000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AR" sz="1100" kern="1200"/>
        </a:p>
      </xdr:txBody>
    </xdr:sp>
    <xdr:clientData/>
  </xdr:twoCellAnchor>
  <xdr:twoCellAnchor>
    <xdr:from>
      <xdr:col>10</xdr:col>
      <xdr:colOff>330200</xdr:colOff>
      <xdr:row>6</xdr:row>
      <xdr:rowOff>1066800</xdr:rowOff>
    </xdr:from>
    <xdr:to>
      <xdr:col>10</xdr:col>
      <xdr:colOff>474200</xdr:colOff>
      <xdr:row>6</xdr:row>
      <xdr:rowOff>1282800</xdr:rowOff>
    </xdr:to>
    <xdr:sp macro="" textlink="">
      <xdr:nvSpPr>
        <xdr:cNvPr id="9" name="Flecha: hacia abajo 8">
          <a:extLst>
            <a:ext uri="{FF2B5EF4-FFF2-40B4-BE49-F238E27FC236}">
              <a16:creationId xmlns:a16="http://schemas.microsoft.com/office/drawing/2014/main" id="{AD4049F5-93F8-5CB2-5986-88387538E953}"/>
            </a:ext>
          </a:extLst>
        </xdr:cNvPr>
        <xdr:cNvSpPr/>
      </xdr:nvSpPr>
      <xdr:spPr>
        <a:xfrm>
          <a:off x="12788900" y="1587500"/>
          <a:ext cx="144000" cy="216000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AR" sz="1100" kern="1200"/>
        </a:p>
      </xdr:txBody>
    </xdr:sp>
    <xdr:clientData/>
  </xdr:twoCellAnchor>
  <xdr:twoCellAnchor>
    <xdr:from>
      <xdr:col>11</xdr:col>
      <xdr:colOff>368300</xdr:colOff>
      <xdr:row>6</xdr:row>
      <xdr:rowOff>1054100</xdr:rowOff>
    </xdr:from>
    <xdr:to>
      <xdr:col>11</xdr:col>
      <xdr:colOff>512300</xdr:colOff>
      <xdr:row>6</xdr:row>
      <xdr:rowOff>1270100</xdr:rowOff>
    </xdr:to>
    <xdr:sp macro="" textlink="">
      <xdr:nvSpPr>
        <xdr:cNvPr id="10" name="Flecha: hacia abajo 9">
          <a:extLst>
            <a:ext uri="{FF2B5EF4-FFF2-40B4-BE49-F238E27FC236}">
              <a16:creationId xmlns:a16="http://schemas.microsoft.com/office/drawing/2014/main" id="{02F4EC03-3E17-4927-5C8E-1C67FEC546D5}"/>
            </a:ext>
          </a:extLst>
        </xdr:cNvPr>
        <xdr:cNvSpPr/>
      </xdr:nvSpPr>
      <xdr:spPr>
        <a:xfrm>
          <a:off x="13627100" y="1574800"/>
          <a:ext cx="144000" cy="216000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AR" sz="1100" kern="1200"/>
        </a:p>
      </xdr:txBody>
    </xdr:sp>
    <xdr:clientData/>
  </xdr:twoCellAnchor>
  <xdr:twoCellAnchor>
    <xdr:from>
      <xdr:col>12</xdr:col>
      <xdr:colOff>279400</xdr:colOff>
      <xdr:row>6</xdr:row>
      <xdr:rowOff>1054100</xdr:rowOff>
    </xdr:from>
    <xdr:to>
      <xdr:col>12</xdr:col>
      <xdr:colOff>423400</xdr:colOff>
      <xdr:row>6</xdr:row>
      <xdr:rowOff>1270100</xdr:rowOff>
    </xdr:to>
    <xdr:sp macro="" textlink="">
      <xdr:nvSpPr>
        <xdr:cNvPr id="11" name="Flecha: hacia abajo 10">
          <a:extLst>
            <a:ext uri="{FF2B5EF4-FFF2-40B4-BE49-F238E27FC236}">
              <a16:creationId xmlns:a16="http://schemas.microsoft.com/office/drawing/2014/main" id="{7DC3C889-A904-4AD6-1429-D2332E7A368A}"/>
            </a:ext>
          </a:extLst>
        </xdr:cNvPr>
        <xdr:cNvSpPr/>
      </xdr:nvSpPr>
      <xdr:spPr>
        <a:xfrm>
          <a:off x="14427200" y="1574800"/>
          <a:ext cx="144000" cy="216000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AR" sz="1100" kern="12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78E6FDF-7077-4A18-8554-CF435FB58DA1}" name="tblPersonal" displayName="tblPersonal" ref="A1:C365" totalsRowShown="0" headerRowDxfId="8" dataDxfId="7">
  <autoFilter ref="A1:C365" xr:uid="{F78E6FDF-7077-4A18-8554-CF435FB58DA1}"/>
  <tableColumns count="3">
    <tableColumn id="1" xr3:uid="{CEDE315D-B118-4C67-B70F-034FC0077C59}" name="CUIL" dataDxfId="6"/>
    <tableColumn id="2" xr3:uid="{900379FE-6278-4779-860F-7C9362FD5904}" name="HUB" dataDxfId="5"/>
    <tableColumn id="3" xr3:uid="{084DBF3B-1115-4A94-B329-5BF9AC597EBD}" name="AP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5F943A5-677D-4FBA-BB36-1017D90FEF5F}" name="tblBases" displayName="tblBases" ref="A1:C9" totalsRowShown="0">
  <autoFilter ref="A1:C9" xr:uid="{D5F943A5-677D-4FBA-BB36-1017D90FEF5F}"/>
  <tableColumns count="3">
    <tableColumn id="1" xr3:uid="{33E72377-4AB4-4426-8D9D-AFB8EF66916A}" name="BASE " dataDxfId="0"/>
    <tableColumn id="2" xr3:uid="{7FC62EF8-7D03-48C6-80D3-2344606D2434}" name="FID"/>
    <tableColumn id="3" xr3:uid="{ADD9C1E6-E236-4A19-9436-F45B8438ECF5}" name="BU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EC7C8-8382-4EB0-AE29-F9857137CD6C}">
  <sheetPr codeName="Hoja1">
    <pageSetUpPr fitToPage="1"/>
  </sheetPr>
  <dimension ref="A1:G67"/>
  <sheetViews>
    <sheetView tabSelected="1" topLeftCell="A48" zoomScale="80" zoomScaleNormal="80" workbookViewId="0">
      <selection activeCell="D11" sqref="D11"/>
    </sheetView>
  </sheetViews>
  <sheetFormatPr baseColWidth="10" defaultColWidth="11.44140625" defaultRowHeight="14.4" x14ac:dyDescent="0.3"/>
  <cols>
    <col min="1" max="1" width="3.44140625" style="1" bestFit="1" customWidth="1"/>
    <col min="2" max="2" width="46.44140625" style="45" customWidth="1"/>
    <col min="3" max="3" width="42.5546875" style="2" customWidth="1"/>
    <col min="4" max="4" width="31.5546875" style="2" customWidth="1"/>
    <col min="5" max="5" width="19.6640625" style="3" bestFit="1" customWidth="1"/>
    <col min="6" max="6" width="34.109375" style="3" bestFit="1" customWidth="1"/>
    <col min="7" max="7" width="28.109375" style="3" bestFit="1" customWidth="1"/>
  </cols>
  <sheetData>
    <row r="1" spans="1:7" ht="21" customHeight="1" x14ac:dyDescent="0.3">
      <c r="A1" s="176"/>
      <c r="B1" s="177"/>
      <c r="C1" s="182" t="s">
        <v>0</v>
      </c>
      <c r="D1" s="183"/>
      <c r="E1" s="183"/>
      <c r="F1" s="184"/>
      <c r="G1" s="48" t="s">
        <v>1</v>
      </c>
    </row>
    <row r="2" spans="1:7" ht="21" customHeight="1" x14ac:dyDescent="0.3">
      <c r="A2" s="178"/>
      <c r="B2" s="179"/>
      <c r="C2" s="185"/>
      <c r="D2" s="186"/>
      <c r="E2" s="186"/>
      <c r="F2" s="187"/>
      <c r="G2" s="48" t="s">
        <v>2</v>
      </c>
    </row>
    <row r="3" spans="1:7" ht="21" customHeight="1" x14ac:dyDescent="0.3">
      <c r="A3" s="180"/>
      <c r="B3" s="181"/>
      <c r="C3" s="188"/>
      <c r="D3" s="189"/>
      <c r="E3" s="189"/>
      <c r="F3" s="190"/>
      <c r="G3" s="48" t="s">
        <v>3</v>
      </c>
    </row>
    <row r="4" spans="1:7" s="46" customFormat="1" ht="10.5" customHeight="1" x14ac:dyDescent="0.3"/>
    <row r="5" spans="1:7" s="46" customFormat="1" x14ac:dyDescent="0.3">
      <c r="A5" s="47" t="s">
        <v>4</v>
      </c>
      <c r="B5" s="47"/>
      <c r="C5" s="47"/>
      <c r="D5" s="47" t="s">
        <v>5</v>
      </c>
      <c r="E5" s="47"/>
      <c r="F5" s="47" t="s">
        <v>6</v>
      </c>
    </row>
    <row r="6" spans="1:7" s="46" customFormat="1" ht="15" thickBot="1" x14ac:dyDescent="0.35">
      <c r="A6" s="47"/>
      <c r="B6" s="47"/>
      <c r="C6" s="47"/>
      <c r="D6" s="47"/>
      <c r="E6" s="47"/>
      <c r="F6" s="47"/>
    </row>
    <row r="7" spans="1:7" s="49" customFormat="1" ht="26.4" customHeight="1" x14ac:dyDescent="0.3">
      <c r="A7" s="54" t="s">
        <v>7</v>
      </c>
      <c r="B7" s="55" t="s">
        <v>8</v>
      </c>
      <c r="C7" s="55" t="s">
        <v>9</v>
      </c>
      <c r="D7" s="55" t="s">
        <v>10</v>
      </c>
      <c r="E7" s="56" t="s">
        <v>11</v>
      </c>
      <c r="F7" s="56" t="s">
        <v>12</v>
      </c>
      <c r="G7" s="56" t="s">
        <v>13</v>
      </c>
    </row>
    <row r="8" spans="1:7" ht="42.6" customHeight="1" x14ac:dyDescent="0.3">
      <c r="A8" s="171">
        <v>1</v>
      </c>
      <c r="B8" s="172" t="str" cm="1">
        <f t="array" ref="B8">IFERROR(IF(INDEX('Criterio de matriz competencias'!$A$2:$A$77,ROW(A1))="","",INDEX('Criterio de matriz competencias'!$A$2:$A$77,ROW(A1))),"")</f>
        <v>Programa de Aire</v>
      </c>
      <c r="C8" s="172" t="str" cm="1">
        <f t="array" ref="C8">IFERROR(IF(INDEX('Criterio de matriz competencias'!$B$2:$B$77,ROW(B1))="","",INDEX('Criterio de matriz competencias'!$B$2:$B$77,ROW(B1))),"")</f>
        <v>HSE 360: ENVMS.003</v>
      </c>
      <c r="D8" s="173" t="str" cm="1">
        <f t="array" ref="D8">IFERROR(IF(INDEX('Criterio de matriz competencias'!$F$2:$F$77,ROW(B1))="","",INDEX('Criterio de matriz competencias'!$F$2:$F$77,ROW(B1))),"")</f>
        <v>Personal que opera fuentes de emisión; Gerencia Local / HSE</v>
      </c>
      <c r="E8" s="174" t="str" cm="1">
        <f t="array" ref="E8">IFERROR(IF(INDEX('Criterio de matriz competencias'!$C$2:$C$77,ROW(B1))="","",INDEX('Criterio de matriz competencias'!$C$2:$C$77,ROW(B1))),"")</f>
        <v>NOV</v>
      </c>
      <c r="F8" s="174" t="str" cm="1">
        <f t="array" ref="F8">IFERROR(IF(INDEX('Criterio de matriz competencias'!$K$2:$K$77,ROW(B1))="","",INDEX('Criterio de matriz competencias'!$K$2:$K$77,ROW(B1))),"")</f>
        <v>Inicial + cuando cambie equipo/proceso/regulación; revisión periódica.</v>
      </c>
      <c r="G8" s="174" t="str" cm="1">
        <f t="array" ref="G8">IFERROR(IF(INDEX('Criterio de matriz competencias'!$J$2:$J$77,ROW(B1))="","",INDEX('Criterio de matriz competencias'!$J$2:$J$77,ROW(B1))),"")</f>
        <v>QUIZ</v>
      </c>
    </row>
    <row r="9" spans="1:7" ht="42.6" customHeight="1" x14ac:dyDescent="0.3">
      <c r="A9" s="171">
        <v>2</v>
      </c>
      <c r="B9" s="172" t="str" cm="1">
        <f t="array" ref="B9">IFERROR(IF(INDEX('Criterio de matriz competencias'!$A$2:$A$77,ROW(A2))="","",INDEX('Criterio de matriz competencias'!$A$2:$A$77,ROW(A2))),"")</f>
        <v>Conciencia Ambiental</v>
      </c>
      <c r="C9" s="172" t="str" cm="1">
        <f t="array" ref="C9">IFERROR(IF(INDEX('Criterio de matriz competencias'!$B$2:$B$77,ROW(B2))="","",INDEX('Criterio de matriz competencias'!$B$2:$B$77,ROW(B2))),"")</f>
        <v xml:space="preserve">HSE 360: ENVMS.006 /  ENVMS.005 </v>
      </c>
      <c r="D9" s="173" t="str" cm="1">
        <f t="array" ref="D9">IFERROR(IF(INDEX('Criterio de matriz competencias'!$F$2:$F$77,ROW(B2))="","",INDEX('Criterio de matriz competencias'!$F$2:$F$77,ROW(B2))),"")</f>
        <v>Todos</v>
      </c>
      <c r="E9" s="174" t="str" cm="1">
        <f t="array" ref="E9">IFERROR(IF(INDEX('Criterio de matriz competencias'!$C$2:$C$77,ROW(B2))="","",INDEX('Criterio de matriz competencias'!$C$2:$C$77,ROW(B2))),"")</f>
        <v>NOV / Asesor Ambiental M. L.</v>
      </c>
      <c r="F9" s="174" t="str" cm="1">
        <f t="array" ref="F9">IFERROR(IF(INDEX('Criterio de matriz competencias'!$K$2:$K$77,ROW(B2))="","",INDEX('Criterio de matriz competencias'!$K$2:$K$77,ROW(B2))),"")</f>
        <v>Anual</v>
      </c>
      <c r="G9" s="174" t="str" cm="1">
        <f t="array" ref="G9">IFERROR(IF(INDEX('Criterio de matriz competencias'!$J$2:$J$77,ROW(B2))="","",INDEX('Criterio de matriz competencias'!$J$2:$J$77,ROW(B2))),"")</f>
        <v>QUIZ</v>
      </c>
    </row>
    <row r="10" spans="1:7" ht="42.6" customHeight="1" x14ac:dyDescent="0.3">
      <c r="A10" s="171">
        <v>3</v>
      </c>
      <c r="B10" s="172" t="str" cm="1">
        <f t="array" ref="B10">IFERROR(IF(INDEX('Criterio de matriz competencias'!$A$2:$A$77,ROW(A3))="","",INDEX('Criterio de matriz competencias'!$A$2:$A$77,ROW(A3))),"")</f>
        <v xml:space="preserve">Control de Documentos e Informacion de HSE </v>
      </c>
      <c r="C10" s="172" t="str" cm="1">
        <f t="array" ref="C10">IFERROR(IF(INDEX('Criterio de matriz competencias'!$B$2:$B$77,ROW(B3))="","",INDEX('Criterio de matriz competencias'!$B$2:$B$77,ROW(B3))),"")</f>
        <v>HSE 360: HSEMS.002</v>
      </c>
      <c r="D10" s="173" t="str" cm="1">
        <f t="array" ref="D10">IFERROR(IF(INDEX('Criterio de matriz competencias'!$F$2:$F$77,ROW(B3))="","",INDEX('Criterio de matriz competencias'!$F$2:$F$77,ROW(B3))),"")</f>
        <v>Gerencia Local / HSE / SGI</v>
      </c>
      <c r="E10" s="174" t="str" cm="1">
        <f t="array" ref="E10">IFERROR(IF(INDEX('Criterio de matriz competencias'!$C$2:$C$77,ROW(B3))="","",INDEX('Criterio de matriz competencias'!$C$2:$C$77,ROW(B3))),"")</f>
        <v>NOV</v>
      </c>
      <c r="F10" s="174" t="str" cm="1">
        <f t="array" ref="F10">IFERROR(IF(INDEX('Criterio de matriz competencias'!$K$2:$K$77,ROW(B3))="","",INDEX('Criterio de matriz competencias'!$K$2:$K$77,ROW(B3))),"")</f>
        <v>Inicial + cuando cambien herramientas/proceso.</v>
      </c>
      <c r="G10" s="174" t="str" cm="1">
        <f t="array" ref="G10">IFERROR(IF(INDEX('Criterio de matriz competencias'!$J$2:$J$77,ROW(B3))="","",INDEX('Criterio de matriz competencias'!$J$2:$J$77,ROW(B3))),"")</f>
        <v>En auditorias</v>
      </c>
    </row>
    <row r="11" spans="1:7" ht="42.6" customHeight="1" x14ac:dyDescent="0.3">
      <c r="A11" s="171">
        <v>4</v>
      </c>
      <c r="B11" s="172" t="str" cm="1">
        <f t="array" ref="B11">IFERROR(IF(INDEX('Criterio de matriz competencias'!$A$2:$A$77,ROW(A4))="","",INDEX('Criterio de matriz competencias'!$A$2:$A$77,ROW(A4))),"")</f>
        <v xml:space="preserve"> Acciones Correctivas y Preventivas (CAPA)</v>
      </c>
      <c r="C11" s="172" t="str" cm="1">
        <f t="array" ref="C11">IFERROR(IF(INDEX('Criterio de matriz competencias'!$B$2:$B$77,ROW(B4))="","",INDEX('Criterio de matriz competencias'!$B$2:$B$77,ROW(B4))),"")</f>
        <v>HSE 360: HSEMS.015</v>
      </c>
      <c r="D11" s="173" t="str" cm="1">
        <f t="array" ref="D11">IFERROR(IF(INDEX('Criterio de matriz competencias'!$F$2:$F$77,ROW(B4))="","",INDEX('Criterio de matriz competencias'!$F$2:$F$77,ROW(B4))),"")</f>
        <v>Gerencia Local / mandos medios / HSE</v>
      </c>
      <c r="E11" s="174" t="str" cm="1">
        <f t="array" ref="E11">IFERROR(IF(INDEX('Criterio de matriz competencias'!$C$2:$C$77,ROW(B4))="","",INDEX('Criterio de matriz competencias'!$C$2:$C$77,ROW(B4))),"")</f>
        <v>NOV</v>
      </c>
      <c r="F11" s="174" t="str" cm="1">
        <f t="array" ref="F11">IFERROR(IF(INDEX('Criterio de matriz competencias'!$K$2:$K$77,ROW(B4))="","",INDEX('Criterio de matriz competencias'!$K$2:$K$77,ROW(B4))),"")</f>
        <v>Inicial al asumir el rol y ante cambios del proceso/herramienta.</v>
      </c>
      <c r="G11" s="174" t="str" cm="1">
        <f t="array" ref="G11">IFERROR(IF(INDEX('Criterio de matriz competencias'!$J$2:$J$77,ROW(B4))="","",INDEX('Criterio de matriz competencias'!$J$2:$J$77,ROW(B4))),"")</f>
        <v>En auditorias</v>
      </c>
    </row>
    <row r="12" spans="1:7" ht="42.6" customHeight="1" x14ac:dyDescent="0.3">
      <c r="A12" s="171">
        <v>5</v>
      </c>
      <c r="B12" s="172" t="str" cm="1">
        <f t="array" ref="B12">IFERROR(IF(INDEX('Criterio de matriz competencias'!$A$2:$A$77,ROW(A5))="","",INDEX('Criterio de matriz competencias'!$A$2:$A$77,ROW(A5))),"")</f>
        <v>Seguridad Basada en el Comportamiento (Observation Program) // HSMS.043 / Autoridad de Detener el Trabajo</v>
      </c>
      <c r="C12" s="172" t="str" cm="1">
        <f t="array" ref="C12">IFERROR(IF(INDEX('Criterio de matriz competencias'!$B$2:$B$77,ROW(B5))="","",INDEX('Criterio de matriz competencias'!$B$2:$B$77,ROW(B5))),"")</f>
        <v>HSE 360: HSEMS.017</v>
      </c>
      <c r="D12" s="173" t="str" cm="1">
        <f t="array" ref="D12">IFERROR(IF(INDEX('Criterio de matriz competencias'!$F$2:$F$77,ROW(B5))="","",INDEX('Criterio de matriz competencias'!$F$2:$F$77,ROW(B5))),"")</f>
        <v xml:space="preserve">Todos </v>
      </c>
      <c r="E12" s="174" t="str" cm="1">
        <f t="array" ref="E12">IFERROR(IF(INDEX('Criterio de matriz competencias'!$C$2:$C$77,ROW(B5))="","",INDEX('Criterio de matriz competencias'!$C$2:$C$77,ROW(B5))),"")</f>
        <v>NOV</v>
      </c>
      <c r="F12" s="174" t="str" cm="1">
        <f t="array" ref="F12">IFERROR(IF(INDEX('Criterio de matriz competencias'!$K$2:$K$77,ROW(B5))="","",INDEX('Criterio de matriz competencias'!$K$2:$K$77,ROW(B5))),"")</f>
        <v>Inducción y anual</v>
      </c>
      <c r="G12" s="174" t="str" cm="1">
        <f t="array" ref="G12">IFERROR(IF(INDEX('Criterio de matriz competencias'!$J$2:$J$77,ROW(B5))="","",INDEX('Criterio de matriz competencias'!$J$2:$J$77,ROW(B5))),"")</f>
        <v>QUIZ / Revisión de tarjetas/observaciones</v>
      </c>
    </row>
    <row r="13" spans="1:7" ht="42.6" customHeight="1" x14ac:dyDescent="0.3">
      <c r="A13" s="171">
        <v>6</v>
      </c>
      <c r="B13" s="172" t="str" cm="1">
        <f t="array" ref="B13">IFERROR(IF(INDEX('Criterio de matriz competencias'!$A$2:$A$77,ROW(A6))="","",INDEX('Criterio de matriz competencias'!$A$2:$A$77,ROW(A6))),"")</f>
        <v>Identificacion de Peligros y Evaluacion de Riesgos</v>
      </c>
      <c r="C13" s="172" t="str" cm="1">
        <f t="array" ref="C13">IFERROR(IF(INDEX('Criterio de matriz competencias'!$B$2:$B$77,ROW(B6))="","",INDEX('Criterio de matriz competencias'!$B$2:$B$77,ROW(B6))),"")</f>
        <v>HSE 360: HSEMS.022</v>
      </c>
      <c r="D13" s="173" t="str" cm="1">
        <f t="array" ref="D13">IFERROR(IF(INDEX('Criterio de matriz competencias'!$F$2:$F$77,ROW(B6))="","",INDEX('Criterio de matriz competencias'!$F$2:$F$77,ROW(B6))),"")</f>
        <v>Todos</v>
      </c>
      <c r="E13" s="174" t="str" cm="1">
        <f t="array" ref="E13">IFERROR(IF(INDEX('Criterio de matriz competencias'!$C$2:$C$77,ROW(B6))="","",INDEX('Criterio de matriz competencias'!$C$2:$C$77,ROW(B6))),"")</f>
        <v>NOV</v>
      </c>
      <c r="F13" s="174" t="str" cm="1">
        <f t="array" ref="F13">IFERROR(IF(INDEX('Criterio de matriz competencias'!$K$2:$K$77,ROW(B6))="","",INDEX('Criterio de matriz competencias'!$K$2:$K$77,ROW(B6))),"")</f>
        <v>Inicial + cuando cambie el proceso/actividad/plantilla de RA + post‑incidente</v>
      </c>
      <c r="G13" s="174" t="str" cm="1">
        <f t="array" ref="G13">IFERROR(IF(INDEX('Criterio de matriz competencias'!$J$2:$J$77,ROW(B6))="","",INDEX('Criterio de matriz competencias'!$J$2:$J$77,ROW(B6))),"")</f>
        <v>Quiz + verificación de IPER / ATS completados en visitas gerenciales y de HSE</v>
      </c>
    </row>
    <row r="14" spans="1:7" ht="65.400000000000006" customHeight="1" x14ac:dyDescent="0.3">
      <c r="A14" s="171">
        <v>7</v>
      </c>
      <c r="B14" s="172" t="str" cm="1">
        <f t="array" ref="B14">IFERROR(IF(INDEX('Criterio de matriz competencias'!$A$2:$A$77,ROW(A7))="","",INDEX('Criterio de matriz competencias'!$A$2:$A$77,ROW(A7))),"")</f>
        <v xml:space="preserve"> Plan de Respuesta ante Eemergencias / HSMS.010 /Primeros Axulios &amp; RCP/DEA / HSMSWT-002 / Patogenos Trasnmitidos por la Sangre</v>
      </c>
      <c r="C14" s="172" t="str" cm="1">
        <f t="array" ref="C14">IFERROR(IF(INDEX('Criterio de matriz competencias'!$B$2:$B$77,ROW(B7))="","",INDEX('Criterio de matriz competencias'!$B$2:$B$77,ROW(B7))),"")</f>
        <v>HSE 360: HSEMS.034</v>
      </c>
      <c r="D14" s="173" t="str" cm="1">
        <f t="array" ref="D14">IFERROR(IF(INDEX('Criterio de matriz competencias'!$F$2:$F$77,ROW(B7))="","",INDEX('Criterio de matriz competencias'!$F$2:$F$77,ROW(B7))),"")</f>
        <v>Todos</v>
      </c>
      <c r="E14" s="174" t="str" cm="1">
        <f t="array" ref="E14">IFERROR(IF(INDEX('Criterio de matriz competencias'!$C$2:$C$77,ROW(B7))="","",INDEX('Criterio de matriz competencias'!$C$2:$C$77,ROW(B7))),"")</f>
        <v>NOV / MEDLAB</v>
      </c>
      <c r="F14" s="174" t="str" cm="1">
        <f t="array" ref="F14">IFERROR(IF(INDEX('Criterio de matriz competencias'!$K$2:$K$77,ROW(B7))="","",INDEX('Criterio de matriz competencias'!$K$2:$K$77,ROW(B7))),"")</f>
        <v>Anual (ERP) y al ingreso/transferencia; según plan local y requisitos del cliente.</v>
      </c>
      <c r="G14" s="174" t="str" cm="1">
        <f t="array" ref="G14">IFERROR(IF(INDEX('Criterio de matriz competencias'!$J$2:$J$77,ROW(B7))="","",INDEX('Criterio de matriz competencias'!$J$2:$J$77,ROW(B7))),"")</f>
        <v xml:space="preserve">Resultados de simulacros </v>
      </c>
    </row>
    <row r="15" spans="1:7" ht="42.6" customHeight="1" x14ac:dyDescent="0.3">
      <c r="A15" s="171">
        <v>8</v>
      </c>
      <c r="B15" s="172" t="str" cm="1">
        <f t="array" ref="B15">IFERROR(IF(INDEX('Criterio de matriz competencias'!$A$2:$A$77,ROW(A8))="","",INDEX('Criterio de matriz competencias'!$A$2:$A$77,ROW(A8))),"")</f>
        <v>Reporte y Gestion de Incidentes HSE (Todos)</v>
      </c>
      <c r="C15" s="172" t="str" cm="1">
        <f t="array" ref="C15">IFERROR(IF(INDEX('Criterio de matriz competencias'!$B$2:$B$77,ROW(B8))="","",INDEX('Criterio de matriz competencias'!$B$2:$B$77,ROW(B8))),"")</f>
        <v>HSE 360: HSEMS.050</v>
      </c>
      <c r="D15" s="173" t="str" cm="1">
        <f t="array" ref="D15">IFERROR(IF(INDEX('Criterio de matriz competencias'!$F$2:$F$77,ROW(B8))="","",INDEX('Criterio de matriz competencias'!$F$2:$F$77,ROW(B8))),"")</f>
        <v>Todos</v>
      </c>
      <c r="E15" s="174" t="str" cm="1">
        <f t="array" ref="E15">IFERROR(IF(INDEX('Criterio de matriz competencias'!$C$2:$C$77,ROW(B8))="","",INDEX('Criterio de matriz competencias'!$C$2:$C$77,ROW(B8))),"")</f>
        <v>NOV</v>
      </c>
      <c r="F15" s="174" t="str" cm="1">
        <f t="array" ref="F15">IFERROR(IF(INDEX('Criterio de matriz competencias'!$K$2:$K$77,ROW(B8))="","",INDEX('Criterio de matriz competencias'!$K$2:$K$77,ROW(B8))),"")</f>
        <v>Inicial + anual.</v>
      </c>
      <c r="G15" s="174" t="str" cm="1">
        <f t="array" ref="G15">IFERROR(IF(INDEX('Criterio de matriz competencias'!$J$2:$J$77,ROW(B8))="","",INDEX('Criterio de matriz competencias'!$J$2:$J$77,ROW(B8))),"")</f>
        <v>QUIZ</v>
      </c>
    </row>
    <row r="16" spans="1:7" ht="42.6" customHeight="1" x14ac:dyDescent="0.3">
      <c r="A16" s="171">
        <v>9</v>
      </c>
      <c r="B16" s="172" t="str" cm="1">
        <f t="array" ref="B16">IFERROR(IF(INDEX('Criterio de matriz competencias'!$A$2:$A$77,ROW(A9))="","",INDEX('Criterio de matriz competencias'!$A$2:$A$77,ROW(A9))),"")</f>
        <v>Reporte, Gestion e Investigacion de Incidentes HSE (supervisores / investigadores (rol))</v>
      </c>
      <c r="C16" s="172" t="str" cm="1">
        <f t="array" ref="C16">IFERROR(IF(INDEX('Criterio de matriz competencias'!$B$2:$B$77,ROW(B9))="","",INDEX('Criterio de matriz competencias'!$B$2:$B$77,ROW(B9))),"")</f>
        <v>HSE 360: HSEMS.050</v>
      </c>
      <c r="D16" s="173" t="str" cm="1">
        <f t="array" ref="D16">IFERROR(IF(INDEX('Criterio de matriz competencias'!$F$2:$F$77,ROW(B9))="","",INDEX('Criterio de matriz competencias'!$F$2:$F$77,ROW(B9))),"")</f>
        <v>supervisores / investigadores (rol)</v>
      </c>
      <c r="E16" s="174" t="str" cm="1">
        <f t="array" ref="E16">IFERROR(IF(INDEX('Criterio de matriz competencias'!$C$2:$C$77,ROW(B9))="","",INDEX('Criterio de matriz competencias'!$C$2:$C$77,ROW(B9))),"")</f>
        <v>NOV</v>
      </c>
      <c r="F16" s="174" t="str" cm="1">
        <f t="array" ref="F16">IFERROR(IF(INDEX('Criterio de matriz competencias'!$K$2:$K$77,ROW(B9))="","",INDEX('Criterio de matriz competencias'!$K$2:$K$77,ROW(B9))),"")</f>
        <v xml:space="preserve">Inicial + refresco trienal o por cambios significativos. </v>
      </c>
      <c r="G16" s="174" t="str" cm="1">
        <f t="array" ref="G16">IFERROR(IF(INDEX('Criterio de matriz competencias'!$J$2:$J$77,ROW(B9))="","",INDEX('Criterio de matriz competencias'!$J$2:$J$77,ROW(B9))),"")</f>
        <v>QUIZ</v>
      </c>
    </row>
    <row r="17" spans="1:7" ht="42.6" customHeight="1" x14ac:dyDescent="0.3">
      <c r="A17" s="171">
        <v>10</v>
      </c>
      <c r="B17" s="172" t="str" cm="1">
        <f t="array" ref="B17">IFERROR(IF(INDEX('Criterio de matriz competencias'!$A$2:$A$77,ROW(A10))="","",INDEX('Criterio de matriz competencias'!$A$2:$A$77,ROW(A10))),"")</f>
        <v>Gruas y Equipos de Izaje (Todos)</v>
      </c>
      <c r="C17" s="172" t="str" cm="1">
        <f t="array" ref="C17">IFERROR(IF(INDEX('Criterio de matriz competencias'!$B$2:$B$77,ROW(B10))="","",INDEX('Criterio de matriz competencias'!$B$2:$B$77,ROW(B10))),"")</f>
        <v>HSE 360: HSMS.007</v>
      </c>
      <c r="D17" s="173" t="str" cm="1">
        <f t="array" ref="D17">IFERROR(IF(INDEX('Criterio de matriz competencias'!$F$2:$F$77,ROW(B10))="","",INDEX('Criterio de matriz competencias'!$F$2:$F$77,ROW(B10))),"")</f>
        <v>operadores, señaleros y supervisores</v>
      </c>
      <c r="E17" s="174" t="str" cm="1">
        <f t="array" ref="E17">IFERROR(IF(INDEX('Criterio de matriz competencias'!$C$2:$C$77,ROW(B10))="","",INDEX('Criterio de matriz competencias'!$C$2:$C$77,ROW(B10))),"")</f>
        <v>NOV</v>
      </c>
      <c r="F17" s="174" t="str" cm="1">
        <f t="array" ref="F17">IFERROR(IF(INDEX('Criterio de matriz competencias'!$K$2:$K$77,ROW(B10))="","",INDEX('Criterio de matriz competencias'!$K$2:$K$77,ROW(B10))),"")</f>
        <v>Inicial + ANUAL</v>
      </c>
      <c r="G17" s="174" t="str" cm="1">
        <f t="array" ref="G17">IFERROR(IF(INDEX('Criterio de matriz competencias'!$J$2:$J$77,ROW(B10))="","",INDEX('Criterio de matriz competencias'!$J$2:$J$77,ROW(B10))),"")</f>
        <v>QUIZ</v>
      </c>
    </row>
    <row r="18" spans="1:7" ht="42.6" customHeight="1" x14ac:dyDescent="0.3">
      <c r="A18" s="171">
        <v>11</v>
      </c>
      <c r="B18" s="172" t="str" cm="1">
        <f t="array" ref="B18">IFERROR(IF(INDEX('Criterio de matriz competencias'!$A$2:$A$77,ROW(A11))="","",INDEX('Criterio de matriz competencias'!$A$2:$A$77,ROW(A11))),"")</f>
        <v>HSMS.007 / Gruas y Equipos de Izaje (Operadores)</v>
      </c>
      <c r="C18" s="172" t="str" cm="1">
        <f t="array" ref="C18">IFERROR(IF(INDEX('Criterio de matriz competencias'!$B$2:$B$77,ROW(B11))="","",INDEX('Criterio de matriz competencias'!$B$2:$B$77,ROW(B11))),"")</f>
        <v>HSE 360: HSMS.007</v>
      </c>
      <c r="D18" s="173" t="str" cm="1">
        <f t="array" ref="D18">IFERROR(IF(INDEX('Criterio de matriz competencias'!$F$2:$F$77,ROW(B11))="","",INDEX('Criterio de matriz competencias'!$F$2:$F$77,ROW(B11))),"")</f>
        <v>Planificador de izaje / operador / señalero / aparejador</v>
      </c>
      <c r="E18" s="174" t="str" cm="1">
        <f t="array" ref="E18">IFERROR(IF(INDEX('Criterio de matriz competencias'!$C$2:$C$77,ROW(B11))="","",INDEX('Criterio de matriz competencias'!$C$2:$C$77,ROW(B11))),"")</f>
        <v>TUV Rheinland</v>
      </c>
      <c r="F18" s="174" t="str" cm="1">
        <f t="array" ref="F18">IFERROR(IF(INDEX('Criterio de matriz competencias'!$K$2:$K$77,ROW(B11))="","",INDEX('Criterio de matriz competencias'!$K$2:$K$77,ROW(B11))),"")</f>
        <v>Inicial + ANUAL o ante cambio/deficiencia / mal uso/accidente.</v>
      </c>
      <c r="G18" s="174" t="str" cm="1">
        <f t="array" ref="G18">IFERROR(IF(INDEX('Criterio de matriz competencias'!$J$2:$J$77,ROW(B11))="","",INDEX('Criterio de matriz competencias'!$J$2:$J$77,ROW(B11))),"")</f>
        <v>Práctica observada + evaluación teórica</v>
      </c>
    </row>
    <row r="19" spans="1:7" ht="42.6" customHeight="1" x14ac:dyDescent="0.3">
      <c r="A19" s="171">
        <v>12</v>
      </c>
      <c r="B19" s="172" t="str" cm="1">
        <f t="array" ref="B19">IFERROR(IF(INDEX('Criterio de matriz competencias'!$A$2:$A$77,ROW(A12))="","",INDEX('Criterio de matriz competencias'!$A$2:$A$77,ROW(A12))),"")</f>
        <v>Proteccion Contra Incendios (Todos)</v>
      </c>
      <c r="C19" s="172" t="str" cm="1">
        <f t="array" ref="C19">IFERROR(IF(INDEX('Criterio de matriz competencias'!$B$2:$B$77,ROW(B12))="","",INDEX('Criterio de matriz competencias'!$B$2:$B$77,ROW(B12))),"")</f>
        <v>HSE 360: HSMS.009</v>
      </c>
      <c r="D19" s="173" t="str" cm="1">
        <f t="array" ref="D19">IFERROR(IF(INDEX('Criterio de matriz competencias'!$F$2:$F$77,ROW(B12))="","",INDEX('Criterio de matriz competencias'!$F$2:$F$77,ROW(B12))),"")</f>
        <v>Todos</v>
      </c>
      <c r="E19" s="174" t="str" cm="1">
        <f t="array" ref="E19">IFERROR(IF(INDEX('Criterio de matriz competencias'!$C$2:$C$77,ROW(B12))="","",INDEX('Criterio de matriz competencias'!$C$2:$C$77,ROW(B12))),"")</f>
        <v>NOV</v>
      </c>
      <c r="F19" s="174" t="str" cm="1">
        <f t="array" ref="F19">IFERROR(IF(INDEX('Criterio de matriz competencias'!$K$2:$K$77,ROW(B12))="","",INDEX('Criterio de matriz competencias'!$K$2:$K$77,ROW(B12))),"")</f>
        <v>Inducción + ANUAL</v>
      </c>
      <c r="G19" s="174" t="str" cm="1">
        <f t="array" ref="G19">IFERROR(IF(INDEX('Criterio de matriz competencias'!$J$2:$J$77,ROW(B12))="","",INDEX('Criterio de matriz competencias'!$J$2:$J$77,ROW(B12))),"")</f>
        <v>Quiz + participación en simulacro</v>
      </c>
    </row>
    <row r="20" spans="1:7" ht="42.6" customHeight="1" x14ac:dyDescent="0.3">
      <c r="A20" s="171">
        <v>13</v>
      </c>
      <c r="B20" s="172" t="str" cm="1">
        <f t="array" ref="B20">IFERROR(IF(INDEX('Criterio de matriz competencias'!$A$2:$A$77,ROW(A13))="","",INDEX('Criterio de matriz competencias'!$A$2:$A$77,ROW(A13))),"")</f>
        <v>Proteccion Contra Incendios (Brigadistas)</v>
      </c>
      <c r="C20" s="172" t="str" cm="1">
        <f t="array" ref="C20">IFERROR(IF(INDEX('Criterio de matriz competencias'!$B$2:$B$77,ROW(B13))="","",INDEX('Criterio de matriz competencias'!$B$2:$B$77,ROW(B13))),"")</f>
        <v>HSE 360: HSMS.009</v>
      </c>
      <c r="D20" s="173" t="str" cm="1">
        <f t="array" ref="D20">IFERROR(IF(INDEX('Criterio de matriz competencias'!$F$2:$F$77,ROW(B13))="","",INDEX('Criterio de matriz competencias'!$F$2:$F$77,ROW(B13))),"")</f>
        <v>Equipos de respuesta/brigada</v>
      </c>
      <c r="E20" s="174" t="str" cm="1">
        <f t="array" ref="E20">IFERROR(IF(INDEX('Criterio de matriz competencias'!$C$2:$C$77,ROW(B13))="","",INDEX('Criterio de matriz competencias'!$C$2:$C$77,ROW(B13))),"")</f>
        <v>NOV</v>
      </c>
      <c r="F20" s="174" t="str" cm="1">
        <f t="array" ref="F20">IFERROR(IF(INDEX('Criterio de matriz competencias'!$K$2:$K$77,ROW(B13))="","",INDEX('Criterio de matriz competencias'!$K$2:$K$77,ROW(B13))),"")</f>
        <v>Inicial + anual</v>
      </c>
      <c r="G20" s="174" t="str" cm="1">
        <f t="array" ref="G20">IFERROR(IF(INDEX('Criterio de matriz competencias'!$J$2:$J$77,ROW(B13))="","",INDEX('Criterio de matriz competencias'!$J$2:$J$77,ROW(B13))),"")</f>
        <v>Observacion en práctica</v>
      </c>
    </row>
    <row r="21" spans="1:7" ht="42.6" customHeight="1" x14ac:dyDescent="0.3">
      <c r="A21" s="171">
        <v>14</v>
      </c>
      <c r="B21" s="172" t="str" cm="1">
        <f t="array" ref="B21">IFERROR(IF(INDEX('Criterio de matriz competencias'!$A$2:$A$77,ROW(A14))="","",INDEX('Criterio de matriz competencias'!$A$2:$A$77,ROW(A14))),"")</f>
        <v>Primeros Auxilios (Brigadistas)</v>
      </c>
      <c r="C21" s="172" t="str" cm="1">
        <f t="array" ref="C21">IFERROR(IF(INDEX('Criterio de matriz competencias'!$B$2:$B$77,ROW(B14))="","",INDEX('Criterio de matriz competencias'!$B$2:$B$77,ROW(B14))),"")</f>
        <v>HSE 360: HSMS.010</v>
      </c>
      <c r="D21" s="173" t="str" cm="1">
        <f t="array" ref="D21">IFERROR(IF(INDEX('Criterio de matriz competencias'!$F$2:$F$77,ROW(B14))="","",INDEX('Criterio de matriz competencias'!$F$2:$F$77,ROW(B14))),"")</f>
        <v>Brigadistas/primeros auxilios; supervisores</v>
      </c>
      <c r="E21" s="174" t="str" cm="1">
        <f t="array" ref="E21">IFERROR(IF(INDEX('Criterio de matriz competencias'!$C$2:$C$77,ROW(B14))="","",INDEX('Criterio de matriz competencias'!$C$2:$C$77,ROW(B14))),"")</f>
        <v>MEDLAB</v>
      </c>
      <c r="F21" s="174" t="str" cm="1">
        <f t="array" ref="F21">IFERROR(IF(INDEX('Criterio de matriz competencias'!$K$2:$K$77,ROW(B14))="","",INDEX('Criterio de matriz competencias'!$K$2:$K$77,ROW(B14))),"")</f>
        <v>Inicial + anual</v>
      </c>
      <c r="G21" s="174" t="str" cm="1">
        <f t="array" ref="G21">IFERROR(IF(INDEX('Criterio de matriz competencias'!$J$2:$J$77,ROW(B14))="","",INDEX('Criterio de matriz competencias'!$J$2:$J$77,ROW(B14))),"")</f>
        <v>Examen teórico/práctico + certificación externa</v>
      </c>
    </row>
    <row r="22" spans="1:7" ht="42.6" customHeight="1" x14ac:dyDescent="0.3">
      <c r="A22" s="171">
        <v>15</v>
      </c>
      <c r="B22" s="172" t="str" cm="1">
        <f t="array" ref="B22">IFERROR(IF(INDEX('Criterio de matriz competencias'!$A$2:$A$77,ROW(A15))="","",INDEX('Criterio de matriz competencias'!$A$2:$A$77,ROW(A15))),"")</f>
        <v>Seguridad Electrica (Todos)</v>
      </c>
      <c r="C22" s="172" t="str" cm="1">
        <f t="array" ref="C22">IFERROR(IF(INDEX('Criterio de matriz competencias'!$B$2:$B$77,ROW(B15))="","",INDEX('Criterio de matriz competencias'!$B$2:$B$77,ROW(B15))),"")</f>
        <v>HSE 360: HSMS.018</v>
      </c>
      <c r="D22" s="173" t="str" cm="1">
        <f t="array" ref="D22">IFERROR(IF(INDEX('Criterio de matriz competencias'!$F$2:$F$77,ROW(B15))="","",INDEX('Criterio de matriz competencias'!$F$2:$F$77,ROW(B15))),"")</f>
        <v>Todos (conciencia); Expuestos no calificados</v>
      </c>
      <c r="E22" s="174" t="str" cm="1">
        <f t="array" ref="E22">IFERROR(IF(INDEX('Criterio de matriz competencias'!$C$2:$C$77,ROW(B15))="","",INDEX('Criterio de matriz competencias'!$C$2:$C$77,ROW(B15))),"")</f>
        <v>NOV</v>
      </c>
      <c r="F22" s="174" t="str" cm="1">
        <f t="array" ref="F22">IFERROR(IF(INDEX('Criterio de matriz competencias'!$K$2:$K$77,ROW(B15))="","",INDEX('Criterio de matriz competencias'!$K$2:$K$77,ROW(B15))),"")</f>
        <v>Induccion + anual</v>
      </c>
      <c r="G22" s="174" t="str" cm="1">
        <f t="array" ref="G22">IFERROR(IF(INDEX('Criterio de matriz competencias'!$J$2:$J$77,ROW(B15))="","",INDEX('Criterio de matriz competencias'!$J$2:$J$77,ROW(B15))),"")</f>
        <v>QUIZ</v>
      </c>
    </row>
    <row r="23" spans="1:7" ht="42.6" customHeight="1" x14ac:dyDescent="0.3">
      <c r="A23" s="171">
        <v>16</v>
      </c>
      <c r="B23" s="172" t="str" cm="1">
        <f t="array" ref="B23">IFERROR(IF(INDEX('Criterio de matriz competencias'!$A$2:$A$77,ROW(A16))="","",INDEX('Criterio de matriz competencias'!$A$2:$A$77,ROW(A16))),"")</f>
        <v>Seguridad Electrica (Personal Autorizado)</v>
      </c>
      <c r="C23" s="172" t="str" cm="1">
        <f t="array" ref="C23">IFERROR(IF(INDEX('Criterio de matriz competencias'!$B$2:$B$77,ROW(B16))="","",INDEX('Criterio de matriz competencias'!$B$2:$B$77,ROW(B16))),"")</f>
        <v>HSE 360: HSMS.018</v>
      </c>
      <c r="D23" s="173" t="str" cm="1">
        <f t="array" ref="D23">IFERROR(IF(INDEX('Criterio de matriz competencias'!$F$2:$F$77,ROW(B16))="","",INDEX('Criterio de matriz competencias'!$F$2:$F$77,ROW(B16))),"")</f>
        <v>Personal calificado</v>
      </c>
      <c r="E23" s="174" t="str" cm="1">
        <f t="array" ref="E23">IFERROR(IF(INDEX('Criterio de matriz competencias'!$C$2:$C$77,ROW(B16))="","",INDEX('Criterio de matriz competencias'!$C$2:$C$77,ROW(B16))),"")</f>
        <v>Por Definir</v>
      </c>
      <c r="F23" s="174" t="str" cm="1">
        <f t="array" ref="F23">IFERROR(IF(INDEX('Criterio de matriz competencias'!$K$2:$K$77,ROW(B16))="","",INDEX('Criterio de matriz competencias'!$K$2:$K$77,ROW(B16))),"")</f>
        <v xml:space="preserve">Inducción; recertificación cada 3 años </v>
      </c>
      <c r="G23" s="174" t="str" cm="1">
        <f t="array" ref="G23">IFERROR(IF(INDEX('Criterio de matriz competencias'!$J$2:$J$77,ROW(B16))="","",INDEX('Criterio de matriz competencias'!$J$2:$J$77,ROW(B16))),"")</f>
        <v xml:space="preserve">Prueba teórica </v>
      </c>
    </row>
    <row r="24" spans="1:7" ht="42.6" customHeight="1" x14ac:dyDescent="0.3">
      <c r="A24" s="171">
        <v>17</v>
      </c>
      <c r="B24" s="172" t="str" cm="1">
        <f t="array" ref="B24">IFERROR(IF(INDEX('Criterio de matriz competencias'!$A$2:$A$77,ROW(A17))="","",INDEX('Criterio de matriz competencias'!$A$2:$A$77,ROW(A17))),"")</f>
        <v>Camiones Industriales Motorizados (PIT) (Todos)</v>
      </c>
      <c r="C24" s="172" t="str" cm="1">
        <f t="array" ref="C24">IFERROR(IF(INDEX('Criterio de matriz competencias'!$B$2:$B$77,ROW(B17))="","",INDEX('Criterio de matriz competencias'!$B$2:$B$77,ROW(B17))),"")</f>
        <v>HSE 360: HSMS.019</v>
      </c>
      <c r="D24" s="173" t="str" cm="1">
        <f t="array" ref="D24">IFERROR(IF(INDEX('Criterio de matriz competencias'!$F$2:$F$77,ROW(B17))="","",INDEX('Criterio de matriz competencias'!$F$2:$F$77,ROW(B17))),"")</f>
        <v>Todos</v>
      </c>
      <c r="E24" s="174" t="str" cm="1">
        <f t="array" ref="E24">IFERROR(IF(INDEX('Criterio de matriz competencias'!$C$2:$C$77,ROW(B17))="","",INDEX('Criterio de matriz competencias'!$C$2:$C$77,ROW(B17))),"")</f>
        <v>NOV</v>
      </c>
      <c r="F24" s="174" t="str" cm="1">
        <f t="array" ref="F24">IFERROR(IF(INDEX('Criterio de matriz competencias'!$K$2:$K$77,ROW(B17))="","",INDEX('Criterio de matriz competencias'!$K$2:$K$77,ROW(B17))),"")</f>
        <v>Induccion + anual</v>
      </c>
      <c r="G24" s="174" t="str" cm="1">
        <f t="array" ref="G24">IFERROR(IF(INDEX('Criterio de matriz competencias'!$J$2:$J$77,ROW(B17))="","",INDEX('Criterio de matriz competencias'!$J$2:$J$77,ROW(B17))),"")</f>
        <v>QUIZ</v>
      </c>
    </row>
    <row r="25" spans="1:7" ht="42.6" customHeight="1" x14ac:dyDescent="0.3">
      <c r="A25" s="171">
        <v>18</v>
      </c>
      <c r="B25" s="172" t="str" cm="1">
        <f t="array" ref="B25">IFERROR(IF(INDEX('Criterio de matriz competencias'!$A$2:$A$77,ROW(A18))="","",INDEX('Criterio de matriz competencias'!$A$2:$A$77,ROW(A18))),"")</f>
        <v>Camiones Industriales Motorizados (PIT) (Op. Montacargas)</v>
      </c>
      <c r="C25" s="172" t="str" cm="1">
        <f t="array" ref="C25">IFERROR(IF(INDEX('Criterio de matriz competencias'!$B$2:$B$77,ROW(B18))="","",INDEX('Criterio de matriz competencias'!$B$2:$B$77,ROW(B18))),"")</f>
        <v>HSE 360: HSMS.019</v>
      </c>
      <c r="D25" s="173" t="str" cm="1">
        <f t="array" ref="D25">IFERROR(IF(INDEX('Criterio de matriz competencias'!$F$2:$F$77,ROW(B18))="","",INDEX('Criterio de matriz competencias'!$F$2:$F$77,ROW(B18))),"")</f>
        <v>Operadores de montacargas</v>
      </c>
      <c r="E25" s="174" t="str" cm="1">
        <f t="array" ref="E25">IFERROR(IF(INDEX('Criterio de matriz competencias'!$C$2:$C$77,ROW(B18))="","",INDEX('Criterio de matriz competencias'!$C$2:$C$77,ROW(B18))),"")</f>
        <v>TUV Rheinland</v>
      </c>
      <c r="F25" s="174" t="str" cm="1">
        <f t="array" ref="F25">IFERROR(IF(INDEX('Criterio de matriz competencias'!$K$2:$K$77,ROW(B18))="","",INDEX('Criterio de matriz competencias'!$K$2:$K$77,ROW(B18))),"")</f>
        <v>Inicial + ANUAL o ante cambios/deficiencias/incidentes.</v>
      </c>
      <c r="G25" s="174" t="str" cm="1">
        <f t="array" ref="G25">IFERROR(IF(INDEX('Criterio de matriz competencias'!$J$2:$J$77,ROW(B18))="","",INDEX('Criterio de matriz competencias'!$J$2:$J$77,ROW(B18))),"")</f>
        <v>Prueba teórica Y PRÁCTICA</v>
      </c>
    </row>
    <row r="26" spans="1:7" ht="42.6" customHeight="1" x14ac:dyDescent="0.3">
      <c r="A26" s="171">
        <v>19</v>
      </c>
      <c r="B26" s="172" t="str" cm="1">
        <f t="array" ref="B26">IFERROR(IF(INDEX('Criterio de matriz competencias'!$A$2:$A$77,ROW(A19))="","",INDEX('Criterio de matriz competencias'!$A$2:$A$77,ROW(A19))),"")</f>
        <v>Control de Energias Peligrosas (LOTO) (Todos)</v>
      </c>
      <c r="C26" s="172" t="str" cm="1">
        <f t="array" ref="C26">IFERROR(IF(INDEX('Criterio de matriz competencias'!$B$2:$B$77,ROW(B19))="","",INDEX('Criterio de matriz competencias'!$B$2:$B$77,ROW(B19))),"")</f>
        <v>HSE 360: HSMS.023</v>
      </c>
      <c r="D26" s="173" t="str" cm="1">
        <f t="array" ref="D26">IFERROR(IF(INDEX('Criterio de matriz competencias'!$F$2:$F$77,ROW(B19))="","",INDEX('Criterio de matriz competencias'!$F$2:$F$77,ROW(B19))),"")</f>
        <v>Empleados “afectados” por energías</v>
      </c>
      <c r="E26" s="174" t="str" cm="1">
        <f t="array" ref="E26">IFERROR(IF(INDEX('Criterio de matriz competencias'!$C$2:$C$77,ROW(B19))="","",INDEX('Criterio de matriz competencias'!$C$2:$C$77,ROW(B19))),"")</f>
        <v>NOV</v>
      </c>
      <c r="F26" s="174" t="str" cm="1">
        <f t="array" ref="F26">IFERROR(IF(INDEX('Criterio de matriz competencias'!$K$2:$K$77,ROW(B19))="","",INDEX('Criterio de matriz competencias'!$K$2:$K$77,ROW(B19))),"")</f>
        <v>Inicial + cuando cambien tareas/ equipos.</v>
      </c>
      <c r="G26" s="174" t="str" cm="1">
        <f t="array" ref="G26">IFERROR(IF(INDEX('Criterio de matriz competencias'!$J$2:$J$77,ROW(B19))="","",INDEX('Criterio de matriz competencias'!$J$2:$J$77,ROW(B19))),"")</f>
        <v>QUIZ</v>
      </c>
    </row>
    <row r="27" spans="1:7" ht="42.6" customHeight="1" x14ac:dyDescent="0.3">
      <c r="A27" s="171">
        <v>20</v>
      </c>
      <c r="B27" s="172" t="str" cm="1">
        <f t="array" ref="B27">IFERROR(IF(INDEX('Criterio de matriz competencias'!$A$2:$A$77,ROW(A20))="","",INDEX('Criterio de matriz competencias'!$A$2:$A$77,ROW(A20))),"")</f>
        <v>Control de Energias Peligrosas (LOTO) (Empleados Autorizados)</v>
      </c>
      <c r="C27" s="172" t="str" cm="1">
        <f t="array" ref="C27">IFERROR(IF(INDEX('Criterio de matriz competencias'!$B$2:$B$77,ROW(B20))="","",INDEX('Criterio de matriz competencias'!$B$2:$B$77,ROW(B20))),"")</f>
        <v>HSE 360: HSMS.023</v>
      </c>
      <c r="D27" s="173" t="str" cm="1">
        <f t="array" ref="D27">IFERROR(IF(INDEX('Criterio de matriz competencias'!$F$2:$F$77,ROW(B20))="","",INDEX('Criterio de matriz competencias'!$F$2:$F$77,ROW(B20))),"")</f>
        <v>Empleados “autorizados” a aplicar LOTO</v>
      </c>
      <c r="E27" s="174" t="str" cm="1">
        <f t="array" ref="E27">IFERROR(IF(INDEX('Criterio de matriz competencias'!$C$2:$C$77,ROW(B20))="","",INDEX('Criterio de matriz competencias'!$C$2:$C$77,ROW(B20))),"")</f>
        <v>NOV</v>
      </c>
      <c r="F27" s="174" t="str" cm="1">
        <f t="array" ref="F27">IFERROR(IF(INDEX('Criterio de matriz competencias'!$K$2:$K$77,ROW(B20))="","",INDEX('Criterio de matriz competencias'!$K$2:$K$77,ROW(B20))),"")</f>
        <v>Inicial + Anual</v>
      </c>
      <c r="G27" s="174" t="str" cm="1">
        <f t="array" ref="G27">IFERROR(IF(INDEX('Criterio de matriz competencias'!$J$2:$J$77,ROW(B20))="","",INDEX('Criterio de matriz competencias'!$J$2:$J$77,ROW(B20))),"")</f>
        <v>QUIZ</v>
      </c>
    </row>
    <row r="28" spans="1:7" ht="42.6" customHeight="1" x14ac:dyDescent="0.3">
      <c r="A28" s="171">
        <v>21</v>
      </c>
      <c r="B28" s="172" t="str" cm="1">
        <f t="array" ref="B28">IFERROR(IF(INDEX('Criterio de matriz competencias'!$A$2:$A$77,ROW(A21))="","",INDEX('Criterio de matriz competencias'!$A$2:$A$77,ROW(A21))),"")</f>
        <v>Seguridad aplicada al Pozo &amp; Yacimiento</v>
      </c>
      <c r="C28" s="172" t="str" cm="1">
        <f t="array" ref="C28">IFERROR(IF(INDEX('Criterio de matriz competencias'!$B$2:$B$77,ROW(B21))="","",INDEX('Criterio de matriz competencias'!$B$2:$B$77,ROW(B21))),"")</f>
        <v>HSE 360: HSMS.027</v>
      </c>
      <c r="D28" s="173" t="str" cm="1">
        <f t="array" ref="D28">IFERROR(IF(INDEX('Criterio de matriz competencias'!$F$2:$F$77,ROW(B21))="","",INDEX('Criterio de matriz competencias'!$F$2:$F$77,ROW(B21))),"")</f>
        <v>Personal que ingresa a pozos, offshore, o tareas marinas</v>
      </c>
      <c r="E28" s="174" t="str" cm="1">
        <f t="array" ref="E28">IFERROR(IF(INDEX('Criterio de matriz competencias'!$C$2:$C$77,ROW(B21))="","",INDEX('Criterio de matriz competencias'!$C$2:$C$77,ROW(B21))),"")</f>
        <v>NOV</v>
      </c>
      <c r="F28" s="174" t="str" cm="1">
        <f t="array" ref="F28">IFERROR(IF(INDEX('Criterio de matriz competencias'!$K$2:$K$77,ROW(B21))="","",INDEX('Criterio de matriz competencias'!$K$2:$K$77,ROW(B21))),"")</f>
        <v>Inicial  + refrescos:  H₂S anual; marina (helicoptero) cada 3 años</v>
      </c>
      <c r="G28" s="174" t="str" cm="1">
        <f t="array" ref="G28">IFERROR(IF(INDEX('Criterio de matriz competencias'!$J$2:$J$77,ROW(B21))="","",INDEX('Criterio de matriz competencias'!$J$2:$J$77,ROW(B21))),"")</f>
        <v xml:space="preserve">Prueba teórica </v>
      </c>
    </row>
    <row r="29" spans="1:7" ht="42.6" customHeight="1" x14ac:dyDescent="0.3">
      <c r="A29" s="171">
        <v>22</v>
      </c>
      <c r="B29" s="172" t="str" cm="1">
        <f t="array" ref="B29">IFERROR(IF(INDEX('Criterio de matriz competencias'!$A$2:$A$77,ROW(A22))="","",INDEX('Criterio de matriz competencias'!$A$2:$A$77,ROW(A22))),"")</f>
        <v>Las Reglas que Salvan Vidas</v>
      </c>
      <c r="C29" s="172" t="str" cm="1">
        <f t="array" ref="C29">IFERROR(IF(INDEX('Criterio de matriz competencias'!$B$2:$B$77,ROW(B22))="","",INDEX('Criterio de matriz competencias'!$B$2:$B$77,ROW(B22))),"")</f>
        <v>HSE 360: HSMS.039</v>
      </c>
      <c r="D29" s="173" t="str" cm="1">
        <f t="array" ref="D29">IFERROR(IF(INDEX('Criterio de matriz competencias'!$F$2:$F$77,ROW(B22))="","",INDEX('Criterio de matriz competencias'!$F$2:$F$77,ROW(B22))),"")</f>
        <v>Todos</v>
      </c>
      <c r="E29" s="174" t="str" cm="1">
        <f t="array" ref="E29">IFERROR(IF(INDEX('Criterio de matriz competencias'!$C$2:$C$77,ROW(B22))="","",INDEX('Criterio de matriz competencias'!$C$2:$C$77,ROW(B22))),"")</f>
        <v>NOV</v>
      </c>
      <c r="F29" s="174" t="str" cm="1">
        <f t="array" ref="F29">IFERROR(IF(INDEX('Criterio de matriz competencias'!$K$2:$K$77,ROW(B22))="","",INDEX('Criterio de matriz competencias'!$K$2:$K$77,ROW(B22))),"")</f>
        <v>Inicial + Anual</v>
      </c>
      <c r="G29" s="174" t="str" cm="1">
        <f t="array" ref="G29">IFERROR(IF(INDEX('Criterio de matriz competencias'!$J$2:$J$77,ROW(B22))="","",INDEX('Criterio de matriz competencias'!$J$2:$J$77,ROW(B22))),"")</f>
        <v>QUIZ</v>
      </c>
    </row>
    <row r="30" spans="1:7" ht="42.6" customHeight="1" x14ac:dyDescent="0.3">
      <c r="A30" s="171">
        <v>23</v>
      </c>
      <c r="B30" s="172" t="str" cm="1">
        <f t="array" ref="B30">IFERROR(IF(INDEX('Criterio de matriz competencias'!$A$2:$A$77,ROW(A23))="","",INDEX('Criterio de matriz competencias'!$A$2:$A$77,ROW(A23))),"")</f>
        <v xml:space="preserve">Resguardo de Maquinas &amp; Equipos </v>
      </c>
      <c r="C30" s="172" t="str" cm="1">
        <f t="array" ref="C30">IFERROR(IF(INDEX('Criterio de matriz competencias'!$B$2:$B$77,ROW(B23))="","",INDEX('Criterio de matriz competencias'!$B$2:$B$77,ROW(B23))),"")</f>
        <v>HSE 360: HSMS.053</v>
      </c>
      <c r="D30" s="173" t="str" cm="1">
        <f t="array" ref="D30">IFERROR(IF(INDEX('Criterio de matriz competencias'!$F$2:$F$77,ROW(B23))="","",INDEX('Criterio de matriz competencias'!$F$2:$F$77,ROW(B23))),"")</f>
        <v>Todos</v>
      </c>
      <c r="E30" s="174" t="str" cm="1">
        <f t="array" ref="E30">IFERROR(IF(INDEX('Criterio de matriz competencias'!$C$2:$C$77,ROW(B23))="","",INDEX('Criterio de matriz competencias'!$C$2:$C$77,ROW(B23))),"")</f>
        <v>NOV</v>
      </c>
      <c r="F30" s="174" t="str" cm="1">
        <f t="array" ref="F30">IFERROR(IF(INDEX('Criterio de matriz competencias'!$K$2:$K$77,ROW(B23))="","",INDEX('Criterio de matriz competencias'!$K$2:$K$77,ROW(B23))),"")</f>
        <v>Inicial + Anual</v>
      </c>
      <c r="G30" s="174" t="str" cm="1">
        <f t="array" ref="G30">IFERROR(IF(INDEX('Criterio de matriz competencias'!$J$2:$J$77,ROW(B23))="","",INDEX('Criterio de matriz competencias'!$J$2:$J$77,ROW(B23))),"")</f>
        <v>QUIZ</v>
      </c>
    </row>
    <row r="31" spans="1:7" ht="42.6" customHeight="1" x14ac:dyDescent="0.3">
      <c r="A31" s="171">
        <v>24</v>
      </c>
      <c r="B31" s="172" t="str" cm="1">
        <f t="array" ref="B31">IFERROR(IF(INDEX('Criterio de matriz competencias'!$A$2:$A$77,ROW(A24))="","",INDEX('Criterio de matriz competencias'!$A$2:$A$77,ROW(A24))),"")</f>
        <v>Conduccion y Gestion de Viajes (Todos)</v>
      </c>
      <c r="C31" s="172" t="str" cm="1">
        <f t="array" ref="C31">IFERROR(IF(INDEX('Criterio de matriz competencias'!$B$2:$B$77,ROW(B24))="","",INDEX('Criterio de matriz competencias'!$B$2:$B$77,ROW(B24))),"")</f>
        <v>HSE 360: HSMSWT-001</v>
      </c>
      <c r="D31" s="173" t="str" cm="1">
        <f t="array" ref="D31">IFERROR(IF(INDEX('Criterio de matriz competencias'!$F$2:$F$77,ROW(B24))="","",INDEX('Criterio de matriz competencias'!$F$2:$F$77,ROW(B24))),"")</f>
        <v>Conductores NOV</v>
      </c>
      <c r="E31" s="174" t="str" cm="1">
        <f t="array" ref="E31">IFERROR(IF(INDEX('Criterio de matriz competencias'!$C$2:$C$77,ROW(B24))="","",INDEX('Criterio de matriz competencias'!$C$2:$C$77,ROW(B24))),"")</f>
        <v>NOV</v>
      </c>
      <c r="F31" s="174" t="str" cm="1">
        <f t="array" ref="F31">IFERROR(IF(INDEX('Criterio de matriz competencias'!$K$2:$K$77,ROW(B24))="","",INDEX('Criterio de matriz competencias'!$K$2:$K$77,ROW(B24))),"")</f>
        <v>Inicial + bianual (o ante incidentes)</v>
      </c>
      <c r="G31" s="174" t="str" cm="1">
        <f t="array" ref="G31">IFERROR(IF(INDEX('Criterio de matriz competencias'!$J$2:$J$77,ROW(B24))="","",INDEX('Criterio de matriz competencias'!$J$2:$J$77,ROW(B24))),"")</f>
        <v>Prueba teórica / práctica</v>
      </c>
    </row>
    <row r="32" spans="1:7" ht="42.6" customHeight="1" x14ac:dyDescent="0.3">
      <c r="A32" s="171">
        <v>25</v>
      </c>
      <c r="B32" s="172" t="str" cm="1">
        <f t="array" ref="B32">IFERROR(IF(INDEX('Criterio de matriz competencias'!$A$2:$A$77,ROW(A25))="","",INDEX('Criterio de matriz competencias'!$A$2:$A$77,ROW(A25))),"")</f>
        <v>Conduccion y Gestion de Viajes (Conductores)</v>
      </c>
      <c r="C32" s="172" t="str" cm="1">
        <f t="array" ref="C32">IFERROR(IF(INDEX('Criterio de matriz competencias'!$B$2:$B$77,ROW(B25))="","",INDEX('Criterio de matriz competencias'!$B$2:$B$77,ROW(B25))),"")</f>
        <v>HSE 360: HSMSWT-001</v>
      </c>
      <c r="D32" s="173" t="str" cm="1">
        <f t="array" ref="D32">IFERROR(IF(INDEX('Criterio de matriz competencias'!$F$2:$F$77,ROW(B25))="","",INDEX('Criterio de matriz competencias'!$F$2:$F$77,ROW(B25))),"")</f>
        <v>Conductores NOV y viajeros; Gestión local/HSE</v>
      </c>
      <c r="E32" s="174" t="str" cm="1">
        <f t="array" ref="E32">IFERROR(IF(INDEX('Criterio de matriz competencias'!$C$2:$C$77,ROW(B25))="","",INDEX('Criterio de matriz competencias'!$C$2:$C$77,ROW(B25))),"")</f>
        <v>CPEC / IAPG</v>
      </c>
      <c r="F32" s="174" t="str" cm="1">
        <f t="array" ref="F32">IFERROR(IF(INDEX('Criterio de matriz competencias'!$K$2:$K$77,ROW(B25))="","",INDEX('Criterio de matriz competencias'!$K$2:$K$77,ROW(B25))),"")</f>
        <v>Inicial y cada 3 años; orientación al conducir en otro país.</v>
      </c>
      <c r="G32" s="174" t="str" cm="1">
        <f t="array" ref="G32">IFERROR(IF(INDEX('Criterio de matriz competencias'!$J$2:$J$77,ROW(B25))="","",INDEX('Criterio de matriz competencias'!$J$2:$J$77,ROW(B25))),"")</f>
        <v>QUIZ</v>
      </c>
    </row>
    <row r="33" spans="1:7" ht="42.6" customHeight="1" x14ac:dyDescent="0.3">
      <c r="A33" s="171">
        <v>26</v>
      </c>
      <c r="B33" s="172" t="str" cm="1">
        <f t="array" ref="B33">IFERROR(IF(INDEX('Criterio de matriz competencias'!$A$2:$A$77,ROW(A26))="","",INDEX('Criterio de matriz competencias'!$A$2:$A$77,ROW(A26))),"")</f>
        <v>Patogenos Transmitidos por la Sangre</v>
      </c>
      <c r="C33" s="172" t="str" cm="1">
        <f t="array" ref="C33">IFERROR(IF(INDEX('Criterio de matriz competencias'!$B$2:$B$77,ROW(B26))="","",INDEX('Criterio de matriz competencias'!$B$2:$B$77,ROW(B26))),"")</f>
        <v>HSE 360: HSMSWT-002</v>
      </c>
      <c r="D33" s="173" t="str" cm="1">
        <f t="array" ref="D33">IFERROR(IF(INDEX('Criterio de matriz competencias'!$F$2:$F$77,ROW(B26))="","",INDEX('Criterio de matriz competencias'!$F$2:$F$77,ROW(B26))),"")</f>
        <v>Empleados con potencial exposición</v>
      </c>
      <c r="E33" s="174" t="str" cm="1">
        <f t="array" ref="E33">IFERROR(IF(INDEX('Criterio de matriz competencias'!$C$2:$C$77,ROW(B26))="","",INDEX('Criterio de matriz competencias'!$C$2:$C$77,ROW(B26))),"")</f>
        <v>MEDLAB / NOV</v>
      </c>
      <c r="F33" s="174" t="str" cm="1">
        <f t="array" ref="F33">IFERROR(IF(INDEX('Criterio de matriz competencias'!$K$2:$K$77,ROW(B26))="","",INDEX('Criterio de matriz competencias'!$K$2:$K$77,ROW(B26))),"")</f>
        <v>Inicial + anual</v>
      </c>
      <c r="G33" s="174" t="str" cm="1">
        <f t="array" ref="G33">IFERROR(IF(INDEX('Criterio de matriz competencias'!$J$2:$J$77,ROW(B26))="","",INDEX('Criterio de matriz competencias'!$J$2:$J$77,ROW(B26))),"")</f>
        <v>QUIZ</v>
      </c>
    </row>
    <row r="34" spans="1:7" ht="42.6" customHeight="1" x14ac:dyDescent="0.3">
      <c r="A34" s="171">
        <v>27</v>
      </c>
      <c r="B34" s="172" t="str" cm="1">
        <f t="array" ref="B34">IFERROR(IF(INDEX('Criterio de matriz competencias'!$A$2:$A$77,ROW(A27))="","",INDEX('Criterio de matriz competencias'!$A$2:$A$77,ROW(A27))),"")</f>
        <v>Conservacion Auditiva</v>
      </c>
      <c r="C34" s="172" t="str" cm="1">
        <f t="array" ref="C34">IFERROR(IF(INDEX('Criterio de matriz competencias'!$B$2:$B$77,ROW(B27))="","",INDEX('Criterio de matriz competencias'!$B$2:$B$77,ROW(B27))),"")</f>
        <v>HSE 360: HSMSWT-004</v>
      </c>
      <c r="D34" s="173" t="str" cm="1">
        <f t="array" ref="D34">IFERROR(IF(INDEX('Criterio de matriz competencias'!$F$2:$F$77,ROW(B27))="","",INDEX('Criterio de matriz competencias'!$F$2:$F$77,ROW(B27))),"")</f>
        <v>Personal ≥85 dBA TWA; supervisores de áreas ruidosas</v>
      </c>
      <c r="E34" s="174" t="str" cm="1">
        <f t="array" ref="E34">IFERROR(IF(INDEX('Criterio de matriz competencias'!$C$2:$C$77,ROW(B27))="","",INDEX('Criterio de matriz competencias'!$C$2:$C$77,ROW(B27))),"")</f>
        <v>NOV</v>
      </c>
      <c r="F34" s="174" t="str" cm="1">
        <f t="array" ref="F34">IFERROR(IF(INDEX('Criterio de matriz competencias'!$K$2:$K$77,ROW(B27))="","",INDEX('Criterio de matriz competencias'!$K$2:$K$77,ROW(B27))),"")</f>
        <v>Inicial + anual</v>
      </c>
      <c r="G34" s="174" t="str" cm="1">
        <f t="array" ref="G34">IFERROR(IF(INDEX('Criterio de matriz competencias'!$J$2:$J$77,ROW(B27))="","",INDEX('Criterio de matriz competencias'!$J$2:$J$77,ROW(B27))),"")</f>
        <v>QUIZ</v>
      </c>
    </row>
    <row r="35" spans="1:7" ht="42.6" customHeight="1" x14ac:dyDescent="0.3">
      <c r="A35" s="171">
        <v>28</v>
      </c>
      <c r="B35" s="172" t="str" cm="1">
        <f t="array" ref="B35">IFERROR(IF(INDEX('Criterio de matriz competencias'!$A$2:$A$77,ROW(A28))="","",INDEX('Criterio de matriz competencias'!$A$2:$A$77,ROW(A28))),"")</f>
        <v xml:space="preserve">Ergonomia //  / Levantamiento &amp; Seguridad en la Espalda </v>
      </c>
      <c r="C35" s="172" t="str" cm="1">
        <f t="array" ref="C35">IFERROR(IF(INDEX('Criterio de matriz competencias'!$B$2:$B$77,ROW(B28))="","",INDEX('Criterio de matriz competencias'!$B$2:$B$77,ROW(B28))),"")</f>
        <v>HSE 360: HSMSWT-008 / HSMSWT-012</v>
      </c>
      <c r="D35" s="173" t="str" cm="1">
        <f t="array" ref="D35">IFERROR(IF(INDEX('Criterio de matriz competencias'!$F$2:$F$77,ROW(B28))="","",INDEX('Criterio de matriz competencias'!$F$2:$F$77,ROW(B28))),"")</f>
        <v>Todos</v>
      </c>
      <c r="E35" s="174" t="str" cm="1">
        <f t="array" ref="E35">IFERROR(IF(INDEX('Criterio de matriz competencias'!$C$2:$C$77,ROW(B28))="","",INDEX('Criterio de matriz competencias'!$C$2:$C$77,ROW(B28))),"")</f>
        <v>NOV</v>
      </c>
      <c r="F35" s="174" t="str" cm="1">
        <f t="array" ref="F35">IFERROR(IF(INDEX('Criterio de matriz competencias'!$K$2:$K$77,ROW(B28))="","",INDEX('Criterio de matriz competencias'!$K$2:$K$77,ROW(B28))),"")</f>
        <v>Inicial y anual</v>
      </c>
      <c r="G35" s="174" t="str" cm="1">
        <f t="array" ref="G35">IFERROR(IF(INDEX('Criterio de matriz competencias'!$J$2:$J$77,ROW(B28))="","",INDEX('Criterio de matriz competencias'!$J$2:$J$77,ROW(B28))),"")</f>
        <v>QUIZ</v>
      </c>
    </row>
    <row r="36" spans="1:7" ht="42.6" customHeight="1" x14ac:dyDescent="0.3">
      <c r="A36" s="171">
        <v>29</v>
      </c>
      <c r="B36" s="172" t="str" cm="1">
        <f t="array" ref="B36">IFERROR(IF(INDEX('Criterio de matriz competencias'!$A$2:$A$77,ROW(A29))="","",INDEX('Criterio de matriz competencias'!$A$2:$A$77,ROW(A29))),"")</f>
        <v>Superficies Elevadas (Todos)</v>
      </c>
      <c r="C36" s="172" t="str" cm="1">
        <f t="array" ref="C36">IFERROR(IF(INDEX('Criterio de matriz competencias'!$B$2:$B$77,ROW(B29))="","",INDEX('Criterio de matriz competencias'!$B$2:$B$77,ROW(B29))),"")</f>
        <v>HSE 360: HSMSWT-013</v>
      </c>
      <c r="D36" s="173" t="str" cm="1">
        <f t="array" ref="D36">IFERROR(IF(INDEX('Criterio de matriz competencias'!$F$2:$F$77,ROW(B29))="","",INDEX('Criterio de matriz competencias'!$F$2:$F$77,ROW(B29))),"")</f>
        <v>Personal que trabaje o transite en pasarelas/plataformas y áreas elevadas</v>
      </c>
      <c r="E36" s="174" t="str" cm="1">
        <f t="array" ref="E36">IFERROR(IF(INDEX('Criterio de matriz competencias'!$C$2:$C$77,ROW(B29))="","",INDEX('Criterio de matriz competencias'!$C$2:$C$77,ROW(B29))),"")</f>
        <v>NOV</v>
      </c>
      <c r="F36" s="174" t="str" cm="1">
        <f t="array" ref="F36">IFERROR(IF(INDEX('Criterio de matriz competencias'!$K$2:$K$77,ROW(B29))="","",INDEX('Criterio de matriz competencias'!$K$2:$K$77,ROW(B29))),"")</f>
        <v>Inicial y renovación antes del vencimiento del certificado</v>
      </c>
      <c r="G36" s="174" t="str" cm="1">
        <f t="array" ref="G36">IFERROR(IF(INDEX('Criterio de matriz competencias'!$J$2:$J$77,ROW(B29))="","",INDEX('Criterio de matriz competencias'!$J$2:$J$77,ROW(B29))),"")</f>
        <v>Prueba teórica / práctica</v>
      </c>
    </row>
    <row r="37" spans="1:7" ht="42.6" customHeight="1" x14ac:dyDescent="0.3">
      <c r="A37" s="171">
        <v>30</v>
      </c>
      <c r="B37" s="172" t="str" cm="1">
        <f t="array" ref="B37">IFERROR(IF(INDEX('Criterio de matriz competencias'!$A$2:$A$77,ROW(A30))="","",INDEX('Criterio de matriz competencias'!$A$2:$A$77,ROW(A30))),"")</f>
        <v>Superficies Elevadas (Personal Habilitado)</v>
      </c>
      <c r="C37" s="172" t="str" cm="1">
        <f t="array" ref="C37">IFERROR(IF(INDEX('Criterio de matriz competencias'!$B$2:$B$77,ROW(B30))="","",INDEX('Criterio de matriz competencias'!$B$2:$B$77,ROW(B30))),"")</f>
        <v>HSE 360: HSMSWT-013</v>
      </c>
      <c r="D37" s="173" t="str" cm="1">
        <f t="array" ref="D37">IFERROR(IF(INDEX('Criterio de matriz competencias'!$F$2:$F$77,ROW(B30))="","",INDEX('Criterio de matriz competencias'!$F$2:$F$77,ROW(B30))),"")</f>
        <v>Personal que trabaje o transite en pasarelas/plataformas y áreas elevadas</v>
      </c>
      <c r="E37" s="174" t="str" cm="1">
        <f t="array" ref="E37">IFERROR(IF(INDEX('Criterio de matriz competencias'!$C$2:$C$77,ROW(B30))="","",INDEX('Criterio de matriz competencias'!$C$2:$C$77,ROW(B30))),"")</f>
        <v>Por Definir</v>
      </c>
      <c r="F37" s="174" t="str" cm="1">
        <f t="array" ref="F37">IFERROR(IF(INDEX('Criterio de matriz competencias'!$K$2:$K$77,ROW(B30))="","",INDEX('Criterio de matriz competencias'!$K$2:$K$77,ROW(B30))),"")</f>
        <v>Inicial y anual</v>
      </c>
      <c r="G37" s="174" t="str" cm="1">
        <f t="array" ref="G37">IFERROR(IF(INDEX('Criterio de matriz competencias'!$J$2:$J$77,ROW(B30))="","",INDEX('Criterio de matriz competencias'!$J$2:$J$77,ROW(B30))),"")</f>
        <v>QUIZ</v>
      </c>
    </row>
    <row r="38" spans="1:7" ht="42.6" customHeight="1" x14ac:dyDescent="0.3">
      <c r="A38" s="171">
        <v>31</v>
      </c>
      <c r="B38" s="172" t="str" cm="1">
        <f t="array" ref="B38">IFERROR(IF(INDEX('Criterio de matriz competencias'!$A$2:$A$77,ROW(A31))="","",INDEX('Criterio de matriz competencias'!$A$2:$A$77,ROW(A31))),"")</f>
        <v>Seguridad Quimica (Todos)</v>
      </c>
      <c r="C38" s="172" t="str" cm="1">
        <f t="array" ref="C38">IFERROR(IF(INDEX('Criterio de matriz competencias'!$B$2:$B$77,ROW(B31))="","",INDEX('Criterio de matriz competencias'!$B$2:$B$77,ROW(B31))),"")</f>
        <v>HSE 360: HSMSWT-016</v>
      </c>
      <c r="D38" s="173" t="str" cm="1">
        <f t="array" ref="D38">IFERROR(IF(INDEX('Criterio de matriz competencias'!$F$2:$F$77,ROW(B31))="","",INDEX('Criterio de matriz competencias'!$F$2:$F$77,ROW(B31))),"")</f>
        <v>Personal en áreas con químicos o potencial exposición</v>
      </c>
      <c r="E38" s="174" t="str" cm="1">
        <f t="array" ref="E38">IFERROR(IF(INDEX('Criterio de matriz competencias'!$C$2:$C$77,ROW(B31))="","",INDEX('Criterio de matriz competencias'!$C$2:$C$77,ROW(B31))),"")</f>
        <v>NOV</v>
      </c>
      <c r="F38" s="174" t="str" cm="1">
        <f t="array" ref="F38">IFERROR(IF(INDEX('Criterio de matriz competencias'!$K$2:$K$77,ROW(B31))="","",INDEX('Criterio de matriz competencias'!$K$2:$K$77,ROW(B31))),"")</f>
        <v xml:space="preserve">Inicial + bianual   </v>
      </c>
      <c r="G38" s="174" t="str" cm="1">
        <f t="array" ref="G38">IFERROR(IF(INDEX('Criterio de matriz competencias'!$J$2:$J$77,ROW(B31))="","",INDEX('Criterio de matriz competencias'!$J$2:$J$77,ROW(B31))),"")</f>
        <v>QUIZ</v>
      </c>
    </row>
    <row r="39" spans="1:7" ht="51" customHeight="1" x14ac:dyDescent="0.3">
      <c r="A39" s="171">
        <v>32</v>
      </c>
      <c r="B39" s="172" t="str" cm="1">
        <f t="array" ref="B39">IFERROR(IF(INDEX('Criterio de matriz competencias'!$A$2:$A$77,ROW(A32))="","",INDEX('Criterio de matriz competencias'!$A$2:$A$77,ROW(A32))),"")</f>
        <v>Seguridad Quimica (Mantenimiento)</v>
      </c>
      <c r="C39" s="172" t="str" cm="1">
        <f t="array" ref="C39">IFERROR(IF(INDEX('Criterio de matriz competencias'!$B$2:$B$77,ROW(B32))="","",INDEX('Criterio de matriz competencias'!$B$2:$B$77,ROW(B32))),"")</f>
        <v>HSE 360: HSMSWT-016</v>
      </c>
      <c r="D39" s="173" t="str" cm="1">
        <f t="array" ref="D39">IFERROR(IF(INDEX('Criterio de matriz competencias'!$F$2:$F$77,ROW(B32))="","",INDEX('Criterio de matriz competencias'!$F$2:$F$77,ROW(B32))),"")</f>
        <v>Operación/Mantenimiento/Almacén/Lab que manipulen químicos / Gerencia Local / HSE / Mandos medios</v>
      </c>
      <c r="E39" s="174" t="str" cm="1">
        <f t="array" ref="E39">IFERROR(IF(INDEX('Criterio de matriz competencias'!$C$2:$C$77,ROW(B32))="","",INDEX('Criterio de matriz competencias'!$C$2:$C$77,ROW(B32))),"")</f>
        <v>NOV</v>
      </c>
      <c r="F39" s="174" t="str" cm="1">
        <f t="array" ref="F39">IFERROR(IF(INDEX('Criterio de matriz competencias'!$K$2:$K$77,ROW(B32))="","",INDEX('Criterio de matriz competencias'!$K$2:$K$77,ROW(B32))),"")</f>
        <v>Inicial y anual</v>
      </c>
      <c r="G39" s="174" t="str" cm="1">
        <f t="array" ref="G39">IFERROR(IF(INDEX('Criterio de matriz competencias'!$J$2:$J$77,ROW(B32))="","",INDEX('Criterio de matriz competencias'!$J$2:$J$77,ROW(B32))),"")</f>
        <v>QUIZ</v>
      </c>
    </row>
    <row r="40" spans="1:7" ht="42.6" customHeight="1" x14ac:dyDescent="0.3">
      <c r="A40" s="171">
        <v>33</v>
      </c>
      <c r="B40" s="172" t="str" cm="1">
        <f t="array" ref="B40">IFERROR(IF(INDEX('Criterio de matriz competencias'!$A$2:$A$77,ROW(A33))="","",INDEX('Criterio de matriz competencias'!$A$2:$A$77,ROW(A33))),"")</f>
        <v>Seguridad Quimica (Contratistas)</v>
      </c>
      <c r="C40" s="172" t="str" cm="1">
        <f t="array" ref="C40">IFERROR(IF(INDEX('Criterio de matriz competencias'!$B$2:$B$77,ROW(B33))="","",INDEX('Criterio de matriz competencias'!$B$2:$B$77,ROW(B33))),"")</f>
        <v>HSE 360: HSMSWT-016</v>
      </c>
      <c r="D40" s="173" t="str" cm="1">
        <f t="array" ref="D40">IFERROR(IF(INDEX('Criterio de matriz competencias'!$F$2:$F$77,ROW(B33))="","",INDEX('Criterio de matriz competencias'!$F$2:$F$77,ROW(B33))),"")</f>
        <v>Contratistas que trabajen onsite o traigan químicos</v>
      </c>
      <c r="E40" s="174" t="str" cm="1">
        <f t="array" ref="E40">IFERROR(IF(INDEX('Criterio de matriz competencias'!$C$2:$C$77,ROW(B33))="","",INDEX('Criterio de matriz competencias'!$C$2:$C$77,ROW(B33))),"")</f>
        <v>NOV</v>
      </c>
      <c r="F40" s="174" t="str" cm="1">
        <f t="array" ref="F40">IFERROR(IF(INDEX('Criterio de matriz competencias'!$K$2:$K$77,ROW(B33))="","",INDEX('Criterio de matriz competencias'!$K$2:$K$77,ROW(B33))),"")</f>
        <v>Inicial y anual</v>
      </c>
      <c r="G40" s="174" t="str" cm="1">
        <f t="array" ref="G40">IFERROR(IF(INDEX('Criterio de matriz competencias'!$J$2:$J$77,ROW(B33))="","",INDEX('Criterio de matriz competencias'!$J$2:$J$77,ROW(B33))),"")</f>
        <v>QUIZ</v>
      </c>
    </row>
    <row r="41" spans="1:7" ht="42.6" customHeight="1" x14ac:dyDescent="0.3">
      <c r="A41" s="171">
        <v>34</v>
      </c>
      <c r="B41" s="172" t="str" cm="1">
        <f t="array" ref="B41">IFERROR(IF(INDEX('Criterio de matriz competencias'!$A$2:$A$77,ROW(A34))="","",INDEX('Criterio de matriz competencias'!$A$2:$A$77,ROW(A34))),"")</f>
        <v>Seguridad para Trabajos en Caliente</v>
      </c>
      <c r="C41" s="172" t="str" cm="1">
        <f t="array" ref="C41">IFERROR(IF(INDEX('Criterio de matriz competencias'!$B$2:$B$77,ROW(B34))="","",INDEX('Criterio de matriz competencias'!$B$2:$B$77,ROW(B34))),"")</f>
        <v>HSE 360: HSMSWT-021</v>
      </c>
      <c r="D41" s="173" t="str" cm="1">
        <f t="array" ref="D41">IFERROR(IF(INDEX('Criterio de matriz competencias'!$F$2:$F$77,ROW(B34))="","",INDEX('Criterio de matriz competencias'!$F$2:$F$77,ROW(B34))),"")</f>
        <v>Todos</v>
      </c>
      <c r="E41" s="174" t="str" cm="1">
        <f t="array" ref="E41">IFERROR(IF(INDEX('Criterio de matriz competencias'!$C$2:$C$77,ROW(B34))="","",INDEX('Criterio de matriz competencias'!$C$2:$C$77,ROW(B34))),"")</f>
        <v>NOV / Por Definir</v>
      </c>
      <c r="F41" s="174" t="str" cm="1">
        <f t="array" ref="F41">IFERROR(IF(INDEX('Criterio de matriz competencias'!$K$2:$K$77,ROW(B34))="","",INDEX('Criterio de matriz competencias'!$K$2:$K$77,ROW(B34))),"")</f>
        <v>Inicial y anual</v>
      </c>
      <c r="G41" s="174" t="str" cm="1">
        <f t="array" ref="G41">IFERROR(IF(INDEX('Criterio de matriz competencias'!$J$2:$J$77,ROW(B34))="","",INDEX('Criterio de matriz competencias'!$J$2:$J$77,ROW(B34))),"")</f>
        <v>QUIZ</v>
      </c>
    </row>
    <row r="42" spans="1:7" ht="54.6" customHeight="1" x14ac:dyDescent="0.3">
      <c r="A42" s="171">
        <v>35</v>
      </c>
      <c r="B42" s="172" t="str" cm="1">
        <f t="array" ref="B42">IFERROR(IF(INDEX('Criterio de matriz competencias'!$A$2:$A$77,ROW(A35))="","",INDEX('Criterio de matriz competencias'!$A$2:$A$77,ROW(A35))),"")</f>
        <v>Seguridad con la Radiacion</v>
      </c>
      <c r="C42" s="172" t="str" cm="1">
        <f t="array" ref="C42">IFERROR(IF(INDEX('Criterio de matriz competencias'!$B$2:$B$77,ROW(B35))="","",INDEX('Criterio de matriz competencias'!$B$2:$B$77,ROW(B35))),"")</f>
        <v>HSE 360: HSMSWT-025</v>
      </c>
      <c r="D42" s="173" t="str" cm="1">
        <f t="array" ref="D42">IFERROR(IF(INDEX('Criterio de matriz competencias'!$F$2:$F$77,ROW(B35))="","",INDEX('Criterio de matriz competencias'!$F$2:$F$77,ROW(B35))),"")</f>
        <v>Trabajadores en áreas con radiación; Responsable de seguridad radiológica</v>
      </c>
      <c r="E42" s="174" t="str" cm="1">
        <f t="array" ref="E42">IFERROR(IF(INDEX('Criterio de matriz competencias'!$C$2:$C$77,ROW(B35))="","",INDEX('Criterio de matriz competencias'!$C$2:$C$77,ROW(B35))),"")</f>
        <v>NOV / Por Definir</v>
      </c>
      <c r="F42" s="174" t="str" cm="1">
        <f t="array" ref="F42">IFERROR(IF(INDEX('Criterio de matriz competencias'!$K$2:$K$77,ROW(B35))="","",INDEX('Criterio de matriz competencias'!$K$2:$K$77,ROW(B35))),"")</f>
        <v>Inicial y anual</v>
      </c>
      <c r="G42" s="174" t="str" cm="1">
        <f t="array" ref="G42">IFERROR(IF(INDEX('Criterio de matriz competencias'!$J$2:$J$77,ROW(B35))="","",INDEX('Criterio de matriz competencias'!$J$2:$J$77,ROW(B35))),"")</f>
        <v>QUIZ</v>
      </c>
    </row>
    <row r="43" spans="1:7" ht="42.6" customHeight="1" x14ac:dyDescent="0.3">
      <c r="A43" s="171">
        <v>36</v>
      </c>
      <c r="B43" s="172" t="str" cm="1">
        <f t="array" ref="B43">IFERROR(IF(INDEX('Criterio de matriz competencias'!$A$2:$A$77,ROW(A36))="","",INDEX('Criterio de matriz competencias'!$A$2:$A$77,ROW(A36))),"")</f>
        <v>Equipo de Proteccion Personal (PPE)</v>
      </c>
      <c r="C43" s="172" t="str" cm="1">
        <f t="array" ref="C43">IFERROR(IF(INDEX('Criterio de matriz competencias'!$B$2:$B$77,ROW(B36))="","",INDEX('Criterio de matriz competencias'!$B$2:$B$77,ROW(B36))),"")</f>
        <v>HSE 360: HSMSWT-026</v>
      </c>
      <c r="D43" s="173" t="str" cm="1">
        <f t="array" ref="D43">IFERROR(IF(INDEX('Criterio de matriz competencias'!$F$2:$F$77,ROW(B36))="","",INDEX('Criterio de matriz competencias'!$F$2:$F$77,ROW(B36))),"")</f>
        <v>Todos</v>
      </c>
      <c r="E43" s="174" t="str" cm="1">
        <f t="array" ref="E43">IFERROR(IF(INDEX('Criterio de matriz competencias'!$C$2:$C$77,ROW(B36))="","",INDEX('Criterio de matriz competencias'!$C$2:$C$77,ROW(B36))),"")</f>
        <v>NOV</v>
      </c>
      <c r="F43" s="174" t="str" cm="1">
        <f t="array" ref="F43">IFERROR(IF(INDEX('Criterio de matriz competencias'!$K$2:$K$77,ROW(B36))="","",INDEX('Criterio de matriz competencias'!$K$2:$K$77,ROW(B36))),"")</f>
        <v>Inicial y anual</v>
      </c>
      <c r="G43" s="174" t="str" cm="1">
        <f t="array" ref="G43">IFERROR(IF(INDEX('Criterio de matriz competencias'!$J$2:$J$77,ROW(B36))="","",INDEX('Criterio de matriz competencias'!$J$2:$J$77,ROW(B36))),"")</f>
        <v>QUIZ</v>
      </c>
    </row>
    <row r="44" spans="1:7" ht="42.6" customHeight="1" x14ac:dyDescent="0.3">
      <c r="A44" s="171">
        <v>37</v>
      </c>
      <c r="B44" s="172" t="str" cm="1">
        <f t="array" ref="B44">IFERROR(IF(INDEX('Criterio de matriz competencias'!$A$2:$A$77,ROW(A37))="","",INDEX('Criterio de matriz competencias'!$A$2:$A$77,ROW(A37))),"")</f>
        <v>Proteccion Respiratoria</v>
      </c>
      <c r="C44" s="172" t="str" cm="1">
        <f t="array" ref="C44">IFERROR(IF(INDEX('Criterio de matriz competencias'!$B$2:$B$77,ROW(B37))="","",INDEX('Criterio de matriz competencias'!$B$2:$B$77,ROW(B37))),"")</f>
        <v>HSE 360: HSMSWT-029</v>
      </c>
      <c r="D44" s="173" t="str" cm="1">
        <f t="array" ref="D44">IFERROR(IF(INDEX('Criterio de matriz competencias'!$F$2:$F$77,ROW(B37))="","",INDEX('Criterio de matriz competencias'!$F$2:$F$77,ROW(B37))),"")</f>
        <v>Usuarios de RPE; Admin. del Programa</v>
      </c>
      <c r="E44" s="174" t="str" cm="1">
        <f t="array" ref="E44">IFERROR(IF(INDEX('Criterio de matriz competencias'!$C$2:$C$77,ROW(B37))="","",INDEX('Criterio de matriz competencias'!$C$2:$C$77,ROW(B37))),"")</f>
        <v>NOV</v>
      </c>
      <c r="F44" s="174" t="str" cm="1">
        <f t="array" ref="F44">IFERROR(IF(INDEX('Criterio de matriz competencias'!$K$2:$K$77,ROW(B37))="","",INDEX('Criterio de matriz competencias'!$K$2:$K$77,ROW(B37))),"")</f>
        <v>Inicial + anual  (formación y fit) + al cambiar respirador/proceso o post‑incidente.</v>
      </c>
      <c r="G44" s="174" t="str" cm="1">
        <f t="array" ref="G44">IFERROR(IF(INDEX('Criterio de matriz competencias'!$J$2:$J$77,ROW(B37))="","",INDEX('Criterio de matriz competencias'!$J$2:$J$77,ROW(B37))),"")</f>
        <v>Evaluación práctica + **fit test**</v>
      </c>
    </row>
    <row r="45" spans="1:7" ht="42.6" customHeight="1" x14ac:dyDescent="0.3">
      <c r="A45" s="171">
        <v>38</v>
      </c>
      <c r="B45" s="172" t="str" cm="1">
        <f t="array" ref="B45">IFERROR(IF(INDEX('Criterio de matriz competencias'!$A$2:$A$77,ROW(A38))="","",INDEX('Criterio de matriz competencias'!$A$2:$A$77,ROW(A38))),"")</f>
        <v xml:space="preserve">Seguridad con Escaleras </v>
      </c>
      <c r="C45" s="172" t="str" cm="1">
        <f t="array" ref="C45">IFERROR(IF(INDEX('Criterio de matriz competencias'!$B$2:$B$77,ROW(B38))="","",INDEX('Criterio de matriz competencias'!$B$2:$B$77,ROW(B38))),"")</f>
        <v xml:space="preserve">HSE 360: HSMSWT-038 </v>
      </c>
      <c r="D45" s="173" t="str" cm="1">
        <f t="array" ref="D45">IFERROR(IF(INDEX('Criterio de matriz competencias'!$F$2:$F$77,ROW(B38))="","",INDEX('Criterio de matriz competencias'!$F$2:$F$77,ROW(B38))),"")</f>
        <v>Quienes usan escaleras/pasarelas</v>
      </c>
      <c r="E45" s="174" t="str" cm="1">
        <f t="array" ref="E45">IFERROR(IF(INDEX('Criterio de matriz competencias'!$C$2:$C$77,ROW(B38))="","",INDEX('Criterio de matriz competencias'!$C$2:$C$77,ROW(B38))),"")</f>
        <v>NOV</v>
      </c>
      <c r="F45" s="174" t="str" cm="1">
        <f t="array" ref="F45">IFERROR(IF(INDEX('Criterio de matriz competencias'!$K$2:$K$77,ROW(B38))="","",INDEX('Criterio de matriz competencias'!$K$2:$K$77,ROW(B38))),"")</f>
        <v>Inicial y anual</v>
      </c>
      <c r="G45" s="174" t="str" cm="1">
        <f t="array" ref="G45">IFERROR(IF(INDEX('Criterio de matriz competencias'!$J$2:$J$77,ROW(B38))="","",INDEX('Criterio de matriz competencias'!$J$2:$J$77,ROW(B38))),"")</f>
        <v>QUIZ</v>
      </c>
    </row>
    <row r="46" spans="1:7" ht="42.6" customHeight="1" x14ac:dyDescent="0.3">
      <c r="A46" s="171">
        <v>39</v>
      </c>
      <c r="B46" s="172" t="str" cm="1">
        <f t="array" ref="B46">IFERROR(IF(INDEX('Criterio de matriz competencias'!$A$2:$A$77,ROW(A39))="","",INDEX('Criterio de matriz competencias'!$A$2:$A$77,ROW(A39))),"")</f>
        <v>Seguridad con Escaleras // Estantes de Almacenamiento</v>
      </c>
      <c r="C46" s="172" t="str" cm="1">
        <f t="array" ref="C46">IFERROR(IF(INDEX('Criterio de matriz competencias'!$B$2:$B$77,ROW(B39))="","",INDEX('Criterio de matriz competencias'!$B$2:$B$77,ROW(B39))),"")</f>
        <v xml:space="preserve">HSE 360: HSMSWT-038 / HSMSWT-045 </v>
      </c>
      <c r="D46" s="173" t="str" cm="1">
        <f t="array" ref="D46">IFERROR(IF(INDEX('Criterio de matriz competencias'!$F$2:$F$77,ROW(B39))="","",INDEX('Criterio de matriz competencias'!$F$2:$F$77,ROW(B39))),"")</f>
        <v>Personal que inspecciona escaleras/pasarelas / racks</v>
      </c>
      <c r="E46" s="174" t="str" cm="1">
        <f t="array" ref="E46">IFERROR(IF(INDEX('Criterio de matriz competencias'!$C$2:$C$77,ROW(B39))="","",INDEX('Criterio de matriz competencias'!$C$2:$C$77,ROW(B39))),"")</f>
        <v>NOV</v>
      </c>
      <c r="F46" s="174" t="str" cm="1">
        <f t="array" ref="F46">IFERROR(IF(INDEX('Criterio de matriz competencias'!$K$2:$K$77,ROW(B39))="","",INDEX('Criterio de matriz competencias'!$K$2:$K$77,ROW(B39))),"")</f>
        <v>Inicial y anual</v>
      </c>
      <c r="G46" s="174" t="str" cm="1">
        <f t="array" ref="G46">IFERROR(IF(INDEX('Criterio de matriz competencias'!$J$2:$J$77,ROW(B39))="","",INDEX('Criterio de matriz competencias'!$J$2:$J$77,ROW(B39))),"")</f>
        <v>QUIZ</v>
      </c>
    </row>
    <row r="47" spans="1:7" ht="61.5" customHeight="1" x14ac:dyDescent="0.3">
      <c r="A47" s="171">
        <v>40</v>
      </c>
      <c r="B47" s="172" t="str" cm="1">
        <f t="array" ref="B47">IFERROR(IF(INDEX('Criterio de matriz competencias'!$A$2:$A$77,ROW(A40))="","",INDEX('Criterio de matriz competencias'!$A$2:$A$77,ROW(A40))),"")</f>
        <v>Responsabilidades del Supervisor</v>
      </c>
      <c r="C47" s="172" t="str" cm="1">
        <f t="array" ref="C47">IFERROR(IF(INDEX('Criterio de matriz competencias'!$B$2:$B$77,ROW(B40))="","",INDEX('Criterio de matriz competencias'!$B$2:$B$77,ROW(B40))),"")</f>
        <v>Corporativo</v>
      </c>
      <c r="D47" s="173" t="str" cm="1">
        <f t="array" ref="D47">IFERROR(IF(INDEX('Criterio de matriz competencias'!$F$2:$F$77,ROW(B40))="","",INDEX('Criterio de matriz competencias'!$F$2:$F$77,ROW(B40))),"")</f>
        <v>Personal que lidera a personas</v>
      </c>
      <c r="E47" s="174" t="str" cm="1">
        <f t="array" ref="E47">IFERROR(IF(INDEX('Criterio de matriz competencias'!$C$2:$C$77,ROW(B40))="","",INDEX('Criterio de matriz competencias'!$C$2:$C$77,ROW(B40))),"")</f>
        <v>NOV</v>
      </c>
      <c r="F47" s="174" t="str" cm="1">
        <f t="array" ref="F47">IFERROR(IF(INDEX('Criterio de matriz competencias'!$K$2:$K$77,ROW(B40))="","",INDEX('Criterio de matriz competencias'!$K$2:$K$77,ROW(B40))),"")</f>
        <v>Anual</v>
      </c>
      <c r="G47" s="174" t="str" cm="1">
        <f t="array" ref="G47">IFERROR(IF(INDEX('Criterio de matriz competencias'!$J$2:$J$77,ROW(B40))="","",INDEX('Criterio de matriz competencias'!$J$2:$J$77,ROW(B40))),"")</f>
        <v>QUIZ</v>
      </c>
    </row>
    <row r="48" spans="1:7" ht="42.6" customHeight="1" x14ac:dyDescent="0.3">
      <c r="A48" s="171">
        <v>41</v>
      </c>
      <c r="B48" s="172" t="str" cm="1">
        <f t="array" ref="B48">IFERROR(IF(INDEX('Criterio de matriz competencias'!$A$2:$A$77,ROW(A41))="","",INDEX('Criterio de matriz competencias'!$A$2:$A$77,ROW(A41))),"")</f>
        <v>Espacios Confinados (Todos)</v>
      </c>
      <c r="C48" s="172" t="str" cm="1">
        <f t="array" ref="C48">IFERROR(IF(INDEX('Criterio de matriz competencias'!$B$2:$B$77,ROW(B41))="","",INDEX('Criterio de matriz competencias'!$B$2:$B$77,ROW(B41))),"")</f>
        <v>HSE 360: HSMS.017</v>
      </c>
      <c r="D48" s="173" t="str" cm="1">
        <f t="array" ref="D48">IFERROR(IF(INDEX('Criterio de matriz competencias'!$F$2:$F$77,ROW(B41))="","",INDEX('Criterio de matriz competencias'!$F$2:$F$77,ROW(B41))),"")</f>
        <v>Entrantes, vigilantes, supervisores de entrada y rescate</v>
      </c>
      <c r="E48" s="174" t="str" cm="1">
        <f t="array" ref="E48">IFERROR(IF(INDEX('Criterio de matriz competencias'!$C$2:$C$77,ROW(B41))="","",INDEX('Criterio de matriz competencias'!$C$2:$C$77,ROW(B41))),"")</f>
        <v>NOV</v>
      </c>
      <c r="F48" s="174" t="str" cm="1">
        <f t="array" ref="F48">IFERROR(IF(INDEX('Criterio de matriz competencias'!$K$2:$K$77,ROW(B41))="","",INDEX('Criterio de matriz competencias'!$K$2:$K$77,ROW(B41))),"")</f>
        <v>Inicial y anual</v>
      </c>
      <c r="G48" s="174" t="str" cm="1">
        <f t="array" ref="G48">IFERROR(IF(INDEX('Criterio de matriz competencias'!$J$2:$J$77,ROW(B41))="","",INDEX('Criterio de matriz competencias'!$J$2:$J$77,ROW(B41))),"")</f>
        <v>Prueba teórica / práctica</v>
      </c>
    </row>
    <row r="49" spans="1:7" ht="42.6" customHeight="1" x14ac:dyDescent="0.3">
      <c r="A49" s="171">
        <v>42</v>
      </c>
      <c r="B49" s="172" t="str" cm="1">
        <f t="array" ref="B49">IFERROR(IF(INDEX('Criterio de matriz competencias'!$A$2:$A$77,ROW(A42))="","",INDEX('Criterio de matriz competencias'!$A$2:$A$77,ROW(A42))),"")</f>
        <v>HSMS.017 / Espacios Confinados (Entrantes)</v>
      </c>
      <c r="C49" s="172" t="str" cm="1">
        <f t="array" ref="C49">IFERROR(IF(INDEX('Criterio de matriz competencias'!$B$2:$B$77,ROW(B42))="","",INDEX('Criterio de matriz competencias'!$B$2:$B$77,ROW(B42))),"")</f>
        <v>HSE 360: HSMS.017</v>
      </c>
      <c r="D49" s="173" t="str" cm="1">
        <f t="array" ref="D49">IFERROR(IF(INDEX('Criterio de matriz competencias'!$F$2:$F$77,ROW(B42))="","",INDEX('Criterio de matriz competencias'!$F$2:$F$77,ROW(B42))),"")</f>
        <v>Entrantes, vigilantes, supervisores de entrada y rescate</v>
      </c>
      <c r="E49" s="174" t="str" cm="1">
        <f t="array" ref="E49">IFERROR(IF(INDEX('Criterio de matriz competencias'!$C$2:$C$77,ROW(B42))="","",INDEX('Criterio de matriz competencias'!$C$2:$C$77,ROW(B42))),"")</f>
        <v>NOV / Por Definir</v>
      </c>
      <c r="F49" s="174" t="str" cm="1">
        <f t="array" ref="F49">IFERROR(IF(INDEX('Criterio de matriz competencias'!$K$2:$K$77,ROW(B42))="","",INDEX('Criterio de matriz competencias'!$K$2:$K$77,ROW(B42))),"")</f>
        <v>Inicial y ante cambios en espacios confinados o el procedimiento</v>
      </c>
      <c r="G49" s="174" t="str" cm="1">
        <f t="array" ref="G49">IFERROR(IF(INDEX('Criterio de matriz competencias'!$J$2:$J$77,ROW(B42))="","",INDEX('Criterio de matriz competencias'!$J$2:$J$77,ROW(B42))),"")</f>
        <v>QUIZ</v>
      </c>
    </row>
    <row r="50" spans="1:7" ht="62.1" customHeight="1" x14ac:dyDescent="0.3">
      <c r="A50" s="171">
        <v>43</v>
      </c>
      <c r="B50" s="172" t="str" cm="1">
        <f t="array" ref="B50">IFERROR(IF(INDEX('Criterio de matriz competencias'!$A$2:$A$77,ROW(A43))="","",INDEX('Criterio de matriz competencias'!$A$2:$A$77,ROW(A43))),"")</f>
        <v>Programa de Agua (Todos)</v>
      </c>
      <c r="C50" s="172" t="str" cm="1">
        <f t="array" ref="C50">IFERROR(IF(INDEX('Criterio de matriz competencias'!$B$2:$B$77,ROW(B43))="","",INDEX('Criterio de matriz competencias'!$B$2:$B$77,ROW(B43))),"")</f>
        <v>HSE 360: ENVMS.006</v>
      </c>
      <c r="D50" s="173" t="str" cm="1">
        <f t="array" ref="D50">IFERROR(IF(INDEX('Criterio de matriz competencias'!$F$2:$F$77,ROW(B43))="","",INDEX('Criterio de matriz competencias'!$F$2:$F$77,ROW(B43))),"")</f>
        <v>Operaciones/Mantenimiento/HSE que manejan descargas, plantas de tratamiento, contenciones e inspecciones de pluviales</v>
      </c>
      <c r="E50" s="174" t="str" cm="1">
        <f t="array" ref="E50">IFERROR(IF(INDEX('Criterio de matriz competencias'!$C$2:$C$77,ROW(B43))="","",INDEX('Criterio de matriz competencias'!$C$2:$C$77,ROW(B43))),"")</f>
        <v>NOV</v>
      </c>
      <c r="F50" s="174" t="str" cm="1">
        <f t="array" ref="F50">IFERROR(IF(INDEX('Criterio de matriz competencias'!$K$2:$K$77,ROW(B43))="","",INDEX('Criterio de matriz competencias'!$K$2:$K$77,ROW(B43))),"")</f>
        <v>Inicial (antes de asignación) + por cambios de permisos/procesos/equipos o incidentes</v>
      </c>
      <c r="G50" s="174" t="str" cm="1">
        <f t="array" ref="G50">IFERROR(IF(INDEX('Criterio de matriz competencias'!$J$2:$J$77,ROW(B43))="","",INDEX('Criterio de matriz competencias'!$J$2:$J$77,ROW(B43))),"")</f>
        <v>QUIZ</v>
      </c>
    </row>
    <row r="51" spans="1:7" ht="42.6" customHeight="1" x14ac:dyDescent="0.3">
      <c r="A51" s="171">
        <v>44</v>
      </c>
      <c r="B51" s="172" t="str" cm="1">
        <f t="array" ref="B51">IFERROR(IF(INDEX('Criterio de matriz competencias'!$A$2:$A$77,ROW(A44))="","",INDEX('Criterio de matriz competencias'!$A$2:$A$77,ROW(A44))),"")</f>
        <v>Programa de Agua (HSE)</v>
      </c>
      <c r="C51" s="172" t="str" cm="1">
        <f t="array" ref="C51">IFERROR(IF(INDEX('Criterio de matriz competencias'!$B$2:$B$77,ROW(B44))="","",INDEX('Criterio de matriz competencias'!$B$2:$B$77,ROW(B44))),"")</f>
        <v xml:space="preserve">HSE 360: ENVMS.006 </v>
      </c>
      <c r="D51" s="173" t="str" cm="1">
        <f t="array" ref="D51">IFERROR(IF(INDEX('Criterio de matriz competencias'!$F$2:$F$77,ROW(B44))="","",INDEX('Criterio de matriz competencias'!$F$2:$F$77,ROW(B44))),"")</f>
        <v>hse</v>
      </c>
      <c r="E51" s="174" t="str" cm="1">
        <f t="array" ref="E51">IFERROR(IF(INDEX('Criterio de matriz competencias'!$C$2:$C$77,ROW(B44))="","",INDEX('Criterio de matriz competencias'!$C$2:$C$77,ROW(B44))),"")</f>
        <v>NOV</v>
      </c>
      <c r="F51" s="174" t="str" cm="1">
        <f t="array" ref="F51">IFERROR(IF(INDEX('Criterio de matriz competencias'!$K$2:$K$77,ROW(B44))="","",INDEX('Criterio de matriz competencias'!$K$2:$K$77,ROW(B44))),"")</f>
        <v>Inicial + cuando cambien requisitos regulatorios/cliente.</v>
      </c>
      <c r="G51" s="174" t="str" cm="1">
        <f t="array" ref="G51">IFERROR(IF(INDEX('Criterio de matriz competencias'!$J$2:$J$77,ROW(B44))="","",INDEX('Criterio de matriz competencias'!$J$2:$J$77,ROW(B44))),"")</f>
        <v>Auditoría/verificación de cumplimiento</v>
      </c>
    </row>
    <row r="52" spans="1:7" ht="100.5" customHeight="1" x14ac:dyDescent="0.3">
      <c r="A52" s="171">
        <v>45</v>
      </c>
      <c r="B52" s="172" t="str" cm="1">
        <f t="array" ref="B52">IFERROR(IF(INDEX('Criterio de matriz competencias'!$A$2:$A$77,ROW(A45))="","",INDEX('Criterio de matriz competencias'!$A$2:$A$77,ROW(A45))),"")</f>
        <v>HIV/SIDA y otras enfermedades de transmisión sexual (ETS)</v>
      </c>
      <c r="C52" s="172" t="str" cm="1">
        <f t="array" ref="C52">IFERROR(IF(INDEX('Criterio de matriz competencias'!$B$2:$B$77,ROW(B45))="","",INDEX('Criterio de matriz competencias'!$B$2:$B$77,ROW(B45))),"")</f>
        <v xml:space="preserve">Cumplimiento de capacitación HSE/Salud y concientización al personal. </v>
      </c>
      <c r="D52" s="173" t="str" cm="1">
        <f t="array" ref="D52">IFERROR(IF(INDEX('Criterio de matriz competencias'!$F$2:$F$77,ROW(B45))="","",INDEX('Criterio de matriz competencias'!$F$2:$F$77,ROW(B45))),"")</f>
        <v>Todos</v>
      </c>
      <c r="E52" s="174" t="str" cm="1">
        <f t="array" ref="E52">IFERROR(IF(INDEX('Criterio de matriz competencias'!$C$2:$C$77,ROW(B45))="","",INDEX('Criterio de matriz competencias'!$C$2:$C$77,ROW(B45))),"")</f>
        <v>Medicina Laboral / HSE (según disponibilidad)</v>
      </c>
      <c r="F52" s="174" t="str" cm="1">
        <f t="array" ref="F52">IFERROR(IF(INDEX('Criterio de matriz competencias'!$K$2:$K$77,ROW(B45))="","",INDEX('Criterio de matriz competencias'!$K$2:$K$77,ROW(B45))),"")</f>
        <v>Anual; ingreso/inducción; campañas; cambios epidemiológicos o requerimientos cliente</v>
      </c>
      <c r="G52" s="174" t="str" cm="1">
        <f t="array" ref="G52">IFERROR(IF(INDEX('Criterio de matriz competencias'!$J$2:$J$77,ROW(B45))="","",INDEX('Criterio de matriz competencias'!$J$2:$J$77,ROW(B45))),"")</f>
        <v>Quiz corto (aprobación mínima definida)</v>
      </c>
    </row>
    <row r="53" spans="1:7" ht="95.1" customHeight="1" x14ac:dyDescent="0.3">
      <c r="A53" s="171">
        <v>46</v>
      </c>
      <c r="B53" s="172" t="str" cm="1">
        <f t="array" ref="B53">IFERROR(IF(INDEX('Criterio de matriz competencias'!$A$2:$A$77,ROW(A46))="","",INDEX('Criterio de matriz competencias'!$A$2:$A$77,ROW(A46))),"")</f>
        <v>Drogas de abuso (concientización y prevención)</v>
      </c>
      <c r="C53" s="172" t="str" cm="1">
        <f t="array" ref="C53">IFERROR(IF(INDEX('Criterio de matriz competencias'!$B$2:$B$77,ROW(B46))="","",INDEX('Criterio de matriz competencias'!$B$2:$B$77,ROW(B46))),"")</f>
        <v xml:space="preserve">Cumplimiento de capacitación HSE/Salud. </v>
      </c>
      <c r="D53" s="173" t="str" cm="1">
        <f t="array" ref="D53">IFERROR(IF(INDEX('Criterio de matriz competencias'!$F$2:$F$77,ROW(B46))="","",INDEX('Criterio de matriz competencias'!$F$2:$F$77,ROW(B46))),"")</f>
        <v>Todos</v>
      </c>
      <c r="E53" s="174" t="str" cm="1">
        <f t="array" ref="E53">IFERROR(IF(INDEX('Criterio de matriz competencias'!$C$2:$C$77,ROW(B46))="","",INDEX('Criterio de matriz competencias'!$C$2:$C$77,ROW(B46))),"")</f>
        <v>HSE / Medicina Laboral</v>
      </c>
      <c r="F53" s="174" t="str" cm="1">
        <f t="array" ref="F53">IFERROR(IF(INDEX('Criterio de matriz competencias'!$K$2:$K$77,ROW(B46))="","",INDEX('Criterio de matriz competencias'!$K$2:$K$77,ROW(B46))),"")</f>
        <v>Anual; ingreso; incidentes/casi-incidentes; observaciones de conducta; campañas</v>
      </c>
      <c r="G53" s="174" t="str" cm="1">
        <f t="array" ref="G53">IFERROR(IF(INDEX('Criterio de matriz competencias'!$J$2:$J$77,ROW(B46))="","",INDEX('Criterio de matriz competencias'!$J$2:$J$77,ROW(B46))),"")</f>
        <v>Quiz + registro de asistencia</v>
      </c>
    </row>
    <row r="54" spans="1:7" ht="101.4" customHeight="1" x14ac:dyDescent="0.3">
      <c r="A54" s="171">
        <v>47</v>
      </c>
      <c r="B54" s="172" t="str" cm="1">
        <f t="array" ref="B54">IFERROR(IF(INDEX('Criterio de matriz competencias'!$A$2:$A$77,ROW(A47))="","",INDEX('Criterio de matriz competencias'!$A$2:$A$77,ROW(A47))),"")</f>
        <v>Vida saludable (hábitos, autocuidado y bienestar)</v>
      </c>
      <c r="C54" s="172" t="str" cm="1">
        <f t="array" ref="C54">IFERROR(IF(INDEX('Criterio de matriz competencias'!$B$2:$B$77,ROW(B47))="","",INDEX('Criterio de matriz competencias'!$B$2:$B$77,ROW(B47))),"")</f>
        <v xml:space="preserve">Cumplimiento de capacitación HSE/Salud y promoción de condiciones saludables. </v>
      </c>
      <c r="D54" s="173" t="str" cm="1">
        <f t="array" ref="D54">IFERROR(IF(INDEX('Criterio de matriz competencias'!$F$2:$F$77,ROW(B47))="","",INDEX('Criterio de matriz competencias'!$F$2:$F$77,ROW(B47))),"")</f>
        <v>Todos</v>
      </c>
      <c r="E54" s="174" t="str" cm="1">
        <f t="array" ref="E54">IFERROR(IF(INDEX('Criterio de matriz competencias'!$C$2:$C$77,ROW(B47))="","",INDEX('Criterio de matriz competencias'!$C$2:$C$77,ROW(B47))),"")</f>
        <v>Medicina Laboral / HSE</v>
      </c>
      <c r="F54" s="174" t="str" cm="1">
        <f t="array" ref="F54">IFERROR(IF(INDEX('Criterio de matriz competencias'!$K$2:$K$77,ROW(B47))="","",INDEX('Criterio de matriz competencias'!$K$2:$K$77,ROW(B47))),"")</f>
        <v>Anual; ingreso; campañas; aumento de incidentes asociados a fatiga/bienestar</v>
      </c>
      <c r="G54" s="174" t="str" cm="1">
        <f t="array" ref="G54">IFERROR(IF(INDEX('Criterio de matriz competencias'!$J$2:$J$77,ROW(B47))="","",INDEX('Criterio de matriz competencias'!$J$2:$J$77,ROW(B47))),"")</f>
        <v>Quiz / encuesta de comprensión</v>
      </c>
    </row>
    <row r="55" spans="1:7" ht="96.9" customHeight="1" x14ac:dyDescent="0.3">
      <c r="A55" s="171">
        <v>48</v>
      </c>
      <c r="B55" s="172" t="str" cm="1">
        <f t="array" ref="B55">IFERROR(IF(INDEX('Criterio de matriz competencias'!$A$2:$A$77,ROW(A48))="","",INDEX('Criterio de matriz competencias'!$A$2:$A$77,ROW(A48))),"")</f>
        <v>Primeros auxilios y Reanimación Cardio Pulmonar (RCP)</v>
      </c>
      <c r="C55" s="172" t="str" cm="1">
        <f t="array" ref="C55">IFERROR(IF(INDEX('Criterio de matriz competencias'!$B$2:$B$77,ROW(B48))="","",INDEX('Criterio de matriz competencias'!$B$2:$B$77,ROW(B48))),"")</f>
        <v xml:space="preserve">Competencia crítica de respuesta ante emergencias. </v>
      </c>
      <c r="D55" s="173" t="str" cm="1">
        <f t="array" ref="D55">IFERROR(IF(INDEX('Criterio de matriz competencias'!$F$2:$F$77,ROW(B48))="","",INDEX('Criterio de matriz competencias'!$F$2:$F$77,ROW(B48))),"")</f>
        <v>Todos</v>
      </c>
      <c r="E55" s="174" t="str" cm="1">
        <f t="array" ref="E55">IFERROR(IF(INDEX('Criterio de matriz competencias'!$C$2:$C$77,ROW(B48))="","",INDEX('Criterio de matriz competencias'!$C$2:$C$77,ROW(B48))),"")</f>
        <v>Proveedor habilitado / Brigada / HSE (según esquema)</v>
      </c>
      <c r="F55" s="174" t="str" cm="1">
        <f t="array" ref="F55">IFERROR(IF(INDEX('Criterio de matriz competencias'!$K$2:$K$77,ROW(B48))="","",INDEX('Criterio de matriz competencias'!$K$2:$K$77,ROW(B48))),"")</f>
        <v>Anual (o según estándar); ingreso a brigada; cambios de rol; post-incidente</v>
      </c>
      <c r="G55" s="174" t="str" cm="1">
        <f t="array" ref="G55">IFERROR(IF(INDEX('Criterio de matriz competencias'!$J$2:$J$77,ROW(B48))="","",INDEX('Criterio de matriz competencias'!$J$2:$J$77,ROW(B48))),"")</f>
        <v>Evaluación práctica + quiz (si aplica)</v>
      </c>
    </row>
    <row r="56" spans="1:7" ht="95.1" customHeight="1" x14ac:dyDescent="0.3">
      <c r="A56" s="171">
        <v>49</v>
      </c>
      <c r="B56" s="172" t="str" cm="1">
        <f t="array" ref="B56">IFERROR(IF(INDEX('Criterio de matriz competencias'!$A$2:$A$77,ROW(A49))="","",INDEX('Criterio de matriz competencias'!$A$2:$A$77,ROW(A49))),"")</f>
        <v>Prevención cardiovascular (factores de riesgo y señales de alarma)</v>
      </c>
      <c r="C56" s="172" t="str" cm="1">
        <f t="array" ref="C56">IFERROR(IF(INDEX('Criterio de matriz competencias'!$B$2:$B$77,ROW(B49))="","",INDEX('Criterio de matriz competencias'!$B$2:$B$77,ROW(B49))),"")</f>
        <v xml:space="preserve">Cumplimiento de capacitación HSE/Salud. </v>
      </c>
      <c r="D56" s="173" t="str" cm="1">
        <f t="array" ref="D56">IFERROR(IF(INDEX('Criterio de matriz competencias'!$F$2:$F$77,ROW(B49))="","",INDEX('Criterio de matriz competencias'!$F$2:$F$77,ROW(B49))),"")</f>
        <v>Todos</v>
      </c>
      <c r="E56" s="174" t="str" cm="1">
        <f t="array" ref="E56">IFERROR(IF(INDEX('Criterio de matriz competencias'!$C$2:$C$77,ROW(B49))="","",INDEX('Criterio de matriz competencias'!$C$2:$C$77,ROW(B49))),"")</f>
        <v>Medicina Laboral / HSE</v>
      </c>
      <c r="F56" s="174" t="str" cm="1">
        <f t="array" ref="F56">IFERROR(IF(INDEX('Criterio de matriz competencias'!$K$2:$K$77,ROW(B49))="","",INDEX('Criterio de matriz competencias'!$K$2:$K$77,ROW(B49))),"")</f>
        <v>Anual; campañas; estadísticas médicas internas; requerimiento cliente</v>
      </c>
      <c r="G56" s="174" t="str" cm="1">
        <f t="array" ref="G56">IFERROR(IF(INDEX('Criterio de matriz competencias'!$J$2:$J$77,ROW(B49))="","",INDEX('Criterio de matriz competencias'!$J$2:$J$77,ROW(B49))),"")</f>
        <v>Quiz corto</v>
      </c>
    </row>
    <row r="57" spans="1:7" ht="84.6" customHeight="1" x14ac:dyDescent="0.3">
      <c r="A57" s="171">
        <v>50</v>
      </c>
      <c r="B57" s="172" t="str" cm="1">
        <f t="array" ref="B57">IFERROR(IF(INDEX('Criterio de matriz competencias'!$A$2:$A$77,ROW(A50))="","",INDEX('Criterio de matriz competencias'!$A$2:$A$77,ROW(A50))),"")</f>
        <v>Efectos del tabaco sobre la salud</v>
      </c>
      <c r="C57" s="172" t="str" cm="1">
        <f t="array" ref="C57">IFERROR(IF(INDEX('Criterio de matriz competencias'!$B$2:$B$77,ROW(B50))="","",INDEX('Criterio de matriz competencias'!$B$2:$B$77,ROW(B50))),"")</f>
        <v xml:space="preserve">Cumplimiento de capacitación HSE/Salud y concientización. </v>
      </c>
      <c r="D57" s="173" t="str" cm="1">
        <f t="array" ref="D57">IFERROR(IF(INDEX('Criterio de matriz competencias'!$F$2:$F$77,ROW(B50))="","",INDEX('Criterio de matriz competencias'!$F$2:$F$77,ROW(B50))),"")</f>
        <v>Todos</v>
      </c>
      <c r="E57" s="174" t="str" cm="1">
        <f t="array" ref="E57">IFERROR(IF(INDEX('Criterio de matriz competencias'!$C$2:$C$77,ROW(B50))="","",INDEX('Criterio de matriz competencias'!$C$2:$C$77,ROW(B50))),"")</f>
        <v>Medicina Laboral / HSE</v>
      </c>
      <c r="F57" s="174" t="str" cm="1">
        <f t="array" ref="F57">IFERROR(IF(INDEX('Criterio de matriz competencias'!$K$2:$K$77,ROW(B50))="","",INDEX('Criterio de matriz competencias'!$K$2:$K$77,ROW(B50))),"")</f>
        <v>Anual; campañas; requerimiento cliente</v>
      </c>
      <c r="G57" s="174" t="str" cm="1">
        <f t="array" ref="G57">IFERROR(IF(INDEX('Criterio de matriz competencias'!$J$2:$J$77,ROW(B50))="","",INDEX('Criterio de matriz competencias'!$J$2:$J$77,ROW(B50))),"")</f>
        <v>Quiz / confirmación de lectura</v>
      </c>
    </row>
    <row r="58" spans="1:7" ht="42.6" customHeight="1" x14ac:dyDescent="0.3">
      <c r="A58" s="171">
        <v>51</v>
      </c>
      <c r="B58" s="172" t="str" cm="1">
        <f t="array" ref="B58">IFERROR(IF(INDEX('Criterio de matriz competencias'!$A$2:$A$77,ROW(A51))="","",INDEX('Criterio de matriz competencias'!$A$2:$A$77,ROW(A51))),"")</f>
        <v>Cargadora (Op. Montacargas)</v>
      </c>
      <c r="C58" s="172" t="str" cm="1">
        <f t="array" ref="C58">IFERROR(IF(INDEX('Criterio de matriz competencias'!$B$2:$B$77,ROW(B51))="","",INDEX('Criterio de matriz competencias'!$B$2:$B$77,ROW(B51))),"")</f>
        <v>HSE 360: HSMS.019</v>
      </c>
      <c r="D58" s="173" t="str" cm="1">
        <f t="array" ref="D58">IFERROR(IF(INDEX('Criterio de matriz competencias'!$F$2:$F$77,ROW(B51))="","",INDEX('Criterio de matriz competencias'!$F$2:$F$77,ROW(B51))),"")</f>
        <v>Operadores de montacargas</v>
      </c>
      <c r="E58" s="174" t="str" cm="1">
        <f t="array" ref="E58">IFERROR(IF(INDEX('Criterio de matriz competencias'!$C$2:$C$77,ROW(B51))="","",INDEX('Criterio de matriz competencias'!$C$2:$C$77,ROW(B51))),"")</f>
        <v>TUV Rheinland</v>
      </c>
      <c r="F58" s="174" t="str" cm="1">
        <f t="array" ref="F58">IFERROR(IF(INDEX('Criterio de matriz competencias'!$K$2:$K$77,ROW(B51))="","",INDEX('Criterio de matriz competencias'!$K$2:$K$77,ROW(B51))),"")</f>
        <v>Inicial + ANUAL o ante cambios/deficiencias/incidentes.</v>
      </c>
      <c r="G58" s="174" t="str" cm="1">
        <f t="array" ref="G58">IFERROR(IF(INDEX('Criterio de matriz competencias'!$J$2:$J$77,ROW(B51))="","",INDEX('Criterio de matriz competencias'!$J$2:$J$77,ROW(B51))),"")</f>
        <v>Prueba teórica Y PRÁCTICA</v>
      </c>
    </row>
    <row r="59" spans="1:7" ht="42.6" customHeight="1" x14ac:dyDescent="0.3">
      <c r="A59" s="171">
        <v>52</v>
      </c>
      <c r="B59" s="172" t="str" cm="1">
        <f t="array" ref="B59">IFERROR(IF(INDEX('Criterio de matriz competencias'!$A$2:$A$77,ROW(A52))="","",INDEX('Criterio de matriz competencias'!$A$2:$A$77,ROW(A52))),"")</f>
        <v/>
      </c>
      <c r="C59" s="172" t="str" cm="1">
        <f t="array" ref="C59">IFERROR(IF(INDEX('Criterio de matriz competencias'!$B$2:$B$77,ROW(B52))="","",INDEX('Criterio de matriz competencias'!$B$2:$B$77,ROW(B52))),"")</f>
        <v/>
      </c>
      <c r="D59" s="173" t="str" cm="1">
        <f t="array" ref="D59">IFERROR(IF(INDEX('Criterio de matriz competencias'!$F$2:$F$77,ROW(B52))="","",INDEX('Criterio de matriz competencias'!$F$2:$F$77,ROW(B52))),"")</f>
        <v/>
      </c>
      <c r="E59" s="174" t="str" cm="1">
        <f t="array" ref="E59">IFERROR(IF(INDEX('Criterio de matriz competencias'!$C$2:$C$77,ROW(B52))="","",INDEX('Criterio de matriz competencias'!$C$2:$C$77,ROW(B52))),"")</f>
        <v/>
      </c>
      <c r="F59" s="174" t="str" cm="1">
        <f t="array" ref="F59">IFERROR(IF(INDEX('Criterio de matriz competencias'!$K$2:$K$77,ROW(B52))="","",INDEX('Criterio de matriz competencias'!$K$2:$K$77,ROW(B52))),"")</f>
        <v/>
      </c>
      <c r="G59" s="174" t="str" cm="1">
        <f t="array" ref="G59">IFERROR(IF(INDEX('Criterio de matriz competencias'!$J$2:$J$77,ROW(B52))="","",INDEX('Criterio de matriz competencias'!$J$2:$J$77,ROW(B52))),"")</f>
        <v/>
      </c>
    </row>
    <row r="60" spans="1:7" ht="42.6" customHeight="1" x14ac:dyDescent="0.3">
      <c r="A60" s="171">
        <v>53</v>
      </c>
      <c r="B60" s="172" t="str" cm="1">
        <f t="array" ref="B60">IFERROR(IF(INDEX('Criterio de matriz competencias'!$A$2:$A$77,ROW(A53))="","",INDEX('Criterio de matriz competencias'!$A$2:$A$77,ROW(A53))),"")</f>
        <v/>
      </c>
      <c r="C60" s="172" t="str" cm="1">
        <f t="array" ref="C60">IFERROR(IF(INDEX('Criterio de matriz competencias'!$B$2:$B$77,ROW(B53))="","",INDEX('Criterio de matriz competencias'!$B$2:$B$77,ROW(B53))),"")</f>
        <v/>
      </c>
      <c r="D60" s="173" t="str" cm="1">
        <f t="array" ref="D60">IFERROR(IF(INDEX('Criterio de matriz competencias'!$F$2:$F$77,ROW(B53))="","",INDEX('Criterio de matriz competencias'!$F$2:$F$77,ROW(B53))),"")</f>
        <v/>
      </c>
      <c r="E60" s="174" t="str" cm="1">
        <f t="array" ref="E60">IFERROR(IF(INDEX('Criterio de matriz competencias'!$C$2:$C$77,ROW(B53))="","",INDEX('Criterio de matriz competencias'!$C$2:$C$77,ROW(B53))),"")</f>
        <v/>
      </c>
      <c r="F60" s="174" t="str" cm="1">
        <f t="array" ref="F60">IFERROR(IF(INDEX('Criterio de matriz competencias'!$K$2:$K$77,ROW(B53))="","",INDEX('Criterio de matriz competencias'!$K$2:$K$77,ROW(B53))),"")</f>
        <v/>
      </c>
      <c r="G60" s="174" t="str" cm="1">
        <f t="array" ref="G60">IFERROR(IF(INDEX('Criterio de matriz competencias'!$J$2:$J$77,ROW(B53))="","",INDEX('Criterio de matriz competencias'!$J$2:$J$77,ROW(B53))),"")</f>
        <v/>
      </c>
    </row>
    <row r="61" spans="1:7" ht="42.6" customHeight="1" x14ac:dyDescent="0.3">
      <c r="A61" s="171">
        <v>54</v>
      </c>
      <c r="B61" s="172" t="str" cm="1">
        <f t="array" ref="B61">IFERROR(IF(INDEX('Criterio de matriz competencias'!$A$2:$A$77,ROW(A54))="","",INDEX('Criterio de matriz competencias'!$A$2:$A$77,ROW(A54))),"")</f>
        <v/>
      </c>
      <c r="C61" s="172" t="str" cm="1">
        <f t="array" ref="C61">IFERROR(IF(INDEX('Criterio de matriz competencias'!$B$2:$B$77,ROW(B54))="","",INDEX('Criterio de matriz competencias'!$B$2:$B$77,ROW(B54))),"")</f>
        <v/>
      </c>
      <c r="D61" s="173" t="str" cm="1">
        <f t="array" ref="D61">IFERROR(IF(INDEX('Criterio de matriz competencias'!$F$2:$F$77,ROW(B54))="","",INDEX('Criterio de matriz competencias'!$F$2:$F$77,ROW(B54))),"")</f>
        <v/>
      </c>
      <c r="E61" s="174" t="str" cm="1">
        <f t="array" ref="E61">IFERROR(IF(INDEX('Criterio de matriz competencias'!$C$2:$C$77,ROW(B54))="","",INDEX('Criterio de matriz competencias'!$C$2:$C$77,ROW(B54))),"")</f>
        <v/>
      </c>
      <c r="F61" s="174" t="str" cm="1">
        <f t="array" ref="F61">IFERROR(IF(INDEX('Criterio de matriz competencias'!$K$2:$K$77,ROW(B54))="","",INDEX('Criterio de matriz competencias'!$K$2:$K$77,ROW(B54))),"")</f>
        <v/>
      </c>
      <c r="G61" s="174" t="str" cm="1">
        <f t="array" ref="G61">IFERROR(IF(INDEX('Criterio de matriz competencias'!$J$2:$J$77,ROW(B54))="","",INDEX('Criterio de matriz competencias'!$J$2:$J$77,ROW(B54))),"")</f>
        <v/>
      </c>
    </row>
    <row r="62" spans="1:7" ht="42.6" customHeight="1" x14ac:dyDescent="0.3">
      <c r="A62" s="171">
        <v>55</v>
      </c>
      <c r="B62" s="172" t="str" cm="1">
        <f t="array" ref="B62">IFERROR(IF(INDEX('Criterio de matriz competencias'!$A$2:$A$77,ROW(A55))="","",INDEX('Criterio de matriz competencias'!$A$2:$A$77,ROW(A55))),"")</f>
        <v/>
      </c>
      <c r="C62" s="172" t="str" cm="1">
        <f t="array" ref="C62">IFERROR(IF(INDEX('Criterio de matriz competencias'!$B$2:$B$77,ROW(B55))="","",INDEX('Criterio de matriz competencias'!$B$2:$B$77,ROW(B55))),"")</f>
        <v/>
      </c>
      <c r="D62" s="173" t="str" cm="1">
        <f t="array" ref="D62">IFERROR(IF(INDEX('Criterio de matriz competencias'!$F$2:$F$77,ROW(B55))="","",INDEX('Criterio de matriz competencias'!$F$2:$F$77,ROW(B55))),"")</f>
        <v/>
      </c>
      <c r="E62" s="174" t="str" cm="1">
        <f t="array" ref="E62">IFERROR(IF(INDEX('Criterio de matriz competencias'!$C$2:$C$77,ROW(B55))="","",INDEX('Criterio de matriz competencias'!$C$2:$C$77,ROW(B55))),"")</f>
        <v/>
      </c>
      <c r="F62" s="174" t="str" cm="1">
        <f t="array" ref="F62">IFERROR(IF(INDEX('Criterio de matriz competencias'!$K$2:$K$77,ROW(B55))="","",INDEX('Criterio de matriz competencias'!$K$2:$K$77,ROW(B55))),"")</f>
        <v/>
      </c>
      <c r="G62" s="174" t="str" cm="1">
        <f t="array" ref="G62">IFERROR(IF(INDEX('Criterio de matriz competencias'!$J$2:$J$77,ROW(B55))="","",INDEX('Criterio de matriz competencias'!$J$2:$J$77,ROW(B55))),"")</f>
        <v/>
      </c>
    </row>
    <row r="63" spans="1:7" s="30" customFormat="1" x14ac:dyDescent="0.3">
      <c r="A63" s="32"/>
      <c r="B63" s="33"/>
      <c r="C63" s="34"/>
      <c r="D63" s="34"/>
      <c r="E63" s="29"/>
      <c r="F63" s="29"/>
      <c r="G63" s="29"/>
    </row>
    <row r="64" spans="1:7" s="30" customFormat="1" x14ac:dyDescent="0.3">
      <c r="A64" s="31"/>
      <c r="B64" s="35"/>
      <c r="C64" s="28"/>
      <c r="D64" s="28"/>
      <c r="E64" s="35"/>
      <c r="F64" s="35"/>
      <c r="G64" s="35"/>
    </row>
    <row r="65" spans="1:7" s="36" customFormat="1" ht="13.2" x14ac:dyDescent="0.3">
      <c r="B65" s="34" t="s">
        <v>14</v>
      </c>
      <c r="F65" s="36" t="s">
        <v>15</v>
      </c>
    </row>
    <row r="66" spans="1:7" s="36" customFormat="1" ht="13.2" x14ac:dyDescent="0.3">
      <c r="B66" s="34" t="s">
        <v>16</v>
      </c>
      <c r="F66" s="36" t="s">
        <v>17</v>
      </c>
    </row>
    <row r="67" spans="1:7" s="30" customFormat="1" x14ac:dyDescent="0.3">
      <c r="A67" s="31"/>
      <c r="B67" s="44"/>
      <c r="C67" s="29"/>
      <c r="D67" s="29"/>
      <c r="E67" s="28"/>
      <c r="F67" s="28"/>
      <c r="G67" s="28"/>
    </row>
  </sheetData>
  <sheetProtection algorithmName="SHA-512" hashValue="GOYroNsRfqUfbEeBG/0dpUzi2+wvlLOYPYgkADSK/Q4ptPAB+FU40oQObZtRYsZm2713T/9vCxLCn0xQOCaryg==" saltValue="iaRJFHfpGId0CpPr5izFGA==" spinCount="100000" sheet="1" objects="1" scenarios="1" formatCells="0"/>
  <mergeCells count="2">
    <mergeCell ref="A1:B3"/>
    <mergeCell ref="C1:F3"/>
  </mergeCells>
  <conditionalFormatting sqref="A8:G62">
    <cfRule type="expression" dxfId="25" priority="1">
      <formula>MOD(ROW(),2)=0</formula>
    </cfRule>
  </conditionalFormatting>
  <pageMargins left="0.7" right="0.7" top="0.75" bottom="0.75" header="0.3" footer="0.3"/>
  <pageSetup paperSize="9" scale="2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3B0FA-6714-44E4-AC06-B153D57F5306}">
  <sheetPr codeName="Hoja2"/>
  <dimension ref="A1:BV113"/>
  <sheetViews>
    <sheetView topLeftCell="W1" zoomScale="80" zoomScaleNormal="80" zoomScaleSheetLayoutView="50" workbookViewId="0">
      <pane ySplit="7" topLeftCell="A8" activePane="bottomLeft" state="frozen"/>
      <selection activeCell="A7" sqref="A7"/>
      <selection pane="bottomLeft" activeCell="B8" sqref="B8"/>
    </sheetView>
  </sheetViews>
  <sheetFormatPr baseColWidth="10" defaultColWidth="11.44140625" defaultRowHeight="14.4" x14ac:dyDescent="0.3"/>
  <cols>
    <col min="1" max="1" width="4.44140625" style="6" customWidth="1"/>
    <col min="2" max="2" width="13.44140625" style="61" customWidth="1"/>
    <col min="3" max="3" width="16.44140625" bestFit="1" customWidth="1"/>
    <col min="4" max="4" width="39.5546875" bestFit="1" customWidth="1"/>
    <col min="5" max="5" width="32.33203125" bestFit="1" customWidth="1"/>
    <col min="6" max="6" width="38.5546875" bestFit="1" customWidth="1"/>
    <col min="7" max="7" width="7.5546875" customWidth="1"/>
    <col min="8" max="8" width="11.109375" customWidth="1"/>
    <col min="9" max="9" width="15.44140625" style="61" customWidth="1"/>
    <col min="10" max="13" width="15.5546875" customWidth="1"/>
    <col min="14" max="14" width="14" bestFit="1" customWidth="1"/>
    <col min="15" max="15" width="13.88671875" customWidth="1"/>
    <col min="16" max="16" width="11.33203125" customWidth="1"/>
    <col min="17" max="17" width="13" customWidth="1"/>
    <col min="18" max="18" width="19.44140625" customWidth="1"/>
    <col min="19" max="19" width="16.109375" customWidth="1"/>
    <col min="20" max="20" width="27.109375" customWidth="1"/>
    <col min="21" max="21" width="13.33203125" customWidth="1"/>
    <col min="22" max="22" width="16.88671875" customWidth="1"/>
    <col min="23" max="26" width="10.5546875" customWidth="1"/>
    <col min="27" max="27" width="13.109375" bestFit="1" customWidth="1"/>
    <col min="28" max="40" width="13.109375" customWidth="1"/>
    <col min="41" max="41" width="14.109375" customWidth="1"/>
    <col min="42" max="42" width="10.5546875" customWidth="1"/>
    <col min="43" max="43" width="11.88671875" customWidth="1"/>
    <col min="44" max="44" width="10.5546875" customWidth="1"/>
    <col min="45" max="45" width="11.88671875" customWidth="1"/>
    <col min="46" max="46" width="11.5546875" customWidth="1"/>
    <col min="47" max="48" width="10.5546875" customWidth="1"/>
    <col min="49" max="49" width="10.44140625" customWidth="1"/>
    <col min="50" max="50" width="11.6640625" bestFit="1" customWidth="1"/>
    <col min="51" max="51" width="10.88671875" customWidth="1"/>
    <col min="52" max="52" width="16.5546875" customWidth="1"/>
    <col min="53" max="60" width="12.109375" customWidth="1"/>
    <col min="61" max="69" width="12.5546875" customWidth="1"/>
    <col min="70" max="70" width="12.5546875" bestFit="1" customWidth="1"/>
    <col min="71" max="72" width="12.5546875" customWidth="1"/>
  </cols>
  <sheetData>
    <row r="1" spans="1:74" ht="20.100000000000001" customHeight="1" x14ac:dyDescent="0.3">
      <c r="A1" s="4"/>
      <c r="B1" s="57"/>
      <c r="C1" s="4"/>
      <c r="D1" s="175" t="s">
        <v>18</v>
      </c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75"/>
      <c r="AJ1" s="175"/>
      <c r="AK1" s="175"/>
      <c r="AL1" s="175"/>
      <c r="AM1" s="175"/>
      <c r="AN1" s="175"/>
      <c r="AO1" s="175"/>
      <c r="AP1" s="175"/>
      <c r="AQ1" s="175"/>
      <c r="AR1" s="175"/>
      <c r="AS1" s="175"/>
      <c r="AT1" s="175"/>
      <c r="AU1" s="175"/>
      <c r="AV1" s="175"/>
      <c r="AW1" s="175"/>
      <c r="AX1" s="175"/>
      <c r="AY1" s="175"/>
      <c r="AZ1" s="175"/>
      <c r="BA1" s="175"/>
      <c r="BB1" s="175"/>
      <c r="BC1" s="175"/>
      <c r="BD1" s="175"/>
      <c r="BE1" s="175"/>
      <c r="BF1" s="175"/>
      <c r="BG1" s="175"/>
      <c r="BH1" s="175"/>
      <c r="BI1" s="175"/>
      <c r="BJ1" s="175"/>
      <c r="BK1" s="175"/>
      <c r="BL1" s="175"/>
      <c r="BM1" s="175"/>
      <c r="BN1" s="175"/>
      <c r="BO1" s="175"/>
      <c r="BP1" s="175"/>
      <c r="BQ1" s="175"/>
      <c r="BR1" s="175"/>
      <c r="BS1" s="175"/>
      <c r="BT1" s="175"/>
      <c r="BU1" s="175"/>
      <c r="BV1" s="5"/>
    </row>
    <row r="2" spans="1:74" ht="20.399999999999999" customHeight="1" x14ac:dyDescent="0.3">
      <c r="A2" s="4"/>
      <c r="B2" s="57"/>
      <c r="C2" s="4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5"/>
      <c r="Q2" s="175"/>
      <c r="R2" s="175"/>
      <c r="S2" s="175"/>
      <c r="T2" s="175"/>
      <c r="U2" s="175"/>
      <c r="V2" s="175"/>
      <c r="W2" s="175"/>
      <c r="X2" s="175"/>
      <c r="Y2" s="175"/>
      <c r="Z2" s="175"/>
      <c r="AA2" s="175"/>
      <c r="AB2" s="175"/>
      <c r="AC2" s="175"/>
      <c r="AD2" s="175"/>
      <c r="AE2" s="175"/>
      <c r="AF2" s="175"/>
      <c r="AG2" s="175"/>
      <c r="AH2" s="175"/>
      <c r="AI2" s="175"/>
      <c r="AJ2" s="175"/>
      <c r="AK2" s="175"/>
      <c r="AL2" s="175"/>
      <c r="AM2" s="175"/>
      <c r="AN2" s="175"/>
      <c r="AO2" s="175"/>
      <c r="AP2" s="175"/>
      <c r="AQ2" s="175"/>
      <c r="AR2" s="175"/>
      <c r="AS2" s="175"/>
      <c r="AT2" s="175"/>
      <c r="AU2" s="175"/>
      <c r="AV2" s="175"/>
      <c r="AW2" s="175"/>
      <c r="AX2" s="175"/>
      <c r="AY2" s="175"/>
      <c r="AZ2" s="175"/>
      <c r="BA2" s="175"/>
      <c r="BB2" s="175"/>
      <c r="BC2" s="175"/>
      <c r="BD2" s="175"/>
      <c r="BE2" s="175"/>
      <c r="BF2" s="175"/>
      <c r="BG2" s="175"/>
      <c r="BH2" s="175"/>
      <c r="BI2" s="175"/>
      <c r="BJ2" s="175"/>
      <c r="BK2" s="175"/>
      <c r="BL2" s="175"/>
      <c r="BM2" s="175"/>
      <c r="BN2" s="175"/>
      <c r="BO2" s="175"/>
      <c r="BP2" s="175"/>
      <c r="BQ2" s="175"/>
      <c r="BR2" s="175"/>
      <c r="BS2" s="175"/>
      <c r="BT2" s="175"/>
      <c r="BU2" s="175"/>
      <c r="BV2" s="5"/>
    </row>
    <row r="3" spans="1:74" ht="14.4" customHeight="1" x14ac:dyDescent="0.3">
      <c r="B3" s="58"/>
      <c r="C3" s="22"/>
      <c r="D3" s="22"/>
      <c r="E3" s="22"/>
      <c r="F3" s="22"/>
      <c r="G3" s="22"/>
      <c r="H3" s="22"/>
      <c r="I3" s="81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2"/>
      <c r="AP3" s="22"/>
      <c r="AQ3" s="22"/>
      <c r="AR3" s="22"/>
      <c r="AS3" s="22"/>
      <c r="AT3" s="22"/>
      <c r="AU3" s="22"/>
      <c r="AV3" s="22"/>
      <c r="AW3" s="22"/>
      <c r="AX3" s="23"/>
      <c r="AY3" s="23"/>
      <c r="AZ3" s="23"/>
      <c r="BA3" s="23"/>
      <c r="BB3" s="23"/>
      <c r="BC3" s="23"/>
      <c r="BD3" s="23"/>
      <c r="BE3" s="23"/>
      <c r="BF3" s="23"/>
      <c r="BG3" s="23"/>
      <c r="BH3" s="23"/>
      <c r="BI3" s="23"/>
      <c r="BJ3" s="23"/>
      <c r="BK3" s="23"/>
      <c r="BL3" s="23"/>
      <c r="BM3" s="23"/>
      <c r="BN3" s="23"/>
      <c r="BO3" s="23"/>
      <c r="BP3" s="23"/>
      <c r="BQ3" s="23"/>
      <c r="BR3" s="23"/>
      <c r="BS3" s="23"/>
      <c r="BT3" s="23"/>
      <c r="BU3" s="23"/>
    </row>
    <row r="4" spans="1:74" ht="14.4" customHeight="1" x14ac:dyDescent="0.3">
      <c r="B4" s="58"/>
      <c r="C4" s="22"/>
      <c r="D4" s="22"/>
      <c r="E4" s="22"/>
      <c r="F4" s="22"/>
      <c r="G4" s="22"/>
      <c r="H4" s="22"/>
      <c r="I4" s="81"/>
      <c r="J4" s="22"/>
      <c r="K4" s="22"/>
      <c r="L4" s="22"/>
      <c r="M4" s="22" t="s">
        <v>19</v>
      </c>
      <c r="N4" s="22" t="str">
        <f>IFERROR(INDEX('Criterio de matriz competencias'!$L:$L,MATCH(N$7,'Criterio de matriz competencias'!$A:$A,0)),"")</f>
        <v>Evento</v>
      </c>
      <c r="O4" s="22" t="str">
        <f>IFERROR(INDEX('Criterio de matriz competencias'!$L:$L,MATCH(O$7,'Criterio de matriz competencias'!$A:$A,0)),"")</f>
        <v>Periódica</v>
      </c>
      <c r="P4" s="22" t="str">
        <f>IFERROR(INDEX('Criterio de matriz competencias'!$L:$L,MATCH(P$7,'Criterio de matriz competencias'!$A:$A,0)),"")</f>
        <v>Evento</v>
      </c>
      <c r="Q4" s="22" t="str">
        <f>IFERROR(INDEX('Criterio de matriz competencias'!$L:$L,MATCH(Q$7,'Criterio de matriz competencias'!$A:$A,0)),"")</f>
        <v>Evento</v>
      </c>
      <c r="R4" s="22" t="str">
        <f>IFERROR(INDEX('Criterio de matriz competencias'!$L:$L,MATCH(R$7,'Criterio de matriz competencias'!$A:$A,0)),"")</f>
        <v>Periódica</v>
      </c>
      <c r="S4" s="22" t="str">
        <f>IFERROR(INDEX('Criterio de matriz competencias'!$L:$L,MATCH(S$7,'Criterio de matriz competencias'!$A:$A,0)),"")</f>
        <v>Evento</v>
      </c>
      <c r="T4" s="22" t="str">
        <f>IFERROR(INDEX('Criterio de matriz competencias'!$L:$L,MATCH(T$7,'Criterio de matriz competencias'!$A:$A,0)),"")</f>
        <v>Periódica</v>
      </c>
      <c r="U4" s="22" t="str">
        <f>IFERROR(INDEX('Criterio de matriz competencias'!$L:$L,MATCH(U$7,'Criterio de matriz competencias'!$A:$A,0)),"")</f>
        <v>Periódica</v>
      </c>
      <c r="V4" s="22" t="str">
        <f>IFERROR(INDEX('Criterio de matriz competencias'!$L:$L,MATCH(V$7,'Criterio de matriz competencias'!$A:$A,0)),"")</f>
        <v>Periódica</v>
      </c>
      <c r="W4" s="22" t="str">
        <f>IFERROR(INDEX('Criterio de matriz competencias'!$L:$L,MATCH(W$7,'Criterio de matriz competencias'!$A:$A,0)),"")</f>
        <v>Periódica</v>
      </c>
      <c r="X4" s="22" t="str">
        <f>IFERROR(INDEX('Criterio de matriz competencias'!$L:$L,MATCH(X$7,'Criterio de matriz competencias'!$A:$A,0)),"")</f>
        <v>Periódica</v>
      </c>
      <c r="Y4" s="22" t="str">
        <f>IFERROR(INDEX('Criterio de matriz competencias'!$L:$L,MATCH(Y$7,'Criterio de matriz competencias'!$A:$A,0)),"")</f>
        <v>Periódica</v>
      </c>
      <c r="Z4" s="22" t="str">
        <f>IFERROR(INDEX('Criterio de matriz competencias'!$L:$L,MATCH(Z$7,'Criterio de matriz competencias'!$A:$A,0)),"")</f>
        <v>Periódica</v>
      </c>
      <c r="AA4" s="22" t="str">
        <f>IFERROR(INDEX('Criterio de matriz competencias'!$L:$L,MATCH(AA$7,'Criterio de matriz competencias'!$A:$A,0)),"")</f>
        <v>Periódica</v>
      </c>
      <c r="AB4" s="22" t="str">
        <f>IFERROR(INDEX('Criterio de matriz competencias'!$L:$L,MATCH(AB$7,'Criterio de matriz competencias'!$A:$A,0)),"")</f>
        <v>Periódica</v>
      </c>
      <c r="AC4" s="22" t="str">
        <f>IFERROR(INDEX('Criterio de matriz competencias'!$L:$L,MATCH(AC$7,'Criterio de matriz competencias'!$A:$A,0)),"")</f>
        <v>Periódica</v>
      </c>
      <c r="AD4" s="22" t="str">
        <f>IFERROR(INDEX('Criterio de matriz competencias'!$L:$L,MATCH(AD$7,'Criterio de matriz competencias'!$A:$A,0)),"")</f>
        <v>Periódica</v>
      </c>
      <c r="AE4" s="22" t="str">
        <f>IFERROR(INDEX('Criterio de matriz competencias'!$L:$L,MATCH(AE$7,'Criterio de matriz competencias'!$A:$A,0)),"")</f>
        <v>Periódica</v>
      </c>
      <c r="AF4" s="22" t="str">
        <f>IFERROR(INDEX('Criterio de matriz competencias'!$L:$L,MATCH(AF$7,'Criterio de matriz competencias'!$A:$A,0)),"")</f>
        <v>Evento</v>
      </c>
      <c r="AG4" s="22" t="str">
        <f>IFERROR(INDEX('Criterio de matriz competencias'!$L:$L,MATCH(AG$7,'Criterio de matriz competencias'!$A:$A,0)),"")</f>
        <v>Periódica</v>
      </c>
      <c r="AH4" s="22" t="str">
        <f>IFERROR(INDEX('Criterio de matriz competencias'!$L:$L,MATCH(AH$7,'Criterio de matriz competencias'!$A:$A,0)),"")</f>
        <v>Periódica</v>
      </c>
      <c r="AI4" s="22" t="str">
        <f>IFERROR(INDEX('Criterio de matriz competencias'!$L:$L,MATCH(AI$7,'Criterio de matriz competencias'!$A:$A,0)),"")</f>
        <v>Periódica</v>
      </c>
      <c r="AJ4" s="22" t="str">
        <f>IFERROR(INDEX('Criterio de matriz competencias'!$L:$L,MATCH(AJ$7,'Criterio de matriz competencias'!$A:$A,0)),"")</f>
        <v>Periódica</v>
      </c>
      <c r="AK4" s="22" t="str">
        <f>IFERROR(INDEX('Criterio de matriz competencias'!$L:$L,MATCH(AK$7,'Criterio de matriz competencias'!$A:$A,0)),"")</f>
        <v>Periódica</v>
      </c>
      <c r="AL4" s="22" t="str">
        <f>IFERROR(INDEX('Criterio de matriz competencias'!$L:$L,MATCH(AL$7,'Criterio de matriz competencias'!$A:$A,0)),"")</f>
        <v>Periódica</v>
      </c>
      <c r="AM4" s="22" t="str">
        <f>IFERROR(INDEX('Criterio de matriz competencias'!$L:$L,MATCH(AM$7,'Criterio de matriz competencias'!$A:$A,0)),"")</f>
        <v>Periódica</v>
      </c>
      <c r="AN4" s="22" t="str">
        <f>IFERROR(INDEX('Criterio de matriz competencias'!$L:$L,MATCH(AN$7,'Criterio de matriz competencias'!$A:$A,0)),"")</f>
        <v>Periódica</v>
      </c>
      <c r="AO4" s="22" t="str">
        <f>IFERROR(INDEX('Criterio de matriz competencias'!$L:$L,MATCH(AO$7,'Criterio de matriz competencias'!$A:$A,0)),"")</f>
        <v>Periódica</v>
      </c>
      <c r="AP4" s="22" t="str">
        <f>IFERROR(INDEX('Criterio de matriz competencias'!$L:$L,MATCH(AP$7,'Criterio de matriz competencias'!$A:$A,0)),"")</f>
        <v>Periódica</v>
      </c>
      <c r="AQ4" s="22" t="str">
        <f>IFERROR(INDEX('Criterio de matriz competencias'!$L:$L,MATCH(AQ$7,'Criterio de matriz competencias'!$A:$A,0)),"")</f>
        <v>Periódica</v>
      </c>
      <c r="AR4" s="22" t="str">
        <f>IFERROR(INDEX('Criterio de matriz competencias'!$L:$L,MATCH(AR$7,'Criterio de matriz competencias'!$A:$A,0)),"")</f>
        <v>Periódica</v>
      </c>
      <c r="AS4" s="22" t="str">
        <f>IFERROR(INDEX('Criterio de matriz competencias'!$L:$L,MATCH(AS$7,'Criterio de matriz competencias'!$A:$A,0)),"")</f>
        <v>Periódica</v>
      </c>
      <c r="AT4" s="22" t="str">
        <f>IFERROR(INDEX('Criterio de matriz competencias'!$L:$L,MATCH(AT$7,'Criterio de matriz competencias'!$A:$A,0)),"")</f>
        <v>Periódica</v>
      </c>
      <c r="AU4" s="22" t="str">
        <f>IFERROR(INDEX('Criterio de matriz competencias'!$L:$L,MATCH(AU$7,'Criterio de matriz competencias'!$A:$A,0)),"")</f>
        <v>Periódica</v>
      </c>
      <c r="AV4" s="22" t="str">
        <f>IFERROR(INDEX('Criterio de matriz competencias'!$L:$L,MATCH(AV$7,'Criterio de matriz competencias'!$A:$A,0)),"")</f>
        <v>Periódica</v>
      </c>
      <c r="AW4" s="22" t="str">
        <f>IFERROR(INDEX('Criterio de matriz competencias'!$L:$L,MATCH(AW$7,'Criterio de matriz competencias'!$A:$A,0)),"")</f>
        <v>Periódica</v>
      </c>
      <c r="AX4" s="22" t="str">
        <f>IFERROR(INDEX('Criterio de matriz competencias'!$L:$L,MATCH(AX$7,'Criterio de matriz competencias'!$A:$A,0)),"")</f>
        <v>Periódica</v>
      </c>
      <c r="AY4" s="22" t="str">
        <f>IFERROR(INDEX('Criterio de matriz competencias'!$L:$L,MATCH(AY$7,'Criterio de matriz competencias'!$A:$A,0)),"")</f>
        <v>Periódica</v>
      </c>
      <c r="AZ4" s="22" t="str">
        <f>IFERROR(INDEX('Criterio de matriz competencias'!$L:$L,MATCH(AZ$7,'Criterio de matriz competencias'!$A:$A,0)),"")</f>
        <v>Periódica</v>
      </c>
      <c r="BA4" s="22" t="str">
        <f>IFERROR(INDEX('Criterio de matriz competencias'!$L:$L,MATCH(BA$7,'Criterio de matriz competencias'!$A:$A,0)),"")</f>
        <v>Periódica</v>
      </c>
      <c r="BB4" s="22" t="str">
        <f>IFERROR(INDEX('Criterio de matriz competencias'!$L:$L,MATCH(BB$7,'Criterio de matriz competencias'!$A:$A,0)),"")</f>
        <v>Periódica</v>
      </c>
      <c r="BC4" s="22" t="str">
        <f>IFERROR(INDEX('Criterio de matriz competencias'!$L:$L,MATCH(BC$7,'Criterio de matriz competencias'!$A:$A,0)),"")</f>
        <v>Evento</v>
      </c>
      <c r="BD4" s="22" t="str">
        <f>IFERROR(INDEX('Criterio de matriz competencias'!$L:$L,MATCH(BD$7,'Criterio de matriz competencias'!$A:$A,0)),"")</f>
        <v>Evento</v>
      </c>
      <c r="BE4" s="22" t="str">
        <f>IFERROR(INDEX('Criterio de matriz competencias'!$L:$L,MATCH(BE$7,'Criterio de matriz competencias'!$A:$A,0)),"")</f>
        <v>Evento</v>
      </c>
      <c r="BF4" s="22" t="str">
        <f>IFERROR(INDEX('Criterio de matriz competencias'!$L:$L,MATCH(BF$7,'Criterio de matriz competencias'!$A:$A,0)),"")</f>
        <v>Periódica</v>
      </c>
      <c r="BG4" s="22" t="str">
        <f>IFERROR(INDEX('Criterio de matriz competencias'!$L:$L,MATCH(BG$7,'Criterio de matriz competencias'!$A:$A,0)),"")</f>
        <v>Periódica</v>
      </c>
      <c r="BH4" s="22" t="str">
        <f>IFERROR(INDEX('Criterio de matriz competencias'!$L:$L,MATCH(BH$7,'Criterio de matriz competencias'!$A:$A,0)),"")</f>
        <v>Periódica</v>
      </c>
      <c r="BI4" s="22" t="str">
        <f>IFERROR(INDEX('Criterio de matriz competencias'!$L:$L,MATCH(BI$7,'Criterio de matriz competencias'!$A:$A,0)),"")</f>
        <v>Periódica</v>
      </c>
      <c r="BJ4" s="22" t="str">
        <f>IFERROR(INDEX('Criterio de matriz competencias'!$L:$L,MATCH(BJ$7,'Criterio de matriz competencias'!$A:$A,0)),"")</f>
        <v>Periódica</v>
      </c>
      <c r="BK4" s="22" t="str">
        <f>IFERROR(INDEX('Criterio de matriz competencias'!$L:$L,MATCH(BK$7,'Criterio de matriz competencias'!$A:$A,0)),"")</f>
        <v>Periódica</v>
      </c>
      <c r="BL4" s="22" t="str">
        <f>IFERROR(INDEX('Criterio de matriz competencias'!$L:$L,MATCH(BL$7,'Criterio de matriz competencias'!$A:$A,0)),"")</f>
        <v>Periódica</v>
      </c>
      <c r="BM4" s="22" t="str">
        <f>IFERROR(INDEX('Criterio de matriz competencias'!$L:$L,MATCH(BM$7,'Criterio de matriz competencias'!$A:$A,0)),"")</f>
        <v/>
      </c>
      <c r="BN4" s="22" t="str">
        <f>IFERROR(INDEX('Criterio de matriz competencias'!$L:$L,MATCH(BN$7,'Criterio de matriz competencias'!$A:$A,0)),"")</f>
        <v/>
      </c>
      <c r="BO4" s="22" t="str">
        <f>IFERROR(INDEX('Criterio de matriz competencias'!$L:$L,MATCH(BO$7,'Criterio de matriz competencias'!$A:$A,0)),"")</f>
        <v/>
      </c>
      <c r="BP4" s="22" t="str">
        <f>IFERROR(INDEX('Criterio de matriz competencias'!$L:$L,MATCH(BP$7,'Criterio de matriz competencias'!$A:$A,0)),"")</f>
        <v/>
      </c>
      <c r="BQ4" s="22" t="str">
        <f>IFERROR(INDEX('Criterio de matriz competencias'!$L:$L,MATCH(BQ$7,'Criterio de matriz competencias'!$A:$A,0)),"")</f>
        <v/>
      </c>
      <c r="BR4" s="22" t="str">
        <f>IFERROR(INDEX('Criterio de matriz competencias'!$L:$L,MATCH(BR$7,'Criterio de matriz competencias'!$A:$A,0)),"")</f>
        <v/>
      </c>
      <c r="BS4" s="22" t="str">
        <f>IFERROR(INDEX('Criterio de matriz competencias'!$L:$L,MATCH(BS$7,'Criterio de matriz competencias'!$A:$A,0)),"")</f>
        <v/>
      </c>
      <c r="BT4" s="22" t="str">
        <f>IFERROR(INDEX('Criterio de matriz competencias'!$L:$L,MATCH(BT$7,'Criterio de matriz competencias'!$A:$A,0)),"")</f>
        <v/>
      </c>
      <c r="BU4" s="22" t="str">
        <f>IFERROR(INDEX('Criterio de matriz competencias'!$L:$L,MATCH(BU$7,'Criterio de matriz competencias'!$A:$A,0)),"")</f>
        <v/>
      </c>
    </row>
    <row r="5" spans="1:74" ht="14.4" customHeight="1" x14ac:dyDescent="0.3">
      <c r="B5" s="58"/>
      <c r="C5" s="22"/>
      <c r="D5" s="22"/>
      <c r="E5" s="22"/>
      <c r="F5" s="22"/>
      <c r="G5" s="22"/>
      <c r="H5" s="22"/>
      <c r="I5" s="81"/>
      <c r="J5" s="22"/>
      <c r="K5" s="22"/>
      <c r="L5" s="22"/>
      <c r="M5" s="22" t="s">
        <v>20</v>
      </c>
      <c r="N5" s="22">
        <f>IFERROR(INDEX('Criterio de matriz competencias'!$M:$M,MATCH(N$7,'Criterio de matriz competencias'!$A:$A,0)),"")</f>
        <v>0</v>
      </c>
      <c r="O5" s="22">
        <f>IFERROR(INDEX('Criterio de matriz competencias'!$M:$M,MATCH(O$7,'Criterio de matriz competencias'!$A:$A,0)),"")</f>
        <v>365</v>
      </c>
      <c r="P5" s="22">
        <f>IFERROR(INDEX('Criterio de matriz competencias'!$M:$M,MATCH(P$7,'Criterio de matriz competencias'!$A:$A,0)),"")</f>
        <v>0</v>
      </c>
      <c r="Q5" s="22">
        <f>IFERROR(INDEX('Criterio de matriz competencias'!$M:$M,MATCH(Q$7,'Criterio de matriz competencias'!$A:$A,0)),"")</f>
        <v>0</v>
      </c>
      <c r="R5" s="22">
        <f>IFERROR(INDEX('Criterio de matriz competencias'!$M:$M,MATCH(R$7,'Criterio de matriz competencias'!$A:$A,0)),"")</f>
        <v>365</v>
      </c>
      <c r="S5" s="22">
        <f>IFERROR(INDEX('Criterio de matriz competencias'!$M:$M,MATCH(S$7,'Criterio de matriz competencias'!$A:$A,0)),"")</f>
        <v>0</v>
      </c>
      <c r="T5" s="22">
        <f>IFERROR(INDEX('Criterio de matriz competencias'!$M:$M,MATCH(T$7,'Criterio de matriz competencias'!$A:$A,0)),"")</f>
        <v>365</v>
      </c>
      <c r="U5" s="22">
        <f>IFERROR(INDEX('Criterio de matriz competencias'!$M:$M,MATCH(U$7,'Criterio de matriz competencias'!$A:$A,0)),"")</f>
        <v>365</v>
      </c>
      <c r="V5" s="22">
        <f>IFERROR(INDEX('Criterio de matriz competencias'!$M:$M,MATCH(V$7,'Criterio de matriz competencias'!$A:$A,0)),"")</f>
        <v>1095</v>
      </c>
      <c r="W5" s="22">
        <f>IFERROR(INDEX('Criterio de matriz competencias'!$M:$M,MATCH(W$7,'Criterio de matriz competencias'!$A:$A,0)),"")</f>
        <v>365</v>
      </c>
      <c r="X5" s="22">
        <f>IFERROR(INDEX('Criterio de matriz competencias'!$M:$M,MATCH(X$7,'Criterio de matriz competencias'!$A:$A,0)),"")</f>
        <v>365</v>
      </c>
      <c r="Y5" s="22">
        <f>IFERROR(INDEX('Criterio de matriz competencias'!$M:$M,MATCH(Y$7,'Criterio de matriz competencias'!$A:$A,0)),"")</f>
        <v>365</v>
      </c>
      <c r="Z5" s="22">
        <f>IFERROR(INDEX('Criterio de matriz competencias'!$M:$M,MATCH(Z$7,'Criterio de matriz competencias'!$A:$A,0)),"")</f>
        <v>365</v>
      </c>
      <c r="AA5" s="22">
        <f>IFERROR(INDEX('Criterio de matriz competencias'!$M:$M,MATCH(AA$7,'Criterio de matriz competencias'!$A:$A,0)),"")</f>
        <v>365</v>
      </c>
      <c r="AB5" s="22">
        <f>IFERROR(INDEX('Criterio de matriz competencias'!$M:$M,MATCH(AB$7,'Criterio de matriz competencias'!$A:$A,0)),"")</f>
        <v>365</v>
      </c>
      <c r="AC5" s="22">
        <f>IFERROR(INDEX('Criterio de matriz competencias'!$M:$M,MATCH(AC$7,'Criterio de matriz competencias'!$A:$A,0)),"")</f>
        <v>1095</v>
      </c>
      <c r="AD5" s="22">
        <f>IFERROR(INDEX('Criterio de matriz competencias'!$M:$M,MATCH(AD$7,'Criterio de matriz competencias'!$A:$A,0)),"")</f>
        <v>365</v>
      </c>
      <c r="AE5" s="22">
        <f>IFERROR(INDEX('Criterio de matriz competencias'!$M:$M,MATCH(AE$7,'Criterio de matriz competencias'!$A:$A,0)),"")</f>
        <v>365</v>
      </c>
      <c r="AF5" s="22">
        <f>IFERROR(INDEX('Criterio de matriz competencias'!$M:$M,MATCH(AF$7,'Criterio de matriz competencias'!$A:$A,0)),"")</f>
        <v>0</v>
      </c>
      <c r="AG5" s="22">
        <f>IFERROR(INDEX('Criterio de matriz competencias'!$M:$M,MATCH(AG$7,'Criterio de matriz competencias'!$A:$A,0)),"")</f>
        <v>365</v>
      </c>
      <c r="AH5" s="22">
        <f>IFERROR(INDEX('Criterio de matriz competencias'!$M:$M,MATCH(AH$7,'Criterio de matriz competencias'!$A:$A,0)),"")</f>
        <v>365</v>
      </c>
      <c r="AI5" s="22">
        <f>IFERROR(INDEX('Criterio de matriz competencias'!$M:$M,MATCH(AI$7,'Criterio de matriz competencias'!$A:$A,0)),"")</f>
        <v>365</v>
      </c>
      <c r="AJ5" s="22">
        <f>IFERROR(INDEX('Criterio de matriz competencias'!$M:$M,MATCH(AJ$7,'Criterio de matriz competencias'!$A:$A,0)),"")</f>
        <v>365</v>
      </c>
      <c r="AK5" s="22">
        <f>IFERROR(INDEX('Criterio de matriz competencias'!$M:$M,MATCH(AK$7,'Criterio de matriz competencias'!$A:$A,0)),"")</f>
        <v>730</v>
      </c>
      <c r="AL5" s="22">
        <f>IFERROR(INDEX('Criterio de matriz competencias'!$M:$M,MATCH(AL$7,'Criterio de matriz competencias'!$A:$A,0)),"")</f>
        <v>1095</v>
      </c>
      <c r="AM5" s="22">
        <f>IFERROR(INDEX('Criterio de matriz competencias'!$M:$M,MATCH(AM$7,'Criterio de matriz competencias'!$A:$A,0)),"")</f>
        <v>365</v>
      </c>
      <c r="AN5" s="22">
        <f>IFERROR(INDEX('Criterio de matriz competencias'!$M:$M,MATCH(AN$7,'Criterio de matriz competencias'!$A:$A,0)),"")</f>
        <v>365</v>
      </c>
      <c r="AO5" s="22">
        <f>IFERROR(INDEX('Criterio de matriz competencias'!$M:$M,MATCH(AO$7,'Criterio de matriz competencias'!$A:$A,0)),"")</f>
        <v>365</v>
      </c>
      <c r="AP5" s="22">
        <f>IFERROR(INDEX('Criterio de matriz competencias'!$M:$M,MATCH(AP$7,'Criterio de matriz competencias'!$A:$A,0)),"")</f>
        <v>365</v>
      </c>
      <c r="AQ5" s="22">
        <f>IFERROR(INDEX('Criterio de matriz competencias'!$M:$M,MATCH(AQ$7,'Criterio de matriz competencias'!$A:$A,0)),"")</f>
        <v>365</v>
      </c>
      <c r="AR5" s="22">
        <f>IFERROR(INDEX('Criterio de matriz competencias'!$M:$M,MATCH(AR$7,'Criterio de matriz competencias'!$A:$A,0)),"")</f>
        <v>730</v>
      </c>
      <c r="AS5" s="22">
        <f>IFERROR(INDEX('Criterio de matriz competencias'!$M:$M,MATCH(AS$7,'Criterio de matriz competencias'!$A:$A,0)),"")</f>
        <v>365</v>
      </c>
      <c r="AT5" s="22">
        <f>IFERROR(INDEX('Criterio de matriz competencias'!$M:$M,MATCH(AT$7,'Criterio de matriz competencias'!$A:$A,0)),"")</f>
        <v>365</v>
      </c>
      <c r="AU5" s="22">
        <f>IFERROR(INDEX('Criterio de matriz competencias'!$M:$M,MATCH(AU$7,'Criterio de matriz competencias'!$A:$A,0)),"")</f>
        <v>365</v>
      </c>
      <c r="AV5" s="22">
        <f>IFERROR(INDEX('Criterio de matriz competencias'!$M:$M,MATCH(AV$7,'Criterio de matriz competencias'!$A:$A,0)),"")</f>
        <v>365</v>
      </c>
      <c r="AW5" s="22">
        <f>IFERROR(INDEX('Criterio de matriz competencias'!$M:$M,MATCH(AW$7,'Criterio de matriz competencias'!$A:$A,0)),"")</f>
        <v>365</v>
      </c>
      <c r="AX5" s="22">
        <f>IFERROR(INDEX('Criterio de matriz competencias'!$M:$M,MATCH(AX$7,'Criterio de matriz competencias'!$A:$A,0)),"")</f>
        <v>365</v>
      </c>
      <c r="AY5" s="22">
        <f>IFERROR(INDEX('Criterio de matriz competencias'!$M:$M,MATCH(AY$7,'Criterio de matriz competencias'!$A:$A,0)),"")</f>
        <v>365</v>
      </c>
      <c r="AZ5" s="22">
        <f>IFERROR(INDEX('Criterio de matriz competencias'!$M:$M,MATCH(AZ$7,'Criterio de matriz competencias'!$A:$A,0)),"")</f>
        <v>365</v>
      </c>
      <c r="BA5" s="22">
        <f>IFERROR(INDEX('Criterio de matriz competencias'!$M:$M,MATCH(BA$7,'Criterio de matriz competencias'!$A:$A,0)),"")</f>
        <v>365</v>
      </c>
      <c r="BB5" s="22">
        <f>IFERROR(INDEX('Criterio de matriz competencias'!$M:$M,MATCH(BB$7,'Criterio de matriz competencias'!$A:$A,0)),"")</f>
        <v>365</v>
      </c>
      <c r="BC5" s="22">
        <f>IFERROR(INDEX('Criterio de matriz competencias'!$M:$M,MATCH(BC$7,'Criterio de matriz competencias'!$A:$A,0)),"")</f>
        <v>0</v>
      </c>
      <c r="BD5" s="22">
        <f>IFERROR(INDEX('Criterio de matriz competencias'!$M:$M,MATCH(BD$7,'Criterio de matriz competencias'!$A:$A,0)),"")</f>
        <v>0</v>
      </c>
      <c r="BE5" s="22">
        <f>IFERROR(INDEX('Criterio de matriz competencias'!$M:$M,MATCH(BE$7,'Criterio de matriz competencias'!$A:$A,0)),"")</f>
        <v>0</v>
      </c>
      <c r="BF5" s="22">
        <f>IFERROR(INDEX('Criterio de matriz competencias'!$M:$M,MATCH(BF$7,'Criterio de matriz competencias'!$A:$A,0)),"")</f>
        <v>365</v>
      </c>
      <c r="BG5" s="22">
        <f>IFERROR(INDEX('Criterio de matriz competencias'!$M:$M,MATCH(BG$7,'Criterio de matriz competencias'!$A:$A,0)),"")</f>
        <v>365</v>
      </c>
      <c r="BH5" s="22">
        <f>IFERROR(INDEX('Criterio de matriz competencias'!$M:$M,MATCH(BH$7,'Criterio de matriz competencias'!$A:$A,0)),"")</f>
        <v>365</v>
      </c>
      <c r="BI5" s="22">
        <f>IFERROR(INDEX('Criterio de matriz competencias'!$M:$M,MATCH(BI$7,'Criterio de matriz competencias'!$A:$A,0)),"")</f>
        <v>365</v>
      </c>
      <c r="BJ5" s="22">
        <f>IFERROR(INDEX('Criterio de matriz competencias'!$M:$M,MATCH(BJ$7,'Criterio de matriz competencias'!$A:$A,0)),"")</f>
        <v>365</v>
      </c>
      <c r="BK5" s="22">
        <f>IFERROR(INDEX('Criterio de matriz competencias'!$M:$M,MATCH(BK$7,'Criterio de matriz competencias'!$A:$A,0)),"")</f>
        <v>365</v>
      </c>
      <c r="BL5" s="22">
        <f>IFERROR(INDEX('Criterio de matriz competencias'!$M:$M,MATCH(BL$7,'Criterio de matriz competencias'!$A:$A,0)),"")</f>
        <v>365</v>
      </c>
      <c r="BM5" s="22" t="str">
        <f>IFERROR(INDEX('Criterio de matriz competencias'!$M:$M,MATCH(BM$7,'Criterio de matriz competencias'!$A:$A,0)),"")</f>
        <v/>
      </c>
      <c r="BN5" s="22" t="str">
        <f>IFERROR(INDEX('Criterio de matriz competencias'!$M:$M,MATCH(BN$7,'Criterio de matriz competencias'!$A:$A,0)),"")</f>
        <v/>
      </c>
      <c r="BO5" s="22" t="str">
        <f>IFERROR(INDEX('Criterio de matriz competencias'!$M:$M,MATCH(BO$7,'Criterio de matriz competencias'!$A:$A,0)),"")</f>
        <v/>
      </c>
      <c r="BP5" s="22" t="str">
        <f>IFERROR(INDEX('Criterio de matriz competencias'!$M:$M,MATCH(BP$7,'Criterio de matriz competencias'!$A:$A,0)),"")</f>
        <v/>
      </c>
      <c r="BQ5" s="22" t="str">
        <f>IFERROR(INDEX('Criterio de matriz competencias'!$M:$M,MATCH(BQ$7,'Criterio de matriz competencias'!$A:$A,0)),"")</f>
        <v/>
      </c>
      <c r="BR5" s="22" t="str">
        <f>IFERROR(INDEX('Criterio de matriz competencias'!$M:$M,MATCH(BR$7,'Criterio de matriz competencias'!$A:$A,0)),"")</f>
        <v/>
      </c>
      <c r="BS5" s="22" t="str">
        <f>IFERROR(INDEX('Criterio de matriz competencias'!$M:$M,MATCH(BS$7,'Criterio de matriz competencias'!$A:$A,0)),"")</f>
        <v/>
      </c>
      <c r="BT5" s="22" t="str">
        <f>IFERROR(INDEX('Criterio de matriz competencias'!$M:$M,MATCH(BT$7,'Criterio de matriz competencias'!$A:$A,0)),"")</f>
        <v/>
      </c>
      <c r="BU5" s="22" t="str">
        <f>IFERROR(INDEX('Criterio de matriz competencias'!$M:$M,MATCH(BU$7,'Criterio de matriz competencias'!$A:$A,0)),"")</f>
        <v/>
      </c>
    </row>
    <row r="6" spans="1:74" ht="14.4" customHeight="1" x14ac:dyDescent="0.3">
      <c r="B6" s="58"/>
      <c r="C6" s="22"/>
      <c r="D6" s="22"/>
      <c r="E6" s="22"/>
      <c r="F6" s="22"/>
      <c r="G6" s="22"/>
      <c r="H6" s="22"/>
      <c r="I6" s="81"/>
      <c r="J6" s="22"/>
      <c r="K6" s="22"/>
      <c r="L6" s="22"/>
      <c r="M6" s="81" t="s">
        <v>21</v>
      </c>
      <c r="N6" s="22">
        <f>IFERROR(INDEX('Criterio de matriz competencias'!$N:$N,MATCH(N$7,'Criterio de matriz competencias'!$A:$A,0)),"")</f>
        <v>1</v>
      </c>
      <c r="O6" s="22">
        <f>IFERROR(INDEX('Criterio de matriz competencias'!$N:$N,MATCH(O$7,'Criterio de matriz competencias'!$A:$A,0)),"")</f>
        <v>1</v>
      </c>
      <c r="P6" s="22">
        <f>IFERROR(INDEX('Criterio de matriz competencias'!$N:$N,MATCH(P$7,'Criterio de matriz competencias'!$A:$A,0)),"")</f>
        <v>1</v>
      </c>
      <c r="Q6" s="22">
        <f>IFERROR(INDEX('Criterio de matriz competencias'!$N:$N,MATCH(Q$7,'Criterio de matriz competencias'!$A:$A,0)),"")</f>
        <v>1</v>
      </c>
      <c r="R6" s="22">
        <f>IFERROR(INDEX('Criterio de matriz competencias'!$N:$N,MATCH(R$7,'Criterio de matriz competencias'!$A:$A,0)),"")</f>
        <v>1</v>
      </c>
      <c r="S6" s="22">
        <f>IFERROR(INDEX('Criterio de matriz competencias'!$N:$N,MATCH(S$7,'Criterio de matriz competencias'!$A:$A,0)),"")</f>
        <v>1</v>
      </c>
      <c r="T6" s="22">
        <f>IFERROR(INDEX('Criterio de matriz competencias'!$N:$N,MATCH(T$7,'Criterio de matriz competencias'!$A:$A,0)),"")</f>
        <v>1</v>
      </c>
      <c r="U6" s="22">
        <f>IFERROR(INDEX('Criterio de matriz competencias'!$N:$N,MATCH(U$7,'Criterio de matriz competencias'!$A:$A,0)),"")</f>
        <v>1</v>
      </c>
      <c r="V6" s="22">
        <f>IFERROR(INDEX('Criterio de matriz competencias'!$N:$N,MATCH(V$7,'Criterio de matriz competencias'!$A:$A,0)),"")</f>
        <v>2</v>
      </c>
      <c r="W6" s="22">
        <f>IFERROR(INDEX('Criterio de matriz competencias'!$N:$N,MATCH(W$7,'Criterio de matriz competencias'!$A:$A,0)),"")</f>
        <v>2</v>
      </c>
      <c r="X6" s="22">
        <f>IFERROR(INDEX('Criterio de matriz competencias'!$N:$N,MATCH(X$7,'Criterio de matriz competencias'!$A:$A,0)),"")</f>
        <v>8</v>
      </c>
      <c r="Y6" s="22">
        <f>IFERROR(INDEX('Criterio de matriz competencias'!$N:$N,MATCH(Y$7,'Criterio de matriz competencias'!$A:$A,0)),"")</f>
        <v>1</v>
      </c>
      <c r="Z6" s="22">
        <f>IFERROR(INDEX('Criterio de matriz competencias'!$N:$N,MATCH(Z$7,'Criterio de matriz competencias'!$A:$A,0)),"")</f>
        <v>2</v>
      </c>
      <c r="AA6" s="22">
        <f>IFERROR(INDEX('Criterio de matriz competencias'!$N:$N,MATCH(AA$7,'Criterio de matriz competencias'!$A:$A,0)),"")</f>
        <v>2</v>
      </c>
      <c r="AB6" s="22">
        <f>IFERROR(INDEX('Criterio de matriz competencias'!$N:$N,MATCH(AB$7,'Criterio de matriz competencias'!$A:$A,0)),"")</f>
        <v>1</v>
      </c>
      <c r="AC6" s="22">
        <f>IFERROR(INDEX('Criterio de matriz competencias'!$N:$N,MATCH(AC$7,'Criterio de matriz competencias'!$A:$A,0)),"")</f>
        <v>4</v>
      </c>
      <c r="AD6" s="22">
        <f>IFERROR(INDEX('Criterio de matriz competencias'!$N:$N,MATCH(AD$7,'Criterio de matriz competencias'!$A:$A,0)),"")</f>
        <v>1</v>
      </c>
      <c r="AE6" s="22">
        <f>IFERROR(INDEX('Criterio de matriz competencias'!$N:$N,MATCH(AE$7,'Criterio de matriz competencias'!$A:$A,0)),"")</f>
        <v>8</v>
      </c>
      <c r="AF6" s="22">
        <f>IFERROR(INDEX('Criterio de matriz competencias'!$N:$N,MATCH(AF$7,'Criterio de matriz competencias'!$A:$A,0)),"")</f>
        <v>1</v>
      </c>
      <c r="AG6" s="22">
        <f>IFERROR(INDEX('Criterio de matriz competencias'!$N:$N,MATCH(AG$7,'Criterio de matriz competencias'!$A:$A,0)),"")</f>
        <v>2</v>
      </c>
      <c r="AH6" s="22">
        <f>IFERROR(INDEX('Criterio de matriz competencias'!$N:$N,MATCH(AH$7,'Criterio de matriz competencias'!$A:$A,0)),"")</f>
        <v>1</v>
      </c>
      <c r="AI6" s="22">
        <f>IFERROR(INDEX('Criterio de matriz competencias'!$N:$N,MATCH(AI$7,'Criterio de matriz competencias'!$A:$A,0)),"")</f>
        <v>1</v>
      </c>
      <c r="AJ6" s="22">
        <f>IFERROR(INDEX('Criterio de matriz competencias'!$N:$N,MATCH(AJ$7,'Criterio de matriz competencias'!$A:$A,0)),"")</f>
        <v>1</v>
      </c>
      <c r="AK6" s="22">
        <f>IFERROR(INDEX('Criterio de matriz competencias'!$N:$N,MATCH(AK$7,'Criterio de matriz competencias'!$A:$A,0)),"")</f>
        <v>1</v>
      </c>
      <c r="AL6" s="22">
        <f>IFERROR(INDEX('Criterio de matriz competencias'!$N:$N,MATCH(AL$7,'Criterio de matriz competencias'!$A:$A,0)),"")</f>
        <v>5</v>
      </c>
      <c r="AM6" s="22">
        <f>IFERROR(INDEX('Criterio de matriz competencias'!$N:$N,MATCH(AM$7,'Criterio de matriz competencias'!$A:$A,0)),"")</f>
        <v>1</v>
      </c>
      <c r="AN6" s="22">
        <f>IFERROR(INDEX('Criterio de matriz competencias'!$N:$N,MATCH(AN$7,'Criterio de matriz competencias'!$A:$A,0)),"")</f>
        <v>1</v>
      </c>
      <c r="AO6" s="22">
        <f>IFERROR(INDEX('Criterio de matriz competencias'!$N:$N,MATCH(AO$7,'Criterio de matriz competencias'!$A:$A,0)),"")</f>
        <v>1</v>
      </c>
      <c r="AP6" s="22">
        <f>IFERROR(INDEX('Criterio de matriz competencias'!$N:$N,MATCH(AP$7,'Criterio de matriz competencias'!$A:$A,0)),"")</f>
        <v>1</v>
      </c>
      <c r="AQ6" s="22">
        <f>IFERROR(INDEX('Criterio de matriz competencias'!$N:$N,MATCH(AQ$7,'Criterio de matriz competencias'!$A:$A,0)),"")</f>
        <v>8</v>
      </c>
      <c r="AR6" s="22">
        <f>IFERROR(INDEX('Criterio de matriz competencias'!$N:$N,MATCH(AR$7,'Criterio de matriz competencias'!$A:$A,0)),"")</f>
        <v>1</v>
      </c>
      <c r="AS6" s="22">
        <f>IFERROR(INDEX('Criterio de matriz competencias'!$N:$N,MATCH(AS$7,'Criterio de matriz competencias'!$A:$A,0)),"")</f>
        <v>1</v>
      </c>
      <c r="AT6" s="22">
        <f>IFERROR(INDEX('Criterio de matriz competencias'!$N:$N,MATCH(AT$7,'Criterio de matriz competencias'!$A:$A,0)),"")</f>
        <v>1</v>
      </c>
      <c r="AU6" s="22">
        <f>IFERROR(INDEX('Criterio de matriz competencias'!$N:$N,MATCH(AU$7,'Criterio de matriz competencias'!$A:$A,0)),"")</f>
        <v>1</v>
      </c>
      <c r="AV6" s="22">
        <f>IFERROR(INDEX('Criterio de matriz competencias'!$N:$N,MATCH(AV$7,'Criterio de matriz competencias'!$A:$A,0)),"")</f>
        <v>2</v>
      </c>
      <c r="AW6" s="22">
        <f>IFERROR(INDEX('Criterio de matriz competencias'!$N:$N,MATCH(AW$7,'Criterio de matriz competencias'!$A:$A,0)),"")</f>
        <v>1</v>
      </c>
      <c r="AX6" s="22">
        <f>IFERROR(INDEX('Criterio de matriz competencias'!$N:$N,MATCH(AX$7,'Criterio de matriz competencias'!$A:$A,0)),"")</f>
        <v>1</v>
      </c>
      <c r="AY6" s="22">
        <f>IFERROR(INDEX('Criterio de matriz competencias'!$N:$N,MATCH(AY$7,'Criterio de matriz competencias'!$A:$A,0)),"")</f>
        <v>1</v>
      </c>
      <c r="AZ6" s="22">
        <f>IFERROR(INDEX('Criterio de matriz competencias'!$N:$N,MATCH(AZ$7,'Criterio de matriz competencias'!$A:$A,0)),"")</f>
        <v>1</v>
      </c>
      <c r="BA6" s="22">
        <f>IFERROR(INDEX('Criterio de matriz competencias'!$N:$N,MATCH(BA$7,'Criterio de matriz competencias'!$A:$A,0)),"")</f>
        <v>1</v>
      </c>
      <c r="BB6" s="22">
        <f>IFERROR(INDEX('Criterio de matriz competencias'!$N:$N,MATCH(BB$7,'Criterio de matriz competencias'!$A:$A,0)),"")</f>
        <v>1</v>
      </c>
      <c r="BC6" s="22">
        <f>IFERROR(INDEX('Criterio de matriz competencias'!$N:$N,MATCH(BC$7,'Criterio de matriz competencias'!$A:$A,0)),"")</f>
        <v>8</v>
      </c>
      <c r="BD6" s="22">
        <f>IFERROR(INDEX('Criterio de matriz competencias'!$N:$N,MATCH(BD$7,'Criterio de matriz competencias'!$A:$A,0)),"")</f>
        <v>1</v>
      </c>
      <c r="BE6" s="22">
        <f>IFERROR(INDEX('Criterio de matriz competencias'!$N:$N,MATCH(BE$7,'Criterio de matriz competencias'!$A:$A,0)),"")</f>
        <v>1</v>
      </c>
      <c r="BF6" s="22">
        <f>IFERROR(INDEX('Criterio de matriz competencias'!$N:$N,MATCH(BF$7,'Criterio de matriz competencias'!$A:$A,0)),"")</f>
        <v>1</v>
      </c>
      <c r="BG6" s="22">
        <f>IFERROR(INDEX('Criterio de matriz competencias'!$N:$N,MATCH(BG$7,'Criterio de matriz competencias'!$A:$A,0)),"")</f>
        <v>1</v>
      </c>
      <c r="BH6" s="22">
        <f>IFERROR(INDEX('Criterio de matriz competencias'!$N:$N,MATCH(BH$7,'Criterio de matriz competencias'!$A:$A,0)),"")</f>
        <v>1</v>
      </c>
      <c r="BI6" s="22">
        <f>IFERROR(INDEX('Criterio de matriz competencias'!$N:$N,MATCH(BI$7,'Criterio de matriz competencias'!$A:$A,0)),"")</f>
        <v>4</v>
      </c>
      <c r="BJ6" s="22">
        <f>IFERROR(INDEX('Criterio de matriz competencias'!$N:$N,MATCH(BJ$7,'Criterio de matriz competencias'!$A:$A,0)),"")</f>
        <v>1</v>
      </c>
      <c r="BK6" s="22">
        <f>IFERROR(INDEX('Criterio de matriz competencias'!$N:$N,MATCH(BK$7,'Criterio de matriz competencias'!$A:$A,0)),"")</f>
        <v>1</v>
      </c>
      <c r="BL6" s="22">
        <f>IFERROR(INDEX('Criterio de matriz competencias'!$N:$N,MATCH(BL$7,'Criterio de matriz competencias'!$A:$A,0)),"")</f>
        <v>8</v>
      </c>
      <c r="BM6" s="22" t="str">
        <f>IFERROR(INDEX('Criterio de matriz competencias'!$N:$N,MATCH(BM$7,'Criterio de matriz competencias'!$A:$A,0)),"")</f>
        <v/>
      </c>
      <c r="BN6" s="22" t="str">
        <f>IFERROR(INDEX('Criterio de matriz competencias'!$N:$N,MATCH(BN$7,'Criterio de matriz competencias'!$A:$A,0)),"")</f>
        <v/>
      </c>
      <c r="BO6" s="22" t="str">
        <f>IFERROR(INDEX('Criterio de matriz competencias'!$N:$N,MATCH(BO$7,'Criterio de matriz competencias'!$A:$A,0)),"")</f>
        <v/>
      </c>
      <c r="BP6" s="22" t="str">
        <f>IFERROR(INDEX('Criterio de matriz competencias'!$N:$N,MATCH(BP$7,'Criterio de matriz competencias'!$A:$A,0)),"")</f>
        <v/>
      </c>
      <c r="BQ6" s="22" t="str">
        <f>IFERROR(INDEX('Criterio de matriz competencias'!$N:$N,MATCH(BQ$7,'Criterio de matriz competencias'!$A:$A,0)),"")</f>
        <v/>
      </c>
      <c r="BR6" s="22" t="str">
        <f>IFERROR(INDEX('Criterio de matriz competencias'!$N:$N,MATCH(BR$7,'Criterio de matriz competencias'!$A:$A,0)),"")</f>
        <v/>
      </c>
      <c r="BS6" s="22" t="str">
        <f>IFERROR(INDEX('Criterio de matriz competencias'!$N:$N,MATCH(BS$7,'Criterio de matriz competencias'!$A:$A,0)),"")</f>
        <v/>
      </c>
      <c r="BT6" s="22" t="str">
        <f>IFERROR(INDEX('Criterio de matriz competencias'!$N:$N,MATCH(BT$7,'Criterio de matriz competencias'!$A:$A,0)),"")</f>
        <v/>
      </c>
      <c r="BU6" s="22" t="str">
        <f>IFERROR(INDEX('Criterio de matriz competencias'!$N:$N,MATCH(BU$7,'Criterio de matriz competencias'!$A:$A,0)),"")</f>
        <v/>
      </c>
    </row>
    <row r="7" spans="1:74" s="151" customFormat="1" ht="119.1" customHeight="1" x14ac:dyDescent="0.3">
      <c r="A7" s="141"/>
      <c r="B7" s="59" t="s">
        <v>22</v>
      </c>
      <c r="C7" s="139" t="s">
        <v>23</v>
      </c>
      <c r="D7" s="139" t="s">
        <v>24</v>
      </c>
      <c r="E7" s="139" t="s">
        <v>25</v>
      </c>
      <c r="F7" s="139" t="s">
        <v>26</v>
      </c>
      <c r="G7" s="152" t="s">
        <v>27</v>
      </c>
      <c r="H7" s="152" t="s">
        <v>28</v>
      </c>
      <c r="I7" s="140" t="s">
        <v>29</v>
      </c>
      <c r="J7" s="139" t="s">
        <v>30</v>
      </c>
      <c r="K7" s="139" t="s">
        <v>30</v>
      </c>
      <c r="L7" s="139" t="s">
        <v>30</v>
      </c>
      <c r="M7" s="139" t="s">
        <v>30</v>
      </c>
      <c r="N7" s="142" t="str" cm="1">
        <f t="array" ref="N7:BL7">TRANSPOSE(_xlfn._xlws.FILTER('Criterio de matriz competencias'!$A$2:$A$1000,'Criterio de matriz competencias'!$A$2:$A$1000&lt;&gt;""))</f>
        <v>Programa de Aire</v>
      </c>
      <c r="O7" s="143" t="str">
        <v>Conciencia Ambiental</v>
      </c>
      <c r="P7" s="144" t="str">
        <v xml:space="preserve">Control de Documentos e Informacion de HSE </v>
      </c>
      <c r="Q7" s="145" t="str">
        <v xml:space="preserve"> Acciones Correctivas y Preventivas (CAPA)</v>
      </c>
      <c r="R7" s="145" t="str">
        <v>Seguridad Basada en el Comportamiento (Observation Program) // HSMS.043 / Autoridad de Detener el Trabajo</v>
      </c>
      <c r="S7" s="145" t="str">
        <v>Identificacion de Peligros y Evaluacion de Riesgos</v>
      </c>
      <c r="T7" s="145" t="str">
        <v xml:space="preserve"> Plan de Respuesta ante Eemergencias / HSMS.010 /Primeros Axulios &amp; RCP/DEA / HSMSWT-002 / Patogenos Trasnmitidos por la Sangre</v>
      </c>
      <c r="U7" s="145" t="str">
        <v>Reporte y Gestion de Incidentes HSE (Todos)</v>
      </c>
      <c r="V7" s="145" t="str">
        <v>Reporte, Gestion e Investigacion de Incidentes HSE (supervisores / investigadores (rol))</v>
      </c>
      <c r="W7" s="145" t="str">
        <v>Gruas y Equipos de Izaje (Todos)</v>
      </c>
      <c r="X7" s="145" t="str">
        <v>HSMS.007 / Gruas y Equipos de Izaje (Operadores)</v>
      </c>
      <c r="Y7" s="146" t="str">
        <v>Proteccion Contra Incendios (Todos)</v>
      </c>
      <c r="Z7" s="146" t="str">
        <v>Proteccion Contra Incendios (Brigadistas)</v>
      </c>
      <c r="AA7" s="146" t="str">
        <v>Primeros Auxilios (Brigadistas)</v>
      </c>
      <c r="AB7" s="147" t="str">
        <v>Seguridad Electrica (Todos)</v>
      </c>
      <c r="AC7" s="147" t="str">
        <v>Seguridad Electrica (Personal Autorizado)</v>
      </c>
      <c r="AD7" s="145" t="str">
        <v>Camiones Industriales Motorizados (PIT) (Todos)</v>
      </c>
      <c r="AE7" s="145" t="str">
        <v>Camiones Industriales Motorizados (PIT) (Op. Montacargas)</v>
      </c>
      <c r="AF7" s="147" t="str">
        <v>Control de Energias Peligrosas (LOTO) (Todos)</v>
      </c>
      <c r="AG7" s="147" t="str">
        <v>Control de Energias Peligrosas (LOTO) (Empleados Autorizados)</v>
      </c>
      <c r="AH7" s="148" t="str">
        <v>Seguridad aplicada al Pozo &amp; Yacimiento</v>
      </c>
      <c r="AI7" s="149" t="str">
        <v>Las Reglas que Salvan Vidas</v>
      </c>
      <c r="AJ7" s="145" t="str">
        <v xml:space="preserve">Resguardo de Maquinas &amp; Equipos </v>
      </c>
      <c r="AK7" s="145" t="str">
        <v>Conduccion y Gestion de Viajes (Todos)</v>
      </c>
      <c r="AL7" s="145" t="str">
        <v>Conduccion y Gestion de Viajes (Conductores)</v>
      </c>
      <c r="AM7" s="146" t="str">
        <v>Patogenos Transmitidos por la Sangre</v>
      </c>
      <c r="AN7" s="149" t="str">
        <v>Conservacion Auditiva</v>
      </c>
      <c r="AO7" s="149" t="str">
        <v xml:space="preserve">Ergonomia //  / Levantamiento &amp; Seguridad en la Espalda </v>
      </c>
      <c r="AP7" s="149" t="str">
        <v>Superficies Elevadas (Todos)</v>
      </c>
      <c r="AQ7" s="149" t="str">
        <v>Superficies Elevadas (Personal Habilitado)</v>
      </c>
      <c r="AR7" s="149" t="str">
        <v>Seguridad Quimica (Todos)</v>
      </c>
      <c r="AS7" s="149" t="str">
        <v>Seguridad Quimica (Mantenimiento)</v>
      </c>
      <c r="AT7" s="149" t="str">
        <v>Seguridad Quimica (Contratistas)</v>
      </c>
      <c r="AU7" s="149" t="str">
        <v>Seguridad para Trabajos en Caliente</v>
      </c>
      <c r="AV7" s="149" t="str">
        <v>Seguridad con la Radiacion</v>
      </c>
      <c r="AW7" s="149" t="str">
        <v>Equipo de Proteccion Personal (PPE)</v>
      </c>
      <c r="AX7" s="149" t="str">
        <v>Proteccion Respiratoria</v>
      </c>
      <c r="AY7" s="145" t="str">
        <v xml:space="preserve">Seguridad con Escaleras </v>
      </c>
      <c r="AZ7" s="145" t="str">
        <v>Seguridad con Escaleras // Estantes de Almacenamiento</v>
      </c>
      <c r="BA7" s="144" t="str">
        <v>Responsabilidades del Supervisor</v>
      </c>
      <c r="BB7" s="144" t="str">
        <v>Espacios Confinados (Todos)</v>
      </c>
      <c r="BC7" s="144" t="str">
        <v>HSMS.017 / Espacios Confinados (Entrantes)</v>
      </c>
      <c r="BD7" s="144" t="str">
        <v>Programa de Agua (Todos)</v>
      </c>
      <c r="BE7" s="144" t="str">
        <v>Programa de Agua (HSE)</v>
      </c>
      <c r="BF7" s="144" t="str">
        <v>HIV/SIDA y otras enfermedades de transmisión sexual (ETS)</v>
      </c>
      <c r="BG7" s="144" t="str">
        <v>Drogas de abuso (concientización y prevención)</v>
      </c>
      <c r="BH7" s="144" t="str">
        <v>Vida saludable (hábitos, autocuidado y bienestar)</v>
      </c>
      <c r="BI7" s="144" t="str">
        <v>Primeros auxilios y Reanimación Cardio Pulmonar (RCP)</v>
      </c>
      <c r="BJ7" s="144" t="str">
        <v>Prevención cardiovascular (factores de riesgo y señales de alarma)</v>
      </c>
      <c r="BK7" s="144" t="str">
        <v>Efectos del tabaco sobre la salud</v>
      </c>
      <c r="BL7" s="144" t="str">
        <v>Cargadora (Op. Montacargas)</v>
      </c>
      <c r="BM7" s="144"/>
      <c r="BN7" s="144"/>
      <c r="BO7" s="144"/>
      <c r="BP7" s="144"/>
      <c r="BQ7" s="144"/>
      <c r="BR7" s="144"/>
      <c r="BS7" s="144"/>
      <c r="BT7" s="144"/>
      <c r="BU7" s="150"/>
      <c r="BV7" s="150"/>
    </row>
    <row r="8" spans="1:74" ht="15" x14ac:dyDescent="0.3">
      <c r="A8" s="6">
        <v>1</v>
      </c>
      <c r="B8" s="60">
        <f>IF($C8="","",IFERROR(_xlfn.XLOOKUP($C8,tblPersonal[CUIL],tblPersonal[HUB]),""))</f>
        <v>125536</v>
      </c>
      <c r="C8" s="79">
        <v>20302807834</v>
      </c>
      <c r="D8" s="43" t="str">
        <f>IF($C8="","",IFERROR(_xlfn.XLOOKUP($C8,tblPersonal[CUIL],tblPersonal[AP]),""))</f>
        <v>ALDRICH, SERGIO RUBEN</v>
      </c>
      <c r="E8" s="79" t="s">
        <v>31</v>
      </c>
      <c r="F8" s="79" t="s">
        <v>855</v>
      </c>
      <c r="G8" s="7" t="str">
        <f>IF(F8="","",IFERROR(VLOOKUP(TRIM(F8),FID!$A:$C,2,FALSE),""))</f>
        <v xml:space="preserve"> -</v>
      </c>
      <c r="H8" s="7">
        <f>IF(F8="","",IFERROR(VLOOKUP(TRIM(F8),FID!$A:$C,3,FALSE),""))</f>
        <v>10770530</v>
      </c>
      <c r="I8" s="82" t="str" cm="1">
        <f t="array" aca="1" ref="I8" ca="1">IF(COUNTA($J8:$M8)=0,"",_xlfn.LET(
_xlpm.enc,$N$7:$CH$7,
_xlpm.tipo,$N$4:$CH$4,
_xlpm.vig,$N$5:$CH$5,
_xlpm.fec,$N8:$CH8,
_xlpm.req,(
--(UPPER(IFERROR(INDEX('Requisito x Tarea'!$C$2:$BK$101,MATCH(TRIM($J8),'Requisito x Tarea'!$B$2:$B$101,0),MATCH(_xlpm.enc,'Requisito x Tarea'!$C$1:$BK$1,0)),""))="X")
+--(UPPER(IFERROR(INDEX('Requisito x Tarea'!$C$2:$BK$101,MATCH(TRIM($K8),'Requisito x Tarea'!$B$2:$B$101,0),MATCH(_xlpm.enc,'Requisito x Tarea'!$C$1:$BK$1,0)),""))="X")
+--(UPPER(IFERROR(INDEX('Requisito x Tarea'!$C$2:$BK$101,MATCH(TRIM($L8),'Requisito x Tarea'!$B$2:$B$101,0),MATCH(_xlpm.enc,'Requisito x Tarea'!$C$1:$BK$1,0)),""))="X")
+--(UPPER(IFERROR(INDEX('Requisito x Tarea'!$C$2:$BK$101,MATCH(TRIM($M8),'Requisito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>NO APTO</v>
      </c>
      <c r="J8" s="78" t="s">
        <v>33</v>
      </c>
      <c r="K8" s="78" t="s">
        <v>34</v>
      </c>
      <c r="L8" s="78" t="s">
        <v>35</v>
      </c>
      <c r="M8" s="78"/>
      <c r="N8" s="80"/>
      <c r="O8" s="80">
        <v>46134</v>
      </c>
      <c r="P8" s="80"/>
      <c r="Q8" s="80"/>
      <c r="R8" s="80">
        <v>45827</v>
      </c>
      <c r="S8" s="80">
        <v>46006</v>
      </c>
      <c r="T8" s="80"/>
      <c r="U8" s="80">
        <v>46006</v>
      </c>
      <c r="V8" s="80"/>
      <c r="W8" s="80"/>
      <c r="X8" s="80">
        <v>46141</v>
      </c>
      <c r="Y8" s="80">
        <v>45835</v>
      </c>
      <c r="Z8" s="80"/>
      <c r="AA8" s="80"/>
      <c r="AB8" s="80"/>
      <c r="AC8" s="80"/>
      <c r="AD8" s="80"/>
      <c r="AE8" s="80"/>
      <c r="AF8" s="80">
        <v>45827</v>
      </c>
      <c r="AG8" s="80">
        <v>46026</v>
      </c>
      <c r="AH8" s="80"/>
      <c r="AI8" s="80"/>
      <c r="AJ8" s="80"/>
      <c r="AK8" s="80">
        <v>45770</v>
      </c>
      <c r="AL8" s="80">
        <v>46211</v>
      </c>
      <c r="AM8" s="80"/>
      <c r="AN8" s="80"/>
      <c r="AO8" s="80">
        <v>46006</v>
      </c>
      <c r="AP8" s="80">
        <v>46006</v>
      </c>
      <c r="AQ8" s="80"/>
      <c r="AR8" s="80">
        <v>46006</v>
      </c>
      <c r="AS8" s="80"/>
      <c r="AT8" s="80"/>
      <c r="AU8" s="80">
        <v>45835</v>
      </c>
      <c r="AV8" s="80">
        <v>46013</v>
      </c>
      <c r="AW8" s="80">
        <v>46006</v>
      </c>
      <c r="AX8" s="80"/>
      <c r="AY8" s="80">
        <v>46006</v>
      </c>
      <c r="AZ8" s="80"/>
      <c r="BA8" s="80">
        <v>46163</v>
      </c>
      <c r="BB8" s="80"/>
      <c r="BC8" s="80"/>
      <c r="BD8" s="80">
        <v>46134</v>
      </c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</row>
    <row r="9" spans="1:74" ht="15" x14ac:dyDescent="0.3">
      <c r="A9" s="6">
        <v>2</v>
      </c>
      <c r="B9" s="60">
        <f>IF($C9="","",IFERROR(_xlfn.XLOOKUP($C9,tblPersonal[CUIL],tblPersonal[HUB]),""))</f>
        <v>125563</v>
      </c>
      <c r="C9" s="79">
        <v>20309365926</v>
      </c>
      <c r="D9" s="43" t="str">
        <f>IF($C9="","",IFERROR(_xlfn.XLOOKUP($C9,tblPersonal[CUIL],tblPersonal[AP]),""))</f>
        <v>ALVARADO, JOSE RAMON</v>
      </c>
      <c r="E9" s="79" t="s">
        <v>31</v>
      </c>
      <c r="F9" s="79" t="s">
        <v>32</v>
      </c>
      <c r="G9" s="7">
        <f>IF(F9="","",IFERROR(VLOOKUP(TRIM(F9),FID!$A:$C,2,FALSE),""))</f>
        <v>2452</v>
      </c>
      <c r="H9" s="7">
        <f>IF(F9="","",IFERROR(VLOOKUP(TRIM(F9),FID!$A:$C,3,FALSE),""))</f>
        <v>10770512</v>
      </c>
      <c r="I9" s="82" t="str" cm="1">
        <f t="array" aca="1" ref="I9" ca="1">IF(COUNTA($J9:$M9)=0,"",_xlfn.LET(
_xlpm.enc,$N$7:$CH$7,
_xlpm.tipo,$N$4:$CH$4,
_xlpm.vig,$N$5:$CH$5,
_xlpm.fec,$N9:$CH9,
_xlpm.req,(
--(UPPER(IFERROR(INDEX('Requisito x Tarea'!$C$2:$BK$101,MATCH(TRIM($J9),'Requisito x Tarea'!$B$2:$B$101,0),MATCH(_xlpm.enc,'Requisito x Tarea'!$C$1:$BK$1,0)),""))="X")
+--(UPPER(IFERROR(INDEX('Requisito x Tarea'!$C$2:$BK$101,MATCH(TRIM($K9),'Requisito x Tarea'!$B$2:$B$101,0),MATCH(_xlpm.enc,'Requisito x Tarea'!$C$1:$BK$1,0)),""))="X")
+--(UPPER(IFERROR(INDEX('Requisito x Tarea'!$C$2:$BK$101,MATCH(TRIM($L9),'Requisito x Tarea'!$B$2:$B$101,0),MATCH(_xlpm.enc,'Requisito x Tarea'!$C$1:$BK$1,0)),""))="X")
+--(UPPER(IFERROR(INDEX('Requisito x Tarea'!$C$2:$BK$101,MATCH(TRIM($M9),'Requisito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>NO APTO</v>
      </c>
      <c r="J9" s="78" t="s">
        <v>33</v>
      </c>
      <c r="K9" s="78" t="s">
        <v>34</v>
      </c>
      <c r="L9" s="78"/>
      <c r="M9" s="78"/>
      <c r="N9" s="80"/>
      <c r="O9" s="80">
        <v>46162</v>
      </c>
      <c r="P9" s="80"/>
      <c r="Q9" s="80"/>
      <c r="R9" s="80">
        <v>45838</v>
      </c>
      <c r="S9" s="80">
        <v>46009</v>
      </c>
      <c r="T9" s="80"/>
      <c r="U9" s="80">
        <v>46009</v>
      </c>
      <c r="V9" s="80"/>
      <c r="W9" s="80"/>
      <c r="X9" s="80">
        <v>46140</v>
      </c>
      <c r="Y9" s="80">
        <v>46014</v>
      </c>
      <c r="Z9" s="80"/>
      <c r="AA9" s="80"/>
      <c r="AB9" s="80"/>
      <c r="AC9" s="80"/>
      <c r="AD9" s="80"/>
      <c r="AE9" s="80"/>
      <c r="AF9" s="80">
        <v>45838</v>
      </c>
      <c r="AG9" s="80">
        <v>46162</v>
      </c>
      <c r="AH9" s="80"/>
      <c r="AI9" s="80"/>
      <c r="AJ9" s="80"/>
      <c r="AK9" s="80">
        <v>45770</v>
      </c>
      <c r="AL9" s="80">
        <v>46743</v>
      </c>
      <c r="AM9" s="80"/>
      <c r="AN9" s="80"/>
      <c r="AO9" s="80">
        <v>46009</v>
      </c>
      <c r="AP9" s="80">
        <v>46014</v>
      </c>
      <c r="AQ9" s="80"/>
      <c r="AR9" s="80">
        <v>46014</v>
      </c>
      <c r="AS9" s="80"/>
      <c r="AT9" s="80"/>
      <c r="AU9" s="80">
        <v>46014</v>
      </c>
      <c r="AV9" s="80"/>
      <c r="AW9" s="80">
        <v>46014</v>
      </c>
      <c r="AX9" s="80"/>
      <c r="AY9" s="80">
        <v>46014</v>
      </c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</row>
    <row r="10" spans="1:74" ht="15" x14ac:dyDescent="0.3">
      <c r="A10" s="6">
        <v>3</v>
      </c>
      <c r="B10" s="60">
        <f>IF($C10="","",IFERROR(_xlfn.XLOOKUP($C10,tblPersonal[CUIL],tblPersonal[HUB]),""))</f>
        <v>125575</v>
      </c>
      <c r="C10" s="79">
        <v>20318182427</v>
      </c>
      <c r="D10" s="43" t="str">
        <f>IF($C10="","",IFERROR(_xlfn.XLOOKUP($C10,tblPersonal[CUIL],tblPersonal[AP]),""))</f>
        <v>CAPURRO, GERARDO DANIEL</v>
      </c>
      <c r="E10" s="79" t="s">
        <v>31</v>
      </c>
      <c r="F10" s="79" t="s">
        <v>32</v>
      </c>
      <c r="G10" s="7">
        <f>IF(F10="","",IFERROR(VLOOKUP(TRIM(F10),FID!$A:$C,2,FALSE),""))</f>
        <v>2452</v>
      </c>
      <c r="H10" s="7">
        <f>IF(F10="","",IFERROR(VLOOKUP(TRIM(F10),FID!$A:$C,3,FALSE),""))</f>
        <v>10770512</v>
      </c>
      <c r="I10" s="82" t="str" cm="1">
        <f t="array" aca="1" ref="I10" ca="1">IF(COUNTA($J10:$M10)=0,"",_xlfn.LET(
_xlpm.enc,$N$7:$CH$7,
_xlpm.tipo,$N$4:$CH$4,
_xlpm.vig,$N$5:$CH$5,
_xlpm.fec,$N10:$CH10,
_xlpm.req,(
--(UPPER(IFERROR(INDEX('Requisito x Tarea'!$C$2:$BK$101,MATCH(TRIM($J10),'Requisito x Tarea'!$B$2:$B$101,0),MATCH(_xlpm.enc,'Requisito x Tarea'!$C$1:$BK$1,0)),""))="X")
+--(UPPER(IFERROR(INDEX('Requisito x Tarea'!$C$2:$BK$101,MATCH(TRIM($K10),'Requisito x Tarea'!$B$2:$B$101,0),MATCH(_xlpm.enc,'Requisito x Tarea'!$C$1:$BK$1,0)),""))="X")
+--(UPPER(IFERROR(INDEX('Requisito x Tarea'!$C$2:$BK$101,MATCH(TRIM($L10),'Requisito x Tarea'!$B$2:$B$101,0),MATCH(_xlpm.enc,'Requisito x Tarea'!$C$1:$BK$1,0)),""))="X")
+--(UPPER(IFERROR(INDEX('Requisito x Tarea'!$C$2:$BK$101,MATCH(TRIM($M10),'Requisito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>NO APTO</v>
      </c>
      <c r="J10" s="78" t="s">
        <v>33</v>
      </c>
      <c r="K10" s="78" t="s">
        <v>34</v>
      </c>
      <c r="L10" s="78"/>
      <c r="M10" s="78"/>
      <c r="N10" s="80"/>
      <c r="O10" s="80"/>
      <c r="P10" s="80"/>
      <c r="Q10" s="80"/>
      <c r="R10" s="80">
        <v>45827</v>
      </c>
      <c r="S10" s="80">
        <v>46009</v>
      </c>
      <c r="T10" s="80"/>
      <c r="U10" s="80">
        <v>46009</v>
      </c>
      <c r="V10" s="80"/>
      <c r="W10" s="80"/>
      <c r="X10" s="80">
        <v>46140</v>
      </c>
      <c r="Y10" s="80">
        <v>45835</v>
      </c>
      <c r="Z10" s="80"/>
      <c r="AA10" s="80"/>
      <c r="AB10" s="80"/>
      <c r="AC10" s="80"/>
      <c r="AD10" s="80"/>
      <c r="AE10" s="80"/>
      <c r="AF10" s="80">
        <v>45827</v>
      </c>
      <c r="AG10" s="80">
        <v>46164</v>
      </c>
      <c r="AH10" s="80"/>
      <c r="AI10" s="80"/>
      <c r="AJ10" s="80"/>
      <c r="AK10" s="80">
        <v>45827</v>
      </c>
      <c r="AL10" s="80">
        <v>47056</v>
      </c>
      <c r="AM10" s="80"/>
      <c r="AN10" s="80"/>
      <c r="AO10" s="80">
        <v>46009</v>
      </c>
      <c r="AP10" s="80"/>
      <c r="AQ10" s="80"/>
      <c r="AR10" s="80"/>
      <c r="AS10" s="80"/>
      <c r="AT10" s="80"/>
      <c r="AU10" s="80">
        <v>45835</v>
      </c>
      <c r="AV10" s="80"/>
      <c r="AW10" s="80"/>
      <c r="AX10" s="80"/>
      <c r="AY10" s="80"/>
      <c r="AZ10" s="80"/>
      <c r="BA10" s="80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</row>
    <row r="11" spans="1:74" ht="15" x14ac:dyDescent="0.3">
      <c r="A11" s="6">
        <v>4</v>
      </c>
      <c r="B11" s="60">
        <f>IF($C11="","",IFERROR(_xlfn.XLOOKUP($C11,tblPersonal[CUIL],tblPersonal[HUB]),""))</f>
        <v>125452</v>
      </c>
      <c r="C11" s="79">
        <v>20269962691</v>
      </c>
      <c r="D11" s="43" t="str">
        <f>IF($C11="","",IFERROR(_xlfn.XLOOKUP($C11,tblPersonal[CUIL],tblPersonal[AP]),""))</f>
        <v>CARCAMO, EDUARDO ANDRES</v>
      </c>
      <c r="E11" s="79" t="s">
        <v>31</v>
      </c>
      <c r="F11" s="79" t="s">
        <v>32</v>
      </c>
      <c r="G11" s="7">
        <f>IF(F11="","",IFERROR(VLOOKUP(TRIM(F11),FID!$A:$C,2,FALSE),""))</f>
        <v>2452</v>
      </c>
      <c r="H11" s="7">
        <f>IF(F11="","",IFERROR(VLOOKUP(TRIM(F11),FID!$A:$C,3,FALSE),""))</f>
        <v>10770512</v>
      </c>
      <c r="I11" s="82" t="str" cm="1">
        <f t="array" aca="1" ref="I11" ca="1">IF(COUNTA($J11:$M11)=0,"",_xlfn.LET(
_xlpm.enc,$N$7:$CH$7,
_xlpm.tipo,$N$4:$CH$4,
_xlpm.vig,$N$5:$CH$5,
_xlpm.fec,$N11:$CH11,
_xlpm.req,(
--(UPPER(IFERROR(INDEX('Requisito x Tarea'!$C$2:$BK$101,MATCH(TRIM($J11),'Requisito x Tarea'!$B$2:$B$101,0),MATCH(_xlpm.enc,'Requisito x Tarea'!$C$1:$BK$1,0)),""))="X")
+--(UPPER(IFERROR(INDEX('Requisito x Tarea'!$C$2:$BK$101,MATCH(TRIM($K11),'Requisito x Tarea'!$B$2:$B$101,0),MATCH(_xlpm.enc,'Requisito x Tarea'!$C$1:$BK$1,0)),""))="X")
+--(UPPER(IFERROR(INDEX('Requisito x Tarea'!$C$2:$BK$101,MATCH(TRIM($L11),'Requisito x Tarea'!$B$2:$B$101,0),MATCH(_xlpm.enc,'Requisito x Tarea'!$C$1:$BK$1,0)),""))="X")
+--(UPPER(IFERROR(INDEX('Requisito x Tarea'!$C$2:$BK$101,MATCH(TRIM($M11),'Requisito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>NO APTO</v>
      </c>
      <c r="J11" s="78" t="s">
        <v>33</v>
      </c>
      <c r="K11" s="78" t="s">
        <v>34</v>
      </c>
      <c r="L11" s="78"/>
      <c r="M11" s="78"/>
      <c r="N11" s="80"/>
      <c r="O11" s="80"/>
      <c r="P11" s="80"/>
      <c r="Q11" s="80"/>
      <c r="R11" s="80">
        <v>45707</v>
      </c>
      <c r="S11" s="80">
        <v>46020</v>
      </c>
      <c r="T11" s="80"/>
      <c r="U11" s="80">
        <v>46008</v>
      </c>
      <c r="V11" s="80"/>
      <c r="W11" s="80"/>
      <c r="X11" s="80">
        <v>46140</v>
      </c>
      <c r="Y11" s="80">
        <v>46020</v>
      </c>
      <c r="Z11" s="80"/>
      <c r="AA11" s="80"/>
      <c r="AB11" s="80"/>
      <c r="AC11" s="80"/>
      <c r="AD11" s="80"/>
      <c r="AE11" s="80"/>
      <c r="AF11" s="80">
        <v>45707</v>
      </c>
      <c r="AG11" s="80">
        <v>46164</v>
      </c>
      <c r="AH11" s="80"/>
      <c r="AI11" s="80"/>
      <c r="AJ11" s="80"/>
      <c r="AK11" s="80">
        <v>45805</v>
      </c>
      <c r="AL11" s="80">
        <v>46907</v>
      </c>
      <c r="AM11" s="80"/>
      <c r="AN11" s="80"/>
      <c r="AO11" s="80">
        <v>46008</v>
      </c>
      <c r="AP11" s="80">
        <v>46020</v>
      </c>
      <c r="AQ11" s="80"/>
      <c r="AR11" s="80">
        <v>46020</v>
      </c>
      <c r="AS11" s="80"/>
      <c r="AT11" s="80"/>
      <c r="AU11" s="80">
        <v>46020</v>
      </c>
      <c r="AV11" s="80"/>
      <c r="AW11" s="80">
        <v>46020</v>
      </c>
      <c r="AX11" s="80"/>
      <c r="AY11" s="80">
        <v>46020</v>
      </c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</row>
    <row r="12" spans="1:74" ht="15" x14ac:dyDescent="0.3">
      <c r="A12" s="6">
        <v>5</v>
      </c>
      <c r="B12" s="60">
        <f>IF($C12="","",IFERROR(_xlfn.XLOOKUP($C12,tblPersonal[CUIL],tblPersonal[HUB]),""))</f>
        <v>245268</v>
      </c>
      <c r="C12" s="79">
        <v>20280751651</v>
      </c>
      <c r="D12" s="43" t="str">
        <f>IF($C12="","",IFERROR(_xlfn.XLOOKUP($C12,tblPersonal[CUIL],tblPersonal[AP]),""))</f>
        <v>CEJAS, ALFREDO NICOLAS</v>
      </c>
      <c r="E12" s="79" t="s">
        <v>36</v>
      </c>
      <c r="F12" s="79" t="s">
        <v>32</v>
      </c>
      <c r="G12" s="7">
        <f>IF(F12="","",IFERROR(VLOOKUP(TRIM(F12),FID!$A:$C,2,FALSE),""))</f>
        <v>2452</v>
      </c>
      <c r="H12" s="7">
        <f>IF(F12="","",IFERROR(VLOOKUP(TRIM(F12),FID!$A:$C,3,FALSE),""))</f>
        <v>10770512</v>
      </c>
      <c r="I12" s="82" t="str" cm="1">
        <f t="array" aca="1" ref="I12" ca="1">IF(COUNTA($J12:$M12)=0,"",_xlfn.LET(
_xlpm.enc,$N$7:$CH$7,
_xlpm.tipo,$N$4:$CH$4,
_xlpm.vig,$N$5:$CH$5,
_xlpm.fec,$N12:$CH12,
_xlpm.req,(
--(UPPER(IFERROR(INDEX('Requisito x Tarea'!$C$2:$BK$101,MATCH(TRIM($J12),'Requisito x Tarea'!$B$2:$B$101,0),MATCH(_xlpm.enc,'Requisito x Tarea'!$C$1:$BK$1,0)),""))="X")
+--(UPPER(IFERROR(INDEX('Requisito x Tarea'!$C$2:$BK$101,MATCH(TRIM($K12),'Requisito x Tarea'!$B$2:$B$101,0),MATCH(_xlpm.enc,'Requisito x Tarea'!$C$1:$BK$1,0)),""))="X")
+--(UPPER(IFERROR(INDEX('Requisito x Tarea'!$C$2:$BK$101,MATCH(TRIM($L12),'Requisito x Tarea'!$B$2:$B$101,0),MATCH(_xlpm.enc,'Requisito x Tarea'!$C$1:$BK$1,0)),""))="X")
+--(UPPER(IFERROR(INDEX('Requisito x Tarea'!$C$2:$BK$101,MATCH(TRIM($M12),'Requisito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>NO APTO</v>
      </c>
      <c r="J12" s="78" t="s">
        <v>33</v>
      </c>
      <c r="K12" s="78" t="s">
        <v>37</v>
      </c>
      <c r="L12" s="78"/>
      <c r="M12" s="78"/>
      <c r="N12" s="80"/>
      <c r="O12" s="80">
        <v>46160</v>
      </c>
      <c r="P12" s="80"/>
      <c r="Q12" s="80"/>
      <c r="R12" s="80"/>
      <c r="S12" s="80"/>
      <c r="T12" s="80"/>
      <c r="U12" s="80"/>
      <c r="V12" s="80"/>
      <c r="W12" s="80"/>
      <c r="X12" s="80">
        <v>46140</v>
      </c>
      <c r="Y12" s="80"/>
      <c r="Z12" s="80"/>
      <c r="AA12" s="80"/>
      <c r="AB12" s="80"/>
      <c r="AC12" s="80"/>
      <c r="AD12" s="80"/>
      <c r="AE12" s="80"/>
      <c r="AF12" s="80"/>
      <c r="AG12" s="80">
        <v>46160</v>
      </c>
      <c r="AH12" s="80"/>
      <c r="AI12" s="80"/>
      <c r="AJ12" s="80"/>
      <c r="AK12" s="80"/>
      <c r="AL12" s="80">
        <v>47026</v>
      </c>
      <c r="AM12" s="80"/>
      <c r="AN12" s="80"/>
      <c r="AO12" s="80"/>
      <c r="AP12" s="80"/>
      <c r="AQ12" s="80"/>
      <c r="AR12" s="80"/>
      <c r="AS12" s="80"/>
      <c r="AT12" s="80"/>
      <c r="AU12" s="80">
        <v>45770</v>
      </c>
      <c r="AV12" s="80"/>
      <c r="AW12" s="80"/>
      <c r="AX12" s="80"/>
      <c r="AY12" s="80"/>
      <c r="AZ12" s="80"/>
      <c r="BA12" s="80"/>
      <c r="BB12" s="80"/>
      <c r="BC12" s="80"/>
      <c r="BD12" s="80">
        <v>46160</v>
      </c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</row>
    <row r="13" spans="1:74" ht="15" x14ac:dyDescent="0.3">
      <c r="A13" s="6">
        <v>6</v>
      </c>
      <c r="B13" s="60">
        <f>IF($C13="","",IFERROR(_xlfn.XLOOKUP($C13,tblPersonal[CUIL],tblPersonal[HUB]),""))</f>
        <v>125489</v>
      </c>
      <c r="C13" s="79">
        <v>20306614542</v>
      </c>
      <c r="D13" s="43" t="str">
        <f>IF($C13="","",IFERROR(_xlfn.XLOOKUP($C13,tblPersonal[CUIL],tblPersonal[AP]),""))</f>
        <v>DODDS, CARLOS DANIEL</v>
      </c>
      <c r="E13" s="79" t="s">
        <v>31</v>
      </c>
      <c r="F13" s="79" t="s">
        <v>32</v>
      </c>
      <c r="G13" s="7">
        <f>IF(F13="","",IFERROR(VLOOKUP(TRIM(F13),FID!$A:$C,2,FALSE),""))</f>
        <v>2452</v>
      </c>
      <c r="H13" s="7">
        <f>IF(F13="","",IFERROR(VLOOKUP(TRIM(F13),FID!$A:$C,3,FALSE),""))</f>
        <v>10770512</v>
      </c>
      <c r="I13" s="82" t="str" cm="1">
        <f t="array" aca="1" ref="I13" ca="1">IF(COUNTA($J13:$M13)=0,"",_xlfn.LET(
_xlpm.enc,$N$7:$CH$7,
_xlpm.tipo,$N$4:$CH$4,
_xlpm.vig,$N$5:$CH$5,
_xlpm.fec,$N13:$CH13,
_xlpm.req,(
--(UPPER(IFERROR(INDEX('Requisito x Tarea'!$C$2:$BK$101,MATCH(TRIM($J13),'Requisito x Tarea'!$B$2:$B$101,0),MATCH(_xlpm.enc,'Requisito x Tarea'!$C$1:$BK$1,0)),""))="X")
+--(UPPER(IFERROR(INDEX('Requisito x Tarea'!$C$2:$BK$101,MATCH(TRIM($K13),'Requisito x Tarea'!$B$2:$B$101,0),MATCH(_xlpm.enc,'Requisito x Tarea'!$C$1:$BK$1,0)),""))="X")
+--(UPPER(IFERROR(INDEX('Requisito x Tarea'!$C$2:$BK$101,MATCH(TRIM($L13),'Requisito x Tarea'!$B$2:$B$101,0),MATCH(_xlpm.enc,'Requisito x Tarea'!$C$1:$BK$1,0)),""))="X")
+--(UPPER(IFERROR(INDEX('Requisito x Tarea'!$C$2:$BK$101,MATCH(TRIM($M13),'Requisito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>NO APTO</v>
      </c>
      <c r="J13" s="78" t="s">
        <v>33</v>
      </c>
      <c r="K13" s="78" t="s">
        <v>34</v>
      </c>
      <c r="L13" s="78"/>
      <c r="M13" s="78"/>
      <c r="N13" s="80"/>
      <c r="O13" s="80">
        <v>46162</v>
      </c>
      <c r="P13" s="80"/>
      <c r="Q13" s="80"/>
      <c r="R13" s="80">
        <v>45838</v>
      </c>
      <c r="S13" s="80">
        <v>46017</v>
      </c>
      <c r="T13" s="80"/>
      <c r="U13" s="80">
        <v>46017</v>
      </c>
      <c r="V13" s="80"/>
      <c r="W13" s="80"/>
      <c r="X13" s="80">
        <v>46140</v>
      </c>
      <c r="Y13" s="80">
        <v>46017</v>
      </c>
      <c r="Z13" s="80"/>
      <c r="AA13" s="80"/>
      <c r="AB13" s="80"/>
      <c r="AC13" s="80"/>
      <c r="AD13" s="80"/>
      <c r="AE13" s="80"/>
      <c r="AF13" s="80">
        <v>45838</v>
      </c>
      <c r="AG13" s="80">
        <v>46162</v>
      </c>
      <c r="AH13" s="80"/>
      <c r="AI13" s="80"/>
      <c r="AJ13" s="80"/>
      <c r="AK13" s="80">
        <v>45838</v>
      </c>
      <c r="AL13" s="80">
        <v>46034</v>
      </c>
      <c r="AM13" s="80"/>
      <c r="AN13" s="80"/>
      <c r="AO13" s="80">
        <v>46017</v>
      </c>
      <c r="AP13" s="80">
        <v>46017</v>
      </c>
      <c r="AQ13" s="80"/>
      <c r="AR13" s="80">
        <v>46017</v>
      </c>
      <c r="AS13" s="80"/>
      <c r="AT13" s="80"/>
      <c r="AU13" s="80">
        <v>46017</v>
      </c>
      <c r="AV13" s="80"/>
      <c r="AW13" s="80">
        <v>46017</v>
      </c>
      <c r="AX13" s="80"/>
      <c r="AY13" s="80">
        <v>46017</v>
      </c>
      <c r="AZ13" s="80"/>
      <c r="BA13" s="80"/>
      <c r="BB13" s="80"/>
      <c r="BC13" s="80"/>
      <c r="BD13" s="80">
        <v>46162</v>
      </c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</row>
    <row r="14" spans="1:74" ht="15" x14ac:dyDescent="0.3">
      <c r="A14" s="6">
        <v>7</v>
      </c>
      <c r="B14" s="60">
        <f>IF($C14="","",IFERROR(_xlfn.XLOOKUP($C14,tblPersonal[CUIL],tblPersonal[HUB]),""))</f>
        <v>248288</v>
      </c>
      <c r="C14" s="79">
        <v>20242832397</v>
      </c>
      <c r="D14" s="43" t="str">
        <f>IF($C14="","",IFERROR(_xlfn.XLOOKUP($C14,tblPersonal[CUIL],tblPersonal[AP]),""))</f>
        <v>GOMEZ, PABLO JOAQUIN</v>
      </c>
      <c r="E14" s="79" t="s">
        <v>31</v>
      </c>
      <c r="F14" s="79" t="s">
        <v>32</v>
      </c>
      <c r="G14" s="7">
        <f>IF(F14="","",IFERROR(VLOOKUP(TRIM(F14),FID!$A:$C,2,FALSE),""))</f>
        <v>2452</v>
      </c>
      <c r="H14" s="7">
        <f>IF(F14="","",IFERROR(VLOOKUP(TRIM(F14),FID!$A:$C,3,FALSE),""))</f>
        <v>10770512</v>
      </c>
      <c r="I14" s="82" t="str" cm="1">
        <f t="array" aca="1" ref="I14" ca="1">IF(COUNTA($J14:$M14)=0,"",_xlfn.LET(
_xlpm.enc,$N$7:$CH$7,
_xlpm.tipo,$N$4:$CH$4,
_xlpm.vig,$N$5:$CH$5,
_xlpm.fec,$N14:$CH14,
_xlpm.req,(
--(UPPER(IFERROR(INDEX('Requisito x Tarea'!$C$2:$BK$101,MATCH(TRIM($J14),'Requisito x Tarea'!$B$2:$B$101,0),MATCH(_xlpm.enc,'Requisito x Tarea'!$C$1:$BK$1,0)),""))="X")
+--(UPPER(IFERROR(INDEX('Requisito x Tarea'!$C$2:$BK$101,MATCH(TRIM($K14),'Requisito x Tarea'!$B$2:$B$101,0),MATCH(_xlpm.enc,'Requisito x Tarea'!$C$1:$BK$1,0)),""))="X")
+--(UPPER(IFERROR(INDEX('Requisito x Tarea'!$C$2:$BK$101,MATCH(TRIM($L14),'Requisito x Tarea'!$B$2:$B$101,0),MATCH(_xlpm.enc,'Requisito x Tarea'!$C$1:$BK$1,0)),""))="X")
+--(UPPER(IFERROR(INDEX('Requisito x Tarea'!$C$2:$BK$101,MATCH(TRIM($M14),'Requisito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>NO APTO</v>
      </c>
      <c r="J14" s="78" t="s">
        <v>33</v>
      </c>
      <c r="K14" s="78" t="s">
        <v>34</v>
      </c>
      <c r="L14" s="78"/>
      <c r="M14" s="78"/>
      <c r="N14" s="80"/>
      <c r="O14" s="80">
        <v>46147</v>
      </c>
      <c r="P14" s="80"/>
      <c r="Q14" s="80"/>
      <c r="R14" s="80">
        <v>45707</v>
      </c>
      <c r="S14" s="80">
        <v>46020</v>
      </c>
      <c r="T14" s="80"/>
      <c r="U14" s="80">
        <v>46008</v>
      </c>
      <c r="V14" s="80"/>
      <c r="W14" s="80"/>
      <c r="X14" s="80">
        <v>45776</v>
      </c>
      <c r="Y14" s="80">
        <v>46020</v>
      </c>
      <c r="Z14" s="80"/>
      <c r="AA14" s="80"/>
      <c r="AB14" s="80"/>
      <c r="AC14" s="80"/>
      <c r="AD14" s="80"/>
      <c r="AE14" s="80"/>
      <c r="AF14" s="80">
        <v>45707</v>
      </c>
      <c r="AG14" s="80">
        <v>46147</v>
      </c>
      <c r="AH14" s="80"/>
      <c r="AI14" s="80"/>
      <c r="AJ14" s="80"/>
      <c r="AK14" s="80">
        <v>45805</v>
      </c>
      <c r="AL14" s="80">
        <v>47053</v>
      </c>
      <c r="AM14" s="80"/>
      <c r="AN14" s="80"/>
      <c r="AO14" s="80">
        <v>46008</v>
      </c>
      <c r="AP14" s="80">
        <v>46020</v>
      </c>
      <c r="AQ14" s="80"/>
      <c r="AR14" s="80">
        <v>46020</v>
      </c>
      <c r="AS14" s="80"/>
      <c r="AT14" s="80"/>
      <c r="AU14" s="80">
        <v>46020</v>
      </c>
      <c r="AV14" s="80"/>
      <c r="AW14" s="80">
        <v>46020</v>
      </c>
      <c r="AX14" s="80"/>
      <c r="AY14" s="80">
        <v>46020</v>
      </c>
      <c r="AZ14" s="80"/>
      <c r="BA14" s="80"/>
      <c r="BB14" s="80"/>
      <c r="BC14" s="80"/>
      <c r="BD14" s="80">
        <v>46147</v>
      </c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</row>
    <row r="15" spans="1:74" ht="15" x14ac:dyDescent="0.3">
      <c r="A15" s="6">
        <v>8</v>
      </c>
      <c r="B15" s="60">
        <f>IF($C15="","",IFERROR(_xlfn.XLOOKUP($C15,tblPersonal[CUIL],tblPersonal[HUB]),""))</f>
        <v>125472</v>
      </c>
      <c r="C15" s="79">
        <v>20300082743</v>
      </c>
      <c r="D15" s="43" t="str">
        <f>IF($C15="","",IFERROR(_xlfn.XLOOKUP($C15,tblPersonal[CUIL],tblPersonal[AP]),""))</f>
        <v>HERNANDEZ, PABLO SEBASTIAN</v>
      </c>
      <c r="E15" s="79" t="s">
        <v>31</v>
      </c>
      <c r="F15" s="79" t="s">
        <v>32</v>
      </c>
      <c r="G15" s="7">
        <f>IF(F15="","",IFERROR(VLOOKUP(TRIM(F15),FID!$A:$C,2,FALSE),""))</f>
        <v>2452</v>
      </c>
      <c r="H15" s="7">
        <f>IF(F15="","",IFERROR(VLOOKUP(TRIM(F15),FID!$A:$C,3,FALSE),""))</f>
        <v>10770512</v>
      </c>
      <c r="I15" s="82" t="str" cm="1">
        <f t="array" aca="1" ref="I15" ca="1">IF(COUNTA($J15:$M15)=0,"",_xlfn.LET(
_xlpm.enc,$N$7:$CH$7,
_xlpm.tipo,$N$4:$CH$4,
_xlpm.vig,$N$5:$CH$5,
_xlpm.fec,$N15:$CH15,
_xlpm.req,(
--(UPPER(IFERROR(INDEX('Requisito x Tarea'!$C$2:$BK$101,MATCH(TRIM($J15),'Requisito x Tarea'!$B$2:$B$101,0),MATCH(_xlpm.enc,'Requisito x Tarea'!$C$1:$BK$1,0)),""))="X")
+--(UPPER(IFERROR(INDEX('Requisito x Tarea'!$C$2:$BK$101,MATCH(TRIM($K15),'Requisito x Tarea'!$B$2:$B$101,0),MATCH(_xlpm.enc,'Requisito x Tarea'!$C$1:$BK$1,0)),""))="X")
+--(UPPER(IFERROR(INDEX('Requisito x Tarea'!$C$2:$BK$101,MATCH(TRIM($L15),'Requisito x Tarea'!$B$2:$B$101,0),MATCH(_xlpm.enc,'Requisito x Tarea'!$C$1:$BK$1,0)),""))="X")
+--(UPPER(IFERROR(INDEX('Requisito x Tarea'!$C$2:$BK$101,MATCH(TRIM($M15),'Requisito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>NO APTO</v>
      </c>
      <c r="J15" s="78" t="s">
        <v>33</v>
      </c>
      <c r="K15" s="78" t="s">
        <v>34</v>
      </c>
      <c r="L15" s="78"/>
      <c r="M15" s="78"/>
      <c r="N15" s="80"/>
      <c r="O15" s="80"/>
      <c r="P15" s="80"/>
      <c r="Q15" s="80"/>
      <c r="R15" s="80"/>
      <c r="S15" s="80"/>
      <c r="T15" s="80"/>
      <c r="U15" s="80"/>
      <c r="V15" s="80"/>
      <c r="W15" s="80"/>
      <c r="X15" s="80">
        <v>46140</v>
      </c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>
        <v>46041</v>
      </c>
      <c r="AM15" s="80"/>
      <c r="AN15" s="80"/>
      <c r="AO15" s="80"/>
      <c r="AP15" s="80"/>
      <c r="AQ15" s="80"/>
      <c r="AR15" s="80"/>
      <c r="AS15" s="80"/>
      <c r="AT15" s="80"/>
      <c r="AU15" s="80">
        <v>45770</v>
      </c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</row>
    <row r="16" spans="1:74" ht="15" x14ac:dyDescent="0.3">
      <c r="A16" s="6">
        <v>9</v>
      </c>
      <c r="B16" s="60">
        <f>IF($C16="","",IFERROR(_xlfn.XLOOKUP($C16,tblPersonal[CUIL],tblPersonal[HUB]),""))</f>
        <v>255054</v>
      </c>
      <c r="C16" s="79">
        <v>20281800907</v>
      </c>
      <c r="D16" s="43" t="str">
        <f>IF($C16="","",IFERROR(_xlfn.XLOOKUP($C16,tblPersonal[CUIL],tblPersonal[AP]),""))</f>
        <v>MONTES DE OCA, EZEQUIEL NICOLAS</v>
      </c>
      <c r="E16" s="79" t="s">
        <v>31</v>
      </c>
      <c r="F16" s="79" t="s">
        <v>32</v>
      </c>
      <c r="G16" s="7">
        <f>IF(F16="","",IFERROR(VLOOKUP(TRIM(F16),FID!$A:$C,2,FALSE),""))</f>
        <v>2452</v>
      </c>
      <c r="H16" s="7">
        <f>IF(F16="","",IFERROR(VLOOKUP(TRIM(F16),FID!$A:$C,3,FALSE),""))</f>
        <v>10770512</v>
      </c>
      <c r="I16" s="82" t="str" cm="1">
        <f t="array" aca="1" ref="I16" ca="1">IF(COUNTA($J16:$M16)=0,"",_xlfn.LET(
_xlpm.enc,$N$7:$CH$7,
_xlpm.tipo,$N$4:$CH$4,
_xlpm.vig,$N$5:$CH$5,
_xlpm.fec,$N16:$CH16,
_xlpm.req,(
--(UPPER(IFERROR(INDEX('Requisito x Tarea'!$C$2:$BK$101,MATCH(TRIM($J16),'Requisito x Tarea'!$B$2:$B$101,0),MATCH(_xlpm.enc,'Requisito x Tarea'!$C$1:$BK$1,0)),""))="X")
+--(UPPER(IFERROR(INDEX('Requisito x Tarea'!$C$2:$BK$101,MATCH(TRIM($K16),'Requisito x Tarea'!$B$2:$B$101,0),MATCH(_xlpm.enc,'Requisito x Tarea'!$C$1:$BK$1,0)),""))="X")
+--(UPPER(IFERROR(INDEX('Requisito x Tarea'!$C$2:$BK$101,MATCH(TRIM($L16),'Requisito x Tarea'!$B$2:$B$101,0),MATCH(_xlpm.enc,'Requisito x Tarea'!$C$1:$BK$1,0)),""))="X")
+--(UPPER(IFERROR(INDEX('Requisito x Tarea'!$C$2:$BK$101,MATCH(TRIM($M16),'Requisito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>NO APTO</v>
      </c>
      <c r="J16" s="78" t="s">
        <v>33</v>
      </c>
      <c r="K16" s="78" t="s">
        <v>37</v>
      </c>
      <c r="L16" s="78" t="s">
        <v>38</v>
      </c>
      <c r="M16" s="78"/>
      <c r="N16" s="80"/>
      <c r="O16" s="80">
        <v>46134</v>
      </c>
      <c r="P16" s="80"/>
      <c r="Q16" s="80"/>
      <c r="R16" s="80">
        <v>45827</v>
      </c>
      <c r="S16" s="80">
        <v>46017</v>
      </c>
      <c r="T16" s="80"/>
      <c r="U16" s="80">
        <v>46008</v>
      </c>
      <c r="V16" s="80"/>
      <c r="W16" s="80"/>
      <c r="X16" s="80">
        <v>45776</v>
      </c>
      <c r="Y16" s="80">
        <v>45835</v>
      </c>
      <c r="Z16" s="80"/>
      <c r="AA16" s="80"/>
      <c r="AB16" s="80"/>
      <c r="AC16" s="80"/>
      <c r="AD16" s="80"/>
      <c r="AE16" s="80"/>
      <c r="AF16" s="80">
        <v>45827</v>
      </c>
      <c r="AG16" s="80">
        <v>46026</v>
      </c>
      <c r="AH16" s="80"/>
      <c r="AI16" s="80"/>
      <c r="AJ16" s="80"/>
      <c r="AK16" s="80">
        <v>45770</v>
      </c>
      <c r="AL16" s="80">
        <v>46361</v>
      </c>
      <c r="AM16" s="80"/>
      <c r="AN16" s="80"/>
      <c r="AO16" s="80">
        <v>46008</v>
      </c>
      <c r="AP16" s="80">
        <v>46017</v>
      </c>
      <c r="AQ16" s="80"/>
      <c r="AR16" s="80">
        <v>46017</v>
      </c>
      <c r="AS16" s="80"/>
      <c r="AT16" s="80"/>
      <c r="AU16" s="80">
        <v>45835</v>
      </c>
      <c r="AV16" s="80">
        <v>46026</v>
      </c>
      <c r="AW16" s="80">
        <v>46017</v>
      </c>
      <c r="AX16" s="80"/>
      <c r="AY16" s="80">
        <v>46017</v>
      </c>
      <c r="AZ16" s="80"/>
      <c r="BA16" s="80"/>
      <c r="BB16" s="80"/>
      <c r="BC16" s="80"/>
      <c r="BD16" s="80">
        <v>46134</v>
      </c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</row>
    <row r="17" spans="1:72" ht="15" x14ac:dyDescent="0.3">
      <c r="A17" s="6">
        <v>10</v>
      </c>
      <c r="B17" s="60">
        <f>IF($C17="","",IFERROR(_xlfn.XLOOKUP($C17,tblPersonal[CUIL],tblPersonal[HUB]),""))</f>
        <v>4123950</v>
      </c>
      <c r="C17" s="79">
        <v>20403856720</v>
      </c>
      <c r="D17" s="43" t="str">
        <f>IF($C17="","",IFERROR(_xlfn.XLOOKUP($C17,tblPersonal[CUIL],tblPersonal[AP]),""))</f>
        <v>NICKELS, BRAIAN MICHEL</v>
      </c>
      <c r="E17" s="79" t="s">
        <v>39</v>
      </c>
      <c r="F17" s="79" t="s">
        <v>32</v>
      </c>
      <c r="G17" s="7">
        <f>IF(F17="","",IFERROR(VLOOKUP(TRIM(F17),FID!$A:$C,2,FALSE),""))</f>
        <v>2452</v>
      </c>
      <c r="H17" s="7">
        <f>IF(F17="","",IFERROR(VLOOKUP(TRIM(F17),FID!$A:$C,3,FALSE),""))</f>
        <v>10770512</v>
      </c>
      <c r="I17" s="82" t="str" cm="1">
        <f t="array" aca="1" ref="I17" ca="1">IF(COUNTA($J17:$M17)=0,"",_xlfn.LET(
_xlpm.enc,$N$7:$CH$7,
_xlpm.tipo,$N$4:$CH$4,
_xlpm.vig,$N$5:$CH$5,
_xlpm.fec,$N17:$CH17,
_xlpm.req,(
--(UPPER(IFERROR(INDEX('Requisito x Tarea'!$C$2:$BK$101,MATCH(TRIM($J17),'Requisito x Tarea'!$B$2:$B$101,0),MATCH(_xlpm.enc,'Requisito x Tarea'!$C$1:$BK$1,0)),""))="X")
+--(UPPER(IFERROR(INDEX('Requisito x Tarea'!$C$2:$BK$101,MATCH(TRIM($K17),'Requisito x Tarea'!$B$2:$B$101,0),MATCH(_xlpm.enc,'Requisito x Tarea'!$C$1:$BK$1,0)),""))="X")
+--(UPPER(IFERROR(INDEX('Requisito x Tarea'!$C$2:$BK$101,MATCH(TRIM($L17),'Requisito x Tarea'!$B$2:$B$101,0),MATCH(_xlpm.enc,'Requisito x Tarea'!$C$1:$BK$1,0)),""))="X")
+--(UPPER(IFERROR(INDEX('Requisito x Tarea'!$C$2:$BK$101,MATCH(TRIM($M17),'Requisito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>NO APTO</v>
      </c>
      <c r="J17" s="78" t="s">
        <v>33</v>
      </c>
      <c r="K17" s="78" t="s">
        <v>37</v>
      </c>
      <c r="L17" s="78" t="s">
        <v>38</v>
      </c>
      <c r="M17" s="78"/>
      <c r="N17" s="80"/>
      <c r="O17" s="80">
        <v>46163</v>
      </c>
      <c r="P17" s="80"/>
      <c r="Q17" s="80"/>
      <c r="R17" s="80">
        <v>45664</v>
      </c>
      <c r="S17" s="80">
        <v>45967</v>
      </c>
      <c r="T17" s="80"/>
      <c r="U17" s="80">
        <v>46000</v>
      </c>
      <c r="V17" s="80"/>
      <c r="W17" s="80"/>
      <c r="X17" s="80"/>
      <c r="Y17" s="80">
        <v>45793</v>
      </c>
      <c r="Z17" s="80"/>
      <c r="AA17" s="80"/>
      <c r="AB17" s="80"/>
      <c r="AC17" s="80"/>
      <c r="AD17" s="80"/>
      <c r="AE17" s="80"/>
      <c r="AF17" s="80">
        <v>45707</v>
      </c>
      <c r="AG17" s="80">
        <v>46026</v>
      </c>
      <c r="AH17" s="80"/>
      <c r="AI17" s="80"/>
      <c r="AJ17" s="80"/>
      <c r="AK17" s="80">
        <v>45777</v>
      </c>
      <c r="AL17" s="80">
        <v>45483</v>
      </c>
      <c r="AM17" s="80"/>
      <c r="AN17" s="80"/>
      <c r="AO17" s="80">
        <v>46000</v>
      </c>
      <c r="AP17" s="80">
        <v>45838</v>
      </c>
      <c r="AQ17" s="80">
        <v>45503</v>
      </c>
      <c r="AR17" s="80">
        <v>45916</v>
      </c>
      <c r="AS17" s="80"/>
      <c r="AT17" s="80"/>
      <c r="AU17" s="80"/>
      <c r="AV17" s="80">
        <v>46026</v>
      </c>
      <c r="AW17" s="80">
        <v>45897</v>
      </c>
      <c r="AX17" s="80"/>
      <c r="AY17" s="80">
        <v>45838</v>
      </c>
      <c r="AZ17" s="80"/>
      <c r="BA17" s="80"/>
      <c r="BB17" s="80"/>
      <c r="BC17" s="80"/>
      <c r="BD17" s="80">
        <v>46163</v>
      </c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</row>
    <row r="18" spans="1:72" ht="15" x14ac:dyDescent="0.3">
      <c r="A18" s="6">
        <v>11</v>
      </c>
      <c r="B18" s="60">
        <f>IF($C18="","",IFERROR(_xlfn.XLOOKUP($C18,tblPersonal[CUIL],tblPersonal[HUB]),""))</f>
        <v>125561</v>
      </c>
      <c r="C18" s="79">
        <v>20309369840</v>
      </c>
      <c r="D18" s="43" t="str">
        <f>IF($C18="","",IFERROR(_xlfn.XLOOKUP($C18,tblPersonal[CUIL],tblPersonal[AP]),""))</f>
        <v>SANDOVAL, MATIAS</v>
      </c>
      <c r="E18" s="79" t="s">
        <v>31</v>
      </c>
      <c r="F18" s="79" t="s">
        <v>32</v>
      </c>
      <c r="G18" s="7">
        <f>IF(F18="","",IFERROR(VLOOKUP(TRIM(F18),FID!$A:$C,2,FALSE),""))</f>
        <v>2452</v>
      </c>
      <c r="H18" s="7">
        <f>IF(F18="","",IFERROR(VLOOKUP(TRIM(F18),FID!$A:$C,3,FALSE),""))</f>
        <v>10770512</v>
      </c>
      <c r="I18" s="82" t="str" cm="1">
        <f t="array" aca="1" ref="I18" ca="1">IF(COUNTA($J18:$M18)=0,"",_xlfn.LET(
_xlpm.enc,$N$7:$CH$7,
_xlpm.tipo,$N$4:$CH$4,
_xlpm.vig,$N$5:$CH$5,
_xlpm.fec,$N18:$CH18,
_xlpm.req,(
--(UPPER(IFERROR(INDEX('Requisito x Tarea'!$C$2:$BK$101,MATCH(TRIM($J18),'Requisito x Tarea'!$B$2:$B$101,0),MATCH(_xlpm.enc,'Requisito x Tarea'!$C$1:$BK$1,0)),""))="X")
+--(UPPER(IFERROR(INDEX('Requisito x Tarea'!$C$2:$BK$101,MATCH(TRIM($K18),'Requisito x Tarea'!$B$2:$B$101,0),MATCH(_xlpm.enc,'Requisito x Tarea'!$C$1:$BK$1,0)),""))="X")
+--(UPPER(IFERROR(INDEX('Requisito x Tarea'!$C$2:$BK$101,MATCH(TRIM($L18),'Requisito x Tarea'!$B$2:$B$101,0),MATCH(_xlpm.enc,'Requisito x Tarea'!$C$1:$BK$1,0)),""))="X")
+--(UPPER(IFERROR(INDEX('Requisito x Tarea'!$C$2:$BK$101,MATCH(TRIM($M18),'Requisito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>NO APTO</v>
      </c>
      <c r="J18" s="78" t="s">
        <v>33</v>
      </c>
      <c r="K18" s="78" t="s">
        <v>34</v>
      </c>
      <c r="L18" s="78"/>
      <c r="M18" s="78"/>
      <c r="N18" s="80"/>
      <c r="O18" s="80"/>
      <c r="P18" s="80"/>
      <c r="Q18" s="80"/>
      <c r="R18" s="80">
        <v>45827</v>
      </c>
      <c r="S18" s="80"/>
      <c r="T18" s="80"/>
      <c r="U18" s="80"/>
      <c r="V18" s="80"/>
      <c r="W18" s="80"/>
      <c r="X18" s="80">
        <v>46141</v>
      </c>
      <c r="Y18" s="80">
        <v>45835</v>
      </c>
      <c r="Z18" s="80"/>
      <c r="AA18" s="80"/>
      <c r="AB18" s="80"/>
      <c r="AC18" s="80"/>
      <c r="AD18" s="80"/>
      <c r="AE18" s="80"/>
      <c r="AF18" s="80">
        <v>45827</v>
      </c>
      <c r="AG18" s="80">
        <v>46164</v>
      </c>
      <c r="AH18" s="80"/>
      <c r="AI18" s="80"/>
      <c r="AJ18" s="80"/>
      <c r="AK18" s="80">
        <v>45827</v>
      </c>
      <c r="AL18" s="80">
        <v>46034</v>
      </c>
      <c r="AM18" s="80"/>
      <c r="AN18" s="80"/>
      <c r="AO18" s="80"/>
      <c r="AP18" s="80"/>
      <c r="AQ18" s="80"/>
      <c r="AR18" s="80"/>
      <c r="AS18" s="80"/>
      <c r="AT18" s="80"/>
      <c r="AU18" s="80">
        <v>45835</v>
      </c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</row>
    <row r="19" spans="1:72" ht="15" x14ac:dyDescent="0.3">
      <c r="A19" s="6">
        <v>12</v>
      </c>
      <c r="B19" s="60">
        <f>IF($C19="","",IFERROR(_xlfn.XLOOKUP($C19,tblPersonal[CUIL],tblPersonal[HUB]),""))</f>
        <v>125303</v>
      </c>
      <c r="C19" s="79">
        <v>20243028702</v>
      </c>
      <c r="D19" s="43" t="str">
        <f>IF($C19="","",IFERROR(_xlfn.XLOOKUP($C19,tblPersonal[CUIL],tblPersonal[AP]),""))</f>
        <v>WOODLEY, ENRIQUE JAVIER</v>
      </c>
      <c r="E19" s="79" t="s">
        <v>40</v>
      </c>
      <c r="F19" s="79" t="s">
        <v>32</v>
      </c>
      <c r="G19" s="7">
        <f>IF(F19="","",IFERROR(VLOOKUP(TRIM(F19),FID!$A:$C,2,FALSE),""))</f>
        <v>2452</v>
      </c>
      <c r="H19" s="7">
        <f>IF(F19="","",IFERROR(VLOOKUP(TRIM(F19),FID!$A:$C,3,FALSE),""))</f>
        <v>10770512</v>
      </c>
      <c r="I19" s="82" t="str" cm="1">
        <f t="array" aca="1" ref="I19" ca="1">IF(COUNTA($J19:$M19)=0,"",_xlfn.LET(
_xlpm.enc,$N$7:$CH$7,
_xlpm.tipo,$N$4:$CH$4,
_xlpm.vig,$N$5:$CH$5,
_xlpm.fec,$N19:$CH19,
_xlpm.req,(
--(UPPER(IFERROR(INDEX('Requisito x Tarea'!$C$2:$BK$101,MATCH(TRIM($J19),'Requisito x Tarea'!$B$2:$B$101,0),MATCH(_xlpm.enc,'Requisito x Tarea'!$C$1:$BK$1,0)),""))="X")
+--(UPPER(IFERROR(INDEX('Requisito x Tarea'!$C$2:$BK$101,MATCH(TRIM($K19),'Requisito x Tarea'!$B$2:$B$101,0),MATCH(_xlpm.enc,'Requisito x Tarea'!$C$1:$BK$1,0)),""))="X")
+--(UPPER(IFERROR(INDEX('Requisito x Tarea'!$C$2:$BK$101,MATCH(TRIM($L19),'Requisito x Tarea'!$B$2:$B$101,0),MATCH(_xlpm.enc,'Requisito x Tarea'!$C$1:$BK$1,0)),""))="X")
+--(UPPER(IFERROR(INDEX('Requisito x Tarea'!$C$2:$BK$101,MATCH(TRIM($M19),'Requisito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>NO APTO</v>
      </c>
      <c r="J19" s="78" t="s">
        <v>33</v>
      </c>
      <c r="K19" s="78" t="s">
        <v>35</v>
      </c>
      <c r="L19" s="78" t="s">
        <v>34</v>
      </c>
      <c r="M19" s="78"/>
      <c r="N19" s="80"/>
      <c r="O19" s="80"/>
      <c r="P19" s="80"/>
      <c r="Q19" s="80"/>
      <c r="R19" s="80"/>
      <c r="S19" s="80">
        <v>46020</v>
      </c>
      <c r="T19" s="80"/>
      <c r="U19" s="80">
        <v>46013</v>
      </c>
      <c r="V19" s="80"/>
      <c r="W19" s="80"/>
      <c r="X19" s="80">
        <v>46141</v>
      </c>
      <c r="Y19" s="80">
        <v>46021</v>
      </c>
      <c r="Z19" s="80"/>
      <c r="AA19" s="80"/>
      <c r="AB19" s="80"/>
      <c r="AC19" s="80"/>
      <c r="AD19" s="80"/>
      <c r="AE19" s="80"/>
      <c r="AF19" s="80"/>
      <c r="AG19" s="80">
        <v>46134</v>
      </c>
      <c r="AH19" s="80"/>
      <c r="AI19" s="80"/>
      <c r="AJ19" s="80"/>
      <c r="AK19" s="80">
        <v>45770</v>
      </c>
      <c r="AL19" s="80">
        <v>46993</v>
      </c>
      <c r="AM19" s="80"/>
      <c r="AN19" s="80"/>
      <c r="AO19" s="80">
        <v>46013</v>
      </c>
      <c r="AP19" s="80">
        <v>46021</v>
      </c>
      <c r="AQ19" s="80"/>
      <c r="AR19" s="80">
        <v>46020</v>
      </c>
      <c r="AS19" s="80"/>
      <c r="AT19" s="80"/>
      <c r="AU19" s="80">
        <v>46021</v>
      </c>
      <c r="AV19" s="80">
        <v>46013</v>
      </c>
      <c r="AW19" s="80">
        <v>46021</v>
      </c>
      <c r="AX19" s="80"/>
      <c r="AY19" s="80">
        <v>46021</v>
      </c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</row>
    <row r="20" spans="1:72" ht="15" x14ac:dyDescent="0.3">
      <c r="A20" s="6">
        <v>13</v>
      </c>
      <c r="B20" s="60" t="str">
        <f>IF($C20="","",IFERROR(_xlfn.XLOOKUP($C20,tblPersonal[CUIL],tblPersonal[HUB]),""))</f>
        <v/>
      </c>
      <c r="C20" s="79"/>
      <c r="D20" s="43" t="str">
        <f>IF($C20="","",IFERROR(_xlfn.XLOOKUP($C20,tblPersonal[CUIL],tblPersonal[AP]),""))</f>
        <v/>
      </c>
      <c r="E20" s="79"/>
      <c r="F20" s="79"/>
      <c r="G20" s="7" t="str">
        <f>IF(F20="","",IFERROR(VLOOKUP(TRIM(F20),FID!$A:$C,2,FALSE),""))</f>
        <v/>
      </c>
      <c r="H20" s="7" t="str">
        <f>IF(F20="","",IFERROR(VLOOKUP(TRIM(F20),FID!$A:$C,3,FALSE),""))</f>
        <v/>
      </c>
      <c r="I20" s="82" t="str" cm="1">
        <f t="array" aca="1" ref="I20" ca="1">IF(COUNTA($J20:$M20)=0,"",_xlfn.LET(
_xlpm.enc,$N$7:$CH$7,
_xlpm.tipo,$N$4:$CH$4,
_xlpm.vig,$N$5:$CH$5,
_xlpm.fec,$N20:$CH20,
_xlpm.req,(
--(UPPER(IFERROR(INDEX('Requisito x Tarea'!$C$2:$BK$101,MATCH(TRIM($J20),'Requisito x Tarea'!$B$2:$B$101,0),MATCH(_xlpm.enc,'Requisito x Tarea'!$C$1:$BK$1,0)),""))="X")
+--(UPPER(IFERROR(INDEX('Requisito x Tarea'!$C$2:$BK$101,MATCH(TRIM($K20),'Requisito x Tarea'!$B$2:$B$101,0),MATCH(_xlpm.enc,'Requisito x Tarea'!$C$1:$BK$1,0)),""))="X")
+--(UPPER(IFERROR(INDEX('Requisito x Tarea'!$C$2:$BK$101,MATCH(TRIM($L20),'Requisito x Tarea'!$B$2:$B$101,0),MATCH(_xlpm.enc,'Requisito x Tarea'!$C$1:$BK$1,0)),""))="X")
+--(UPPER(IFERROR(INDEX('Requisito x Tarea'!$C$2:$BK$101,MATCH(TRIM($M20),'Requisito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20" s="78"/>
      <c r="K20" s="78"/>
      <c r="L20" s="78"/>
      <c r="M20" s="78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80"/>
      <c r="Z20" s="80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</row>
    <row r="21" spans="1:72" ht="15" x14ac:dyDescent="0.3">
      <c r="A21" s="6">
        <v>14</v>
      </c>
      <c r="B21" s="60" t="str">
        <f>IF($C21="","",IFERROR(_xlfn.XLOOKUP($C21,tblPersonal[CUIL],tblPersonal[HUB]),""))</f>
        <v/>
      </c>
      <c r="C21" s="79"/>
      <c r="D21" s="43" t="str">
        <f>IF($C21="","",IFERROR(_xlfn.XLOOKUP($C21,tblPersonal[CUIL],tblPersonal[AP]),""))</f>
        <v/>
      </c>
      <c r="E21" s="79"/>
      <c r="F21" s="79"/>
      <c r="G21" s="7" t="str">
        <f>IF(F21="","",IFERROR(VLOOKUP(TRIM(F21),FID!$A:$C,2,FALSE),""))</f>
        <v/>
      </c>
      <c r="H21" s="7" t="str">
        <f>IF(F21="","",IFERROR(VLOOKUP(TRIM(F21),FID!$A:$C,3,FALSE),""))</f>
        <v/>
      </c>
      <c r="I21" s="82" t="str" cm="1">
        <f t="array" aca="1" ref="I21" ca="1">IF(COUNTA($J21:$M21)=0,"",_xlfn.LET(
_xlpm.enc,$N$7:$CH$7,
_xlpm.tipo,$N$4:$CH$4,
_xlpm.vig,$N$5:$CH$5,
_xlpm.fec,$N21:$CH21,
_xlpm.req,(
--(UPPER(IFERROR(INDEX('Requisito x Tarea'!$C$2:$BK$101,MATCH(TRIM($J21),'Requisito x Tarea'!$B$2:$B$101,0),MATCH(_xlpm.enc,'Requisito x Tarea'!$C$1:$BK$1,0)),""))="X")
+--(UPPER(IFERROR(INDEX('Requisito x Tarea'!$C$2:$BK$101,MATCH(TRIM($K21),'Requisito x Tarea'!$B$2:$B$101,0),MATCH(_xlpm.enc,'Requisito x Tarea'!$C$1:$BK$1,0)),""))="X")
+--(UPPER(IFERROR(INDEX('Requisito x Tarea'!$C$2:$BK$101,MATCH(TRIM($L21),'Requisito x Tarea'!$B$2:$B$101,0),MATCH(_xlpm.enc,'Requisito x Tarea'!$C$1:$BK$1,0)),""))="X")
+--(UPPER(IFERROR(INDEX('Requisito x Tarea'!$C$2:$BK$101,MATCH(TRIM($M21),'Requisito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21" s="78"/>
      <c r="K21" s="78"/>
      <c r="L21" s="78"/>
      <c r="M21" s="78"/>
      <c r="N21" s="80"/>
      <c r="O21" s="80"/>
      <c r="P21" s="80"/>
      <c r="Q21" s="80"/>
      <c r="R21" s="80"/>
      <c r="S21" s="80"/>
      <c r="T21" s="80"/>
      <c r="U21" s="80"/>
      <c r="V21" s="80"/>
      <c r="W21" s="80"/>
      <c r="X21" s="80"/>
      <c r="Y21" s="80"/>
      <c r="Z21" s="80"/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</row>
    <row r="22" spans="1:72" ht="15" x14ac:dyDescent="0.3">
      <c r="A22" s="6">
        <v>15</v>
      </c>
      <c r="B22" s="60" t="str">
        <f>IF($C22="","",IFERROR(_xlfn.XLOOKUP($C22,tblPersonal[CUIL],tblPersonal[HUB]),""))</f>
        <v/>
      </c>
      <c r="C22" s="79"/>
      <c r="D22" s="43" t="str">
        <f>IF($C22="","",IFERROR(_xlfn.XLOOKUP($C22,tblPersonal[CUIL],tblPersonal[AP]),""))</f>
        <v/>
      </c>
      <c r="E22" s="79"/>
      <c r="F22" s="79"/>
      <c r="G22" s="7" t="str">
        <f>IF(F22="","",IFERROR(VLOOKUP(TRIM(F22),FID!$A:$C,2,FALSE),""))</f>
        <v/>
      </c>
      <c r="H22" s="7" t="str">
        <f>IF(F22="","",IFERROR(VLOOKUP(TRIM(F22),FID!$A:$C,3,FALSE),""))</f>
        <v/>
      </c>
      <c r="I22" s="82" t="str" cm="1">
        <f t="array" aca="1" ref="I22" ca="1">IF(COUNTA($J22:$M22)=0,"",_xlfn.LET(
_xlpm.enc,$N$7:$CH$7,
_xlpm.tipo,$N$4:$CH$4,
_xlpm.vig,$N$5:$CH$5,
_xlpm.fec,$N22:$CH22,
_xlpm.req,(
--(UPPER(IFERROR(INDEX('Requisito x Tarea'!$C$2:$BK$101,MATCH(TRIM($J22),'Requisito x Tarea'!$B$2:$B$101,0),MATCH(_xlpm.enc,'Requisito x Tarea'!$C$1:$BK$1,0)),""))="X")
+--(UPPER(IFERROR(INDEX('Requisito x Tarea'!$C$2:$BK$101,MATCH(TRIM($K22),'Requisito x Tarea'!$B$2:$B$101,0),MATCH(_xlpm.enc,'Requisito x Tarea'!$C$1:$BK$1,0)),""))="X")
+--(UPPER(IFERROR(INDEX('Requisito x Tarea'!$C$2:$BK$101,MATCH(TRIM($L22),'Requisito x Tarea'!$B$2:$B$101,0),MATCH(_xlpm.enc,'Requisito x Tarea'!$C$1:$BK$1,0)),""))="X")
+--(UPPER(IFERROR(INDEX('Requisito x Tarea'!$C$2:$BK$101,MATCH(TRIM($M22),'Requisito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22" s="78"/>
      <c r="K22" s="78"/>
      <c r="L22" s="78"/>
      <c r="M22" s="78"/>
      <c r="N22" s="80"/>
      <c r="O22" s="80"/>
      <c r="P22" s="80"/>
      <c r="Q22" s="80"/>
      <c r="R22" s="80"/>
      <c r="S22" s="80"/>
      <c r="T22" s="80"/>
      <c r="U22" s="80"/>
      <c r="V22" s="80"/>
      <c r="W22" s="80"/>
      <c r="X22" s="80"/>
      <c r="Y22" s="80"/>
      <c r="Z22" s="80"/>
      <c r="AA22" s="80"/>
      <c r="AB22" s="80"/>
      <c r="AC22" s="80"/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</row>
    <row r="23" spans="1:72" ht="15" x14ac:dyDescent="0.3">
      <c r="A23" s="6">
        <v>16</v>
      </c>
      <c r="B23" s="60" t="str">
        <f>IF($C23="","",IFERROR(_xlfn.XLOOKUP($C23,tblPersonal[CUIL],tblPersonal[HUB]),""))</f>
        <v/>
      </c>
      <c r="C23" s="79"/>
      <c r="D23" s="43" t="str">
        <f>IF($C23="","",IFERROR(_xlfn.XLOOKUP($C23,tblPersonal[CUIL],tblPersonal[AP]),""))</f>
        <v/>
      </c>
      <c r="E23" s="79"/>
      <c r="F23" s="79"/>
      <c r="G23" s="7" t="str">
        <f>IF(F23="","",IFERROR(VLOOKUP(TRIM(F23),FID!$A:$C,2,FALSE),""))</f>
        <v/>
      </c>
      <c r="H23" s="7" t="str">
        <f>IF(F23="","",IFERROR(VLOOKUP(TRIM(F23),FID!$A:$C,3,FALSE),""))</f>
        <v/>
      </c>
      <c r="I23" s="82" t="str" cm="1">
        <f t="array" aca="1" ref="I23" ca="1">IF(COUNTA($J23:$M23)=0,"",_xlfn.LET(
_xlpm.enc,$N$7:$CH$7,
_xlpm.tipo,$N$4:$CH$4,
_xlpm.vig,$N$5:$CH$5,
_xlpm.fec,$N23:$CH23,
_xlpm.req,(
--(UPPER(IFERROR(INDEX('Requisito x Tarea'!$C$2:$BK$101,MATCH(TRIM($J23),'Requisito x Tarea'!$B$2:$B$101,0),MATCH(_xlpm.enc,'Requisito x Tarea'!$C$1:$BK$1,0)),""))="X")
+--(UPPER(IFERROR(INDEX('Requisito x Tarea'!$C$2:$BK$101,MATCH(TRIM($K23),'Requisito x Tarea'!$B$2:$B$101,0),MATCH(_xlpm.enc,'Requisito x Tarea'!$C$1:$BK$1,0)),""))="X")
+--(UPPER(IFERROR(INDEX('Requisito x Tarea'!$C$2:$BK$101,MATCH(TRIM($L23),'Requisito x Tarea'!$B$2:$B$101,0),MATCH(_xlpm.enc,'Requisito x Tarea'!$C$1:$BK$1,0)),""))="X")
+--(UPPER(IFERROR(INDEX('Requisito x Tarea'!$C$2:$BK$101,MATCH(TRIM($M23),'Requisito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23" s="78"/>
      <c r="K23" s="78"/>
      <c r="L23" s="78"/>
      <c r="M23" s="78"/>
      <c r="N23" s="80"/>
      <c r="O23" s="80"/>
      <c r="P23" s="80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</row>
    <row r="24" spans="1:72" ht="15" x14ac:dyDescent="0.3">
      <c r="A24" s="6">
        <v>17</v>
      </c>
      <c r="B24" s="60" t="str">
        <f>IF($C24="","",IFERROR(_xlfn.XLOOKUP($C24,tblPersonal[CUIL],tblPersonal[HUB]),""))</f>
        <v/>
      </c>
      <c r="C24" s="79"/>
      <c r="D24" s="43" t="str">
        <f>IF($C24="","",IFERROR(_xlfn.XLOOKUP($C24,tblPersonal[CUIL],tblPersonal[AP]),""))</f>
        <v/>
      </c>
      <c r="E24" s="79"/>
      <c r="F24" s="79"/>
      <c r="G24" s="7" t="str">
        <f>IF(F24="","",IFERROR(VLOOKUP(TRIM(F24),FID!$A:$C,2,FALSE),""))</f>
        <v/>
      </c>
      <c r="H24" s="7" t="str">
        <f>IF(F24="","",IFERROR(VLOOKUP(TRIM(F24),FID!$A:$C,3,FALSE),""))</f>
        <v/>
      </c>
      <c r="I24" s="82" t="str" cm="1">
        <f t="array" aca="1" ref="I24" ca="1">IF(COUNTA($J24:$M24)=0,"",_xlfn.LET(
_xlpm.enc,$N$7:$CH$7,
_xlpm.tipo,$N$4:$CH$4,
_xlpm.vig,$N$5:$CH$5,
_xlpm.fec,$N24:$CH24,
_xlpm.req,(
--(UPPER(IFERROR(INDEX('Requisito x Tarea'!$C$2:$BK$101,MATCH(TRIM($J24),'Requisito x Tarea'!$B$2:$B$101,0),MATCH(_xlpm.enc,'Requisito x Tarea'!$C$1:$BK$1,0)),""))="X")
+--(UPPER(IFERROR(INDEX('Requisito x Tarea'!$C$2:$BK$101,MATCH(TRIM($K24),'Requisito x Tarea'!$B$2:$B$101,0),MATCH(_xlpm.enc,'Requisito x Tarea'!$C$1:$BK$1,0)),""))="X")
+--(UPPER(IFERROR(INDEX('Requisito x Tarea'!$C$2:$BK$101,MATCH(TRIM($L24),'Requisito x Tarea'!$B$2:$B$101,0),MATCH(_xlpm.enc,'Requisito x Tarea'!$C$1:$BK$1,0)),""))="X")
+--(UPPER(IFERROR(INDEX('Requisito x Tarea'!$C$2:$BK$101,MATCH(TRIM($M24),'Requisito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24" s="78"/>
      <c r="K24" s="78"/>
      <c r="L24" s="78"/>
      <c r="M24" s="78"/>
      <c r="N24" s="80"/>
      <c r="O24" s="80"/>
      <c r="P24" s="80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</row>
    <row r="25" spans="1:72" ht="15" x14ac:dyDescent="0.3">
      <c r="A25" s="6">
        <v>18</v>
      </c>
      <c r="B25" s="60" t="str">
        <f>IF($C25="","",IFERROR(_xlfn.XLOOKUP($C25,tblPersonal[CUIL],tblPersonal[HUB]),""))</f>
        <v/>
      </c>
      <c r="C25" s="79"/>
      <c r="D25" s="43" t="str">
        <f>IF($C25="","",IFERROR(_xlfn.XLOOKUP($C25,tblPersonal[CUIL],tblPersonal[AP]),""))</f>
        <v/>
      </c>
      <c r="E25" s="79"/>
      <c r="F25" s="79"/>
      <c r="G25" s="7" t="str">
        <f>IF(F25="","",IFERROR(VLOOKUP(TRIM(F25),FID!$A:$C,2,FALSE),""))</f>
        <v/>
      </c>
      <c r="H25" s="7" t="str">
        <f>IF(F25="","",IFERROR(VLOOKUP(TRIM(F25),FID!$A:$C,3,FALSE),""))</f>
        <v/>
      </c>
      <c r="I25" s="82" t="str" cm="1">
        <f t="array" aca="1" ref="I25" ca="1">IF(COUNTA($J25:$M25)=0,"",_xlfn.LET(
_xlpm.enc,$N$7:$CH$7,
_xlpm.tipo,$N$4:$CH$4,
_xlpm.vig,$N$5:$CH$5,
_xlpm.fec,$N25:$CH25,
_xlpm.req,(
--(UPPER(IFERROR(INDEX('Requisito x Tarea'!$C$2:$BK$101,MATCH(TRIM($J25),'Requisito x Tarea'!$B$2:$B$101,0),MATCH(_xlpm.enc,'Requisito x Tarea'!$C$1:$BK$1,0)),""))="X")
+--(UPPER(IFERROR(INDEX('Requisito x Tarea'!$C$2:$BK$101,MATCH(TRIM($K25),'Requisito x Tarea'!$B$2:$B$101,0),MATCH(_xlpm.enc,'Requisito x Tarea'!$C$1:$BK$1,0)),""))="X")
+--(UPPER(IFERROR(INDEX('Requisito x Tarea'!$C$2:$BK$101,MATCH(TRIM($L25),'Requisito x Tarea'!$B$2:$B$101,0),MATCH(_xlpm.enc,'Requisito x Tarea'!$C$1:$BK$1,0)),""))="X")
+--(UPPER(IFERROR(INDEX('Requisito x Tarea'!$C$2:$BK$101,MATCH(TRIM($M25),'Requisito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25" s="78"/>
      <c r="K25" s="78"/>
      <c r="L25" s="78"/>
      <c r="M25" s="78"/>
      <c r="N25" s="80"/>
      <c r="O25" s="80"/>
      <c r="P25" s="80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  <c r="AB25" s="80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</row>
    <row r="26" spans="1:72" ht="15" x14ac:dyDescent="0.3">
      <c r="A26" s="6">
        <v>19</v>
      </c>
      <c r="B26" s="60" t="str">
        <f>IF($C26="","",IFERROR(_xlfn.XLOOKUP($C26,tblPersonal[CUIL],tblPersonal[HUB]),""))</f>
        <v/>
      </c>
      <c r="C26" s="79"/>
      <c r="D26" s="43" t="str">
        <f>IF($C26="","",IFERROR(_xlfn.XLOOKUP($C26,tblPersonal[CUIL],tblPersonal[AP]),""))</f>
        <v/>
      </c>
      <c r="E26" s="79"/>
      <c r="F26" s="79"/>
      <c r="G26" s="7" t="str">
        <f>IF(F26="","",IFERROR(VLOOKUP(TRIM(F26),FID!$A:$C,2,FALSE),""))</f>
        <v/>
      </c>
      <c r="H26" s="7" t="str">
        <f>IF(F26="","",IFERROR(VLOOKUP(TRIM(F26),FID!$A:$C,3,FALSE),""))</f>
        <v/>
      </c>
      <c r="I26" s="82" t="str" cm="1">
        <f t="array" aca="1" ref="I26" ca="1">IF(COUNTA($J26:$M26)=0,"",_xlfn.LET(
_xlpm.enc,$N$7:$CH$7,
_xlpm.tipo,$N$4:$CH$4,
_xlpm.vig,$N$5:$CH$5,
_xlpm.fec,$N26:$CH26,
_xlpm.req,(
--(UPPER(IFERROR(INDEX('Requisito x Tarea'!$C$2:$BK$101,MATCH(TRIM($J26),'Requisito x Tarea'!$B$2:$B$101,0),MATCH(_xlpm.enc,'Requisito x Tarea'!$C$1:$BK$1,0)),""))="X")
+--(UPPER(IFERROR(INDEX('Requisito x Tarea'!$C$2:$BK$101,MATCH(TRIM($K26),'Requisito x Tarea'!$B$2:$B$101,0),MATCH(_xlpm.enc,'Requisito x Tarea'!$C$1:$BK$1,0)),""))="X")
+--(UPPER(IFERROR(INDEX('Requisito x Tarea'!$C$2:$BK$101,MATCH(TRIM($L26),'Requisito x Tarea'!$B$2:$B$101,0),MATCH(_xlpm.enc,'Requisito x Tarea'!$C$1:$BK$1,0)),""))="X")
+--(UPPER(IFERROR(INDEX('Requisito x Tarea'!$C$2:$BK$101,MATCH(TRIM($M26),'Requisito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26" s="78"/>
      <c r="K26" s="78"/>
      <c r="L26" s="78"/>
      <c r="M26" s="78"/>
      <c r="N26" s="80"/>
      <c r="O26" s="80"/>
      <c r="P26" s="80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</row>
    <row r="27" spans="1:72" ht="15" x14ac:dyDescent="0.3">
      <c r="A27" s="6">
        <v>20</v>
      </c>
      <c r="B27" s="60" t="str">
        <f>IF($C27="","",IFERROR(_xlfn.XLOOKUP($C27,tblPersonal[CUIL],tblPersonal[HUB]),""))</f>
        <v/>
      </c>
      <c r="C27" s="79"/>
      <c r="D27" s="43" t="str">
        <f>IF($C27="","",IFERROR(_xlfn.XLOOKUP($C27,tblPersonal[CUIL],tblPersonal[AP]),""))</f>
        <v/>
      </c>
      <c r="E27" s="79"/>
      <c r="F27" s="79"/>
      <c r="G27" s="7" t="str">
        <f>IF(F27="","",IFERROR(VLOOKUP(TRIM(F27),FID!$A:$C,2,FALSE),""))</f>
        <v/>
      </c>
      <c r="H27" s="7" t="str">
        <f>IF(F27="","",IFERROR(VLOOKUP(TRIM(F27),FID!$A:$C,3,FALSE),""))</f>
        <v/>
      </c>
      <c r="I27" s="82" t="str" cm="1">
        <f t="array" aca="1" ref="I27" ca="1">IF(COUNTA($J27:$M27)=0,"",_xlfn.LET(
_xlpm.enc,$N$7:$CH$7,
_xlpm.tipo,$N$4:$CH$4,
_xlpm.vig,$N$5:$CH$5,
_xlpm.fec,$N27:$CH27,
_xlpm.req,(
--(UPPER(IFERROR(INDEX('Requisito x Tarea'!$C$2:$BK$101,MATCH(TRIM($J27),'Requisito x Tarea'!$B$2:$B$101,0),MATCH(_xlpm.enc,'Requisito x Tarea'!$C$1:$BK$1,0)),""))="X")
+--(UPPER(IFERROR(INDEX('Requisito x Tarea'!$C$2:$BK$101,MATCH(TRIM($K27),'Requisito x Tarea'!$B$2:$B$101,0),MATCH(_xlpm.enc,'Requisito x Tarea'!$C$1:$BK$1,0)),""))="X")
+--(UPPER(IFERROR(INDEX('Requisito x Tarea'!$C$2:$BK$101,MATCH(TRIM($L27),'Requisito x Tarea'!$B$2:$B$101,0),MATCH(_xlpm.enc,'Requisito x Tarea'!$C$1:$BK$1,0)),""))="X")
+--(UPPER(IFERROR(INDEX('Requisito x Tarea'!$C$2:$BK$101,MATCH(TRIM($M27),'Requisito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27" s="78"/>
      <c r="K27" s="78"/>
      <c r="L27" s="78"/>
      <c r="M27" s="78"/>
      <c r="N27" s="80"/>
      <c r="O27" s="80"/>
      <c r="P27" s="80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</row>
    <row r="28" spans="1:72" ht="15" x14ac:dyDescent="0.3">
      <c r="A28" s="6">
        <v>21</v>
      </c>
      <c r="B28" s="60" t="str">
        <f>IF($C28="","",IFERROR(_xlfn.XLOOKUP($C28,tblPersonal[CUIL],tblPersonal[HUB]),""))</f>
        <v/>
      </c>
      <c r="C28" s="79"/>
      <c r="D28" s="43" t="str">
        <f>IF($C28="","",IFERROR(_xlfn.XLOOKUP($C28,tblPersonal[CUIL],tblPersonal[AP]),""))</f>
        <v/>
      </c>
      <c r="E28" s="79"/>
      <c r="F28" s="79"/>
      <c r="G28" s="7" t="str">
        <f>IF(F28="","",IFERROR(VLOOKUP(TRIM(F28),FID!$A:$C,2,FALSE),""))</f>
        <v/>
      </c>
      <c r="H28" s="7" t="str">
        <f>IF(F28="","",IFERROR(VLOOKUP(TRIM(F28),FID!$A:$C,3,FALSE),""))</f>
        <v/>
      </c>
      <c r="I28" s="82" t="str" cm="1">
        <f t="array" aca="1" ref="I28" ca="1">IF(COUNTA($J28:$M28)=0,"",_xlfn.LET(
_xlpm.enc,$N$7:$CH$7,
_xlpm.tipo,$N$4:$CH$4,
_xlpm.vig,$N$5:$CH$5,
_xlpm.fec,$N28:$CH28,
_xlpm.req,(
--(UPPER(IFERROR(INDEX('Requisito x Tarea'!$C$2:$BK$101,MATCH(TRIM($J28),'Requisito x Tarea'!$B$2:$B$101,0),MATCH(_xlpm.enc,'Requisito x Tarea'!$C$1:$BK$1,0)),""))="X")
+--(UPPER(IFERROR(INDEX('Requisito x Tarea'!$C$2:$BK$101,MATCH(TRIM($K28),'Requisito x Tarea'!$B$2:$B$101,0),MATCH(_xlpm.enc,'Requisito x Tarea'!$C$1:$BK$1,0)),""))="X")
+--(UPPER(IFERROR(INDEX('Requisito x Tarea'!$C$2:$BK$101,MATCH(TRIM($L28),'Requisito x Tarea'!$B$2:$B$101,0),MATCH(_xlpm.enc,'Requisito x Tarea'!$C$1:$BK$1,0)),""))="X")
+--(UPPER(IFERROR(INDEX('Requisito x Tarea'!$C$2:$BK$101,MATCH(TRIM($M28),'Requisito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28" s="78"/>
      <c r="K28" s="78"/>
      <c r="L28" s="78"/>
      <c r="M28" s="78"/>
      <c r="N28" s="80"/>
      <c r="O28" s="80"/>
      <c r="P28" s="80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</row>
    <row r="29" spans="1:72" ht="15" x14ac:dyDescent="0.3">
      <c r="A29" s="6">
        <v>22</v>
      </c>
      <c r="B29" s="60" t="str">
        <f>IF($C29="","",IFERROR(_xlfn.XLOOKUP($C29,tblPersonal[CUIL],tblPersonal[HUB]),""))</f>
        <v/>
      </c>
      <c r="C29" s="79"/>
      <c r="D29" s="43" t="str">
        <f>IF($C29="","",IFERROR(_xlfn.XLOOKUP($C29,tblPersonal[CUIL],tblPersonal[AP]),""))</f>
        <v/>
      </c>
      <c r="E29" s="79"/>
      <c r="F29" s="79"/>
      <c r="G29" s="7" t="str">
        <f>IF(F29="","",IFERROR(VLOOKUP(TRIM(F29),FID!$A:$C,2,FALSE),""))</f>
        <v/>
      </c>
      <c r="H29" s="7" t="str">
        <f>IF(F29="","",IFERROR(VLOOKUP(TRIM(F29),FID!$A:$C,3,FALSE),""))</f>
        <v/>
      </c>
      <c r="I29" s="82" t="str" cm="1">
        <f t="array" aca="1" ref="I29" ca="1">IF(COUNTA($J29:$M29)=0,"",_xlfn.LET(
_xlpm.enc,$N$7:$CH$7,
_xlpm.tipo,$N$4:$CH$4,
_xlpm.vig,$N$5:$CH$5,
_xlpm.fec,$N29:$CH29,
_xlpm.req,(
--(UPPER(IFERROR(INDEX('Requisito x Tarea'!$C$2:$BK$101,MATCH(TRIM($J29),'Requisito x Tarea'!$B$2:$B$101,0),MATCH(_xlpm.enc,'Requisito x Tarea'!$C$1:$BK$1,0)),""))="X")
+--(UPPER(IFERROR(INDEX('Requisito x Tarea'!$C$2:$BK$101,MATCH(TRIM($K29),'Requisito x Tarea'!$B$2:$B$101,0),MATCH(_xlpm.enc,'Requisito x Tarea'!$C$1:$BK$1,0)),""))="X")
+--(UPPER(IFERROR(INDEX('Requisito x Tarea'!$C$2:$BK$101,MATCH(TRIM($L29),'Requisito x Tarea'!$B$2:$B$101,0),MATCH(_xlpm.enc,'Requisito x Tarea'!$C$1:$BK$1,0)),""))="X")
+--(UPPER(IFERROR(INDEX('Requisito x Tarea'!$C$2:$BK$101,MATCH(TRIM($M29),'Requisito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29" s="78"/>
      <c r="K29" s="78"/>
      <c r="L29" s="78"/>
      <c r="M29" s="78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</row>
    <row r="30" spans="1:72" ht="15" x14ac:dyDescent="0.3">
      <c r="A30" s="6">
        <v>23</v>
      </c>
      <c r="B30" s="60" t="str">
        <f>IF($C30="","",IFERROR(_xlfn.XLOOKUP($C30,tblPersonal[CUIL],tblPersonal[HUB]),""))</f>
        <v/>
      </c>
      <c r="C30" s="79"/>
      <c r="D30" s="43" t="str">
        <f>IF($C30="","",IFERROR(_xlfn.XLOOKUP($C30,tblPersonal[CUIL],tblPersonal[AP]),""))</f>
        <v/>
      </c>
      <c r="E30" s="79"/>
      <c r="F30" s="79"/>
      <c r="G30" s="7" t="str">
        <f>IF(F30="","",IFERROR(VLOOKUP(TRIM(F30),FID!$A:$C,2,FALSE),""))</f>
        <v/>
      </c>
      <c r="H30" s="7" t="str">
        <f>IF(F30="","",IFERROR(VLOOKUP(TRIM(F30),FID!$A:$C,3,FALSE),""))</f>
        <v/>
      </c>
      <c r="I30" s="82" t="str" cm="1">
        <f t="array" aca="1" ref="I30" ca="1">IF(COUNTA($J30:$M30)=0,"",_xlfn.LET(
_xlpm.enc,$N$7:$CH$7,
_xlpm.tipo,$N$4:$CH$4,
_xlpm.vig,$N$5:$CH$5,
_xlpm.fec,$N30:$CH30,
_xlpm.req,(
--(UPPER(IFERROR(INDEX('Requisito x Tarea'!$C$2:$BK$101,MATCH(TRIM($J30),'Requisito x Tarea'!$B$2:$B$101,0),MATCH(_xlpm.enc,'Requisito x Tarea'!$C$1:$BK$1,0)),""))="X")
+--(UPPER(IFERROR(INDEX('Requisito x Tarea'!$C$2:$BK$101,MATCH(TRIM($K30),'Requisito x Tarea'!$B$2:$B$101,0),MATCH(_xlpm.enc,'Requisito x Tarea'!$C$1:$BK$1,0)),""))="X")
+--(UPPER(IFERROR(INDEX('Requisito x Tarea'!$C$2:$BK$101,MATCH(TRIM($L30),'Requisito x Tarea'!$B$2:$B$101,0),MATCH(_xlpm.enc,'Requisito x Tarea'!$C$1:$BK$1,0)),""))="X")
+--(UPPER(IFERROR(INDEX('Requisito x Tarea'!$C$2:$BK$101,MATCH(TRIM($M30),'Requisito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30" s="78"/>
      <c r="K30" s="78"/>
      <c r="L30" s="78"/>
      <c r="M30" s="78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</row>
    <row r="31" spans="1:72" ht="15" x14ac:dyDescent="0.3">
      <c r="A31" s="6">
        <v>24</v>
      </c>
      <c r="B31" s="60" t="str">
        <f>IF($C31="","",IFERROR(_xlfn.XLOOKUP($C31,tblPersonal[CUIL],tblPersonal[HUB]),""))</f>
        <v/>
      </c>
      <c r="C31" s="79"/>
      <c r="D31" s="43" t="str">
        <f>IF($C31="","",IFERROR(_xlfn.XLOOKUP($C31,tblPersonal[CUIL],tblPersonal[AP]),""))</f>
        <v/>
      </c>
      <c r="E31" s="79"/>
      <c r="F31" s="79"/>
      <c r="G31" s="7" t="str">
        <f>IF(F31="","",IFERROR(VLOOKUP(TRIM(F31),FID!$A:$C,2,FALSE),""))</f>
        <v/>
      </c>
      <c r="H31" s="7" t="str">
        <f>IF(F31="","",IFERROR(VLOOKUP(TRIM(F31),FID!$A:$C,3,FALSE),""))</f>
        <v/>
      </c>
      <c r="I31" s="82" t="str" cm="1">
        <f t="array" aca="1" ref="I31" ca="1">IF(COUNTA($J31:$M31)=0,"",_xlfn.LET(
_xlpm.enc,$N$7:$CH$7,
_xlpm.tipo,$N$4:$CH$4,
_xlpm.vig,$N$5:$CH$5,
_xlpm.fec,$N31:$CH31,
_xlpm.req,(
--(UPPER(IFERROR(INDEX('Requisito x Tarea'!$C$2:$BK$101,MATCH(TRIM($J31),'Requisito x Tarea'!$B$2:$B$101,0),MATCH(_xlpm.enc,'Requisito x Tarea'!$C$1:$BK$1,0)),""))="X")
+--(UPPER(IFERROR(INDEX('Requisito x Tarea'!$C$2:$BK$101,MATCH(TRIM($K31),'Requisito x Tarea'!$B$2:$B$101,0),MATCH(_xlpm.enc,'Requisito x Tarea'!$C$1:$BK$1,0)),""))="X")
+--(UPPER(IFERROR(INDEX('Requisito x Tarea'!$C$2:$BK$101,MATCH(TRIM($L31),'Requisito x Tarea'!$B$2:$B$101,0),MATCH(_xlpm.enc,'Requisito x Tarea'!$C$1:$BK$1,0)),""))="X")
+--(UPPER(IFERROR(INDEX('Requisito x Tarea'!$C$2:$BK$101,MATCH(TRIM($M31),'Requisito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31" s="78"/>
      <c r="K31" s="78"/>
      <c r="L31" s="78"/>
      <c r="M31" s="78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</row>
    <row r="32" spans="1:72" ht="15" x14ac:dyDescent="0.3">
      <c r="A32" s="6">
        <v>25</v>
      </c>
      <c r="B32" s="60" t="str">
        <f>IF($C32="","",IFERROR(_xlfn.XLOOKUP($C32,tblPersonal[CUIL],tblPersonal[HUB]),""))</f>
        <v/>
      </c>
      <c r="C32" s="79"/>
      <c r="D32" s="43" t="str">
        <f>IF($C32="","",IFERROR(_xlfn.XLOOKUP($C32,tblPersonal[CUIL],tblPersonal[AP]),""))</f>
        <v/>
      </c>
      <c r="E32" s="79"/>
      <c r="F32" s="79"/>
      <c r="G32" s="7" t="str">
        <f>IF(F32="","",IFERROR(VLOOKUP(TRIM(F32),FID!$A:$C,2,FALSE),""))</f>
        <v/>
      </c>
      <c r="H32" s="7" t="str">
        <f>IF(F32="","",IFERROR(VLOOKUP(TRIM(F32),FID!$A:$C,3,FALSE),""))</f>
        <v/>
      </c>
      <c r="I32" s="82" t="str" cm="1">
        <f t="array" aca="1" ref="I32" ca="1">IF(COUNTA($J32:$M32)=0,"",_xlfn.LET(
_xlpm.enc,$N$7:$CH$7,
_xlpm.tipo,$N$4:$CH$4,
_xlpm.vig,$N$5:$CH$5,
_xlpm.fec,$N32:$CH32,
_xlpm.req,(
--(UPPER(IFERROR(INDEX('Requisito x Tarea'!$C$2:$BK$101,MATCH(TRIM($J32),'Requisito x Tarea'!$B$2:$B$101,0),MATCH(_xlpm.enc,'Requisito x Tarea'!$C$1:$BK$1,0)),""))="X")
+--(UPPER(IFERROR(INDEX('Requisito x Tarea'!$C$2:$BK$101,MATCH(TRIM($K32),'Requisito x Tarea'!$B$2:$B$101,0),MATCH(_xlpm.enc,'Requisito x Tarea'!$C$1:$BK$1,0)),""))="X")
+--(UPPER(IFERROR(INDEX('Requisito x Tarea'!$C$2:$BK$101,MATCH(TRIM($L32),'Requisito x Tarea'!$B$2:$B$101,0),MATCH(_xlpm.enc,'Requisito x Tarea'!$C$1:$BK$1,0)),""))="X")
+--(UPPER(IFERROR(INDEX('Requisito x Tarea'!$C$2:$BK$101,MATCH(TRIM($M32),'Requisito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32" s="78"/>
      <c r="K32" s="78"/>
      <c r="L32" s="78"/>
      <c r="M32" s="78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</row>
    <row r="33" spans="1:72" ht="15" x14ac:dyDescent="0.3">
      <c r="A33" s="6">
        <v>26</v>
      </c>
      <c r="B33" s="60" t="str">
        <f>IF($C33="","",IFERROR(_xlfn.XLOOKUP($C33,tblPersonal[CUIL],tblPersonal[HUB]),""))</f>
        <v/>
      </c>
      <c r="C33" s="79"/>
      <c r="D33" s="43" t="str">
        <f>IF($C33="","",IFERROR(_xlfn.XLOOKUP($C33,tblPersonal[CUIL],tblPersonal[AP]),""))</f>
        <v/>
      </c>
      <c r="E33" s="79"/>
      <c r="F33" s="79"/>
      <c r="G33" s="7" t="str">
        <f>IF(F33="","",IFERROR(VLOOKUP(TRIM(F33),FID!$A:$C,2,FALSE),""))</f>
        <v/>
      </c>
      <c r="H33" s="7" t="str">
        <f>IF(F33="","",IFERROR(VLOOKUP(TRIM(F33),FID!$A:$C,3,FALSE),""))</f>
        <v/>
      </c>
      <c r="I33" s="82" t="str" cm="1">
        <f t="array" aca="1" ref="I33" ca="1">IF(COUNTA($J33:$M33)=0,"",_xlfn.LET(
_xlpm.enc,$N$7:$CH$7,
_xlpm.tipo,$N$4:$CH$4,
_xlpm.vig,$N$5:$CH$5,
_xlpm.fec,$N33:$CH33,
_xlpm.req,(
--(UPPER(IFERROR(INDEX('Requisito x Tarea'!$C$2:$BK$101,MATCH(TRIM($J33),'Requisito x Tarea'!$B$2:$B$101,0),MATCH(_xlpm.enc,'Requisito x Tarea'!$C$1:$BK$1,0)),""))="X")
+--(UPPER(IFERROR(INDEX('Requisito x Tarea'!$C$2:$BK$101,MATCH(TRIM($K33),'Requisito x Tarea'!$B$2:$B$101,0),MATCH(_xlpm.enc,'Requisito x Tarea'!$C$1:$BK$1,0)),""))="X")
+--(UPPER(IFERROR(INDEX('Requisito x Tarea'!$C$2:$BK$101,MATCH(TRIM($L33),'Requisito x Tarea'!$B$2:$B$101,0),MATCH(_xlpm.enc,'Requisito x Tarea'!$C$1:$BK$1,0)),""))="X")
+--(UPPER(IFERROR(INDEX('Requisito x Tarea'!$C$2:$BK$101,MATCH(TRIM($M33),'Requisito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33" s="78"/>
      <c r="K33" s="78"/>
      <c r="L33" s="78"/>
      <c r="M33" s="78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  <c r="AY33" s="80"/>
      <c r="AZ33" s="80"/>
      <c r="BA33" s="80"/>
      <c r="BB33" s="80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</row>
    <row r="34" spans="1:72" ht="15" x14ac:dyDescent="0.3">
      <c r="A34" s="6">
        <v>27</v>
      </c>
      <c r="B34" s="60" t="str">
        <f>IF($C34="","",IFERROR(_xlfn.XLOOKUP($C34,tblPersonal[CUIL],tblPersonal[HUB]),""))</f>
        <v/>
      </c>
      <c r="C34" s="79"/>
      <c r="D34" s="43" t="str">
        <f>IF($C34="","",IFERROR(_xlfn.XLOOKUP($C34,tblPersonal[CUIL],tblPersonal[AP]),""))</f>
        <v/>
      </c>
      <c r="E34" s="79"/>
      <c r="F34" s="79"/>
      <c r="G34" s="7" t="str">
        <f>IF(F34="","",IFERROR(VLOOKUP(TRIM(F34),FID!$A:$C,2,FALSE),""))</f>
        <v/>
      </c>
      <c r="H34" s="7" t="str">
        <f>IF(F34="","",IFERROR(VLOOKUP(TRIM(F34),FID!$A:$C,3,FALSE),""))</f>
        <v/>
      </c>
      <c r="I34" s="82" t="str" cm="1">
        <f t="array" aca="1" ref="I34" ca="1">IF(COUNTA($J34:$M34)=0,"",_xlfn.LET(
_xlpm.enc,$N$7:$CH$7,
_xlpm.tipo,$N$4:$CH$4,
_xlpm.vig,$N$5:$CH$5,
_xlpm.fec,$N34:$CH34,
_xlpm.req,(
--(UPPER(IFERROR(INDEX('Requisito x Tarea'!$C$2:$BK$101,MATCH(TRIM($J34),'Requisito x Tarea'!$B$2:$B$101,0),MATCH(_xlpm.enc,'Requisito x Tarea'!$C$1:$BK$1,0)),""))="X")
+--(UPPER(IFERROR(INDEX('Requisito x Tarea'!$C$2:$BK$101,MATCH(TRIM($K34),'Requisito x Tarea'!$B$2:$B$101,0),MATCH(_xlpm.enc,'Requisito x Tarea'!$C$1:$BK$1,0)),""))="X")
+--(UPPER(IFERROR(INDEX('Requisito x Tarea'!$C$2:$BK$101,MATCH(TRIM($L34),'Requisito x Tarea'!$B$2:$B$101,0),MATCH(_xlpm.enc,'Requisito x Tarea'!$C$1:$BK$1,0)),""))="X")
+--(UPPER(IFERROR(INDEX('Requisito x Tarea'!$C$2:$BK$101,MATCH(TRIM($M34),'Requisito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34" s="78"/>
      <c r="K34" s="78"/>
      <c r="L34" s="78"/>
      <c r="M34" s="78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</row>
    <row r="35" spans="1:72" ht="15" x14ac:dyDescent="0.3">
      <c r="A35" s="6">
        <v>28</v>
      </c>
      <c r="B35" s="60" t="str">
        <f>IF($C35="","",IFERROR(_xlfn.XLOOKUP($C35,tblPersonal[CUIL],tblPersonal[HUB]),""))</f>
        <v/>
      </c>
      <c r="C35" s="79"/>
      <c r="D35" s="43" t="str">
        <f>IF($C35="","",IFERROR(_xlfn.XLOOKUP($C35,tblPersonal[CUIL],tblPersonal[AP]),""))</f>
        <v/>
      </c>
      <c r="E35" s="79"/>
      <c r="F35" s="79"/>
      <c r="G35" s="7" t="str">
        <f>IF(F35="","",IFERROR(VLOOKUP(TRIM(F35),FID!$A:$C,2,FALSE),""))</f>
        <v/>
      </c>
      <c r="H35" s="7" t="str">
        <f>IF(F35="","",IFERROR(VLOOKUP(TRIM(F35),FID!$A:$C,3,FALSE),""))</f>
        <v/>
      </c>
      <c r="I35" s="82" t="str" cm="1">
        <f t="array" aca="1" ref="I35" ca="1">IF(COUNTA($J35:$M35)=0,"",_xlfn.LET(
_xlpm.enc,$N$7:$CH$7,
_xlpm.tipo,$N$4:$CH$4,
_xlpm.vig,$N$5:$CH$5,
_xlpm.fec,$N35:$CH35,
_xlpm.req,(
--(UPPER(IFERROR(INDEX('Requisito x Tarea'!$C$2:$BK$101,MATCH(TRIM($J35),'Requisito x Tarea'!$B$2:$B$101,0),MATCH(_xlpm.enc,'Requisito x Tarea'!$C$1:$BK$1,0)),""))="X")
+--(UPPER(IFERROR(INDEX('Requisito x Tarea'!$C$2:$BK$101,MATCH(TRIM($K35),'Requisito x Tarea'!$B$2:$B$101,0),MATCH(_xlpm.enc,'Requisito x Tarea'!$C$1:$BK$1,0)),""))="X")
+--(UPPER(IFERROR(INDEX('Requisito x Tarea'!$C$2:$BK$101,MATCH(TRIM($L35),'Requisito x Tarea'!$B$2:$B$101,0),MATCH(_xlpm.enc,'Requisito x Tarea'!$C$1:$BK$1,0)),""))="X")
+--(UPPER(IFERROR(INDEX('Requisito x Tarea'!$C$2:$BK$101,MATCH(TRIM($M35),'Requisito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35" s="78"/>
      <c r="K35" s="78"/>
      <c r="L35" s="78"/>
      <c r="M35" s="78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</row>
    <row r="36" spans="1:72" ht="15" x14ac:dyDescent="0.3">
      <c r="A36" s="6">
        <v>29</v>
      </c>
      <c r="B36" s="60" t="str">
        <f>IF($C36="","",IFERROR(_xlfn.XLOOKUP($C36,tblPersonal[CUIL],tblPersonal[HUB]),""))</f>
        <v/>
      </c>
      <c r="C36" s="79"/>
      <c r="D36" s="43" t="str">
        <f>IF($C36="","",IFERROR(_xlfn.XLOOKUP($C36,tblPersonal[CUIL],tblPersonal[AP]),""))</f>
        <v/>
      </c>
      <c r="E36" s="79"/>
      <c r="F36" s="79"/>
      <c r="G36" s="7" t="str">
        <f>IF(F36="","",IFERROR(VLOOKUP(TRIM(F36),FID!$A:$C,2,FALSE),""))</f>
        <v/>
      </c>
      <c r="H36" s="7" t="str">
        <f>IF(F36="","",IFERROR(VLOOKUP(TRIM(F36),FID!$A:$C,3,FALSE),""))</f>
        <v/>
      </c>
      <c r="I36" s="82" t="str" cm="1">
        <f t="array" aca="1" ref="I36" ca="1">IF(COUNTA($J36:$M36)=0,"",_xlfn.LET(
_xlpm.enc,$N$7:$CH$7,
_xlpm.tipo,$N$4:$CH$4,
_xlpm.vig,$N$5:$CH$5,
_xlpm.fec,$N36:$CH36,
_xlpm.req,(
--(UPPER(IFERROR(INDEX('Requisito x Tarea'!$C$2:$BK$101,MATCH(TRIM($J36),'Requisito x Tarea'!$B$2:$B$101,0),MATCH(_xlpm.enc,'Requisito x Tarea'!$C$1:$BK$1,0)),""))="X")
+--(UPPER(IFERROR(INDEX('Requisito x Tarea'!$C$2:$BK$101,MATCH(TRIM($K36),'Requisito x Tarea'!$B$2:$B$101,0),MATCH(_xlpm.enc,'Requisito x Tarea'!$C$1:$BK$1,0)),""))="X")
+--(UPPER(IFERROR(INDEX('Requisito x Tarea'!$C$2:$BK$101,MATCH(TRIM($L36),'Requisito x Tarea'!$B$2:$B$101,0),MATCH(_xlpm.enc,'Requisito x Tarea'!$C$1:$BK$1,0)),""))="X")
+--(UPPER(IFERROR(INDEX('Requisito x Tarea'!$C$2:$BK$101,MATCH(TRIM($M36),'Requisito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36" s="78"/>
      <c r="K36" s="78"/>
      <c r="L36" s="78"/>
      <c r="M36" s="78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</row>
    <row r="37" spans="1:72" ht="15" x14ac:dyDescent="0.3">
      <c r="A37" s="6">
        <v>30</v>
      </c>
      <c r="B37" s="60" t="str">
        <f>IF($C37="","",IFERROR(_xlfn.XLOOKUP($C37,tblPersonal[CUIL],tblPersonal[HUB]),""))</f>
        <v/>
      </c>
      <c r="C37" s="79"/>
      <c r="D37" s="43" t="str">
        <f>IF($C37="","",IFERROR(_xlfn.XLOOKUP($C37,tblPersonal[CUIL],tblPersonal[AP]),""))</f>
        <v/>
      </c>
      <c r="E37" s="79"/>
      <c r="F37" s="79"/>
      <c r="G37" s="7" t="str">
        <f>IF(F37="","",IFERROR(VLOOKUP(TRIM(F37),FID!$A:$C,2,FALSE),""))</f>
        <v/>
      </c>
      <c r="H37" s="7" t="str">
        <f>IF(F37="","",IFERROR(VLOOKUP(TRIM(F37),FID!$A:$C,3,FALSE),""))</f>
        <v/>
      </c>
      <c r="I37" s="82" t="str" cm="1">
        <f t="array" aca="1" ref="I37" ca="1">IF(COUNTA($J37:$M37)=0,"",_xlfn.LET(
_xlpm.enc,$N$7:$CH$7,
_xlpm.tipo,$N$4:$CH$4,
_xlpm.vig,$N$5:$CH$5,
_xlpm.fec,$N37:$CH37,
_xlpm.req,(
--(UPPER(IFERROR(INDEX('Requisito x Tarea'!$C$2:$BK$101,MATCH(TRIM($J37),'Requisito x Tarea'!$B$2:$B$101,0),MATCH(_xlpm.enc,'Requisito x Tarea'!$C$1:$BK$1,0)),""))="X")
+--(UPPER(IFERROR(INDEX('Requisito x Tarea'!$C$2:$BK$101,MATCH(TRIM($K37),'Requisito x Tarea'!$B$2:$B$101,0),MATCH(_xlpm.enc,'Requisito x Tarea'!$C$1:$BK$1,0)),""))="X")
+--(UPPER(IFERROR(INDEX('Requisito x Tarea'!$C$2:$BK$101,MATCH(TRIM($L37),'Requisito x Tarea'!$B$2:$B$101,0),MATCH(_xlpm.enc,'Requisito x Tarea'!$C$1:$BK$1,0)),""))="X")
+--(UPPER(IFERROR(INDEX('Requisito x Tarea'!$C$2:$BK$101,MATCH(TRIM($M37),'Requisito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37" s="78"/>
      <c r="K37" s="78"/>
      <c r="L37" s="78"/>
      <c r="M37" s="78"/>
      <c r="N37" s="80"/>
      <c r="O37" s="80"/>
      <c r="P37" s="80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</row>
    <row r="38" spans="1:72" ht="15" x14ac:dyDescent="0.3">
      <c r="A38" s="6">
        <v>31</v>
      </c>
      <c r="B38" s="60" t="str">
        <f>IF($C38="","",IFERROR(_xlfn.XLOOKUP($C38,tblPersonal[CUIL],tblPersonal[HUB]),""))</f>
        <v/>
      </c>
      <c r="C38" s="79"/>
      <c r="D38" s="43" t="str">
        <f>IF($C38="","",IFERROR(_xlfn.XLOOKUP($C38,tblPersonal[CUIL],tblPersonal[AP]),""))</f>
        <v/>
      </c>
      <c r="E38" s="79"/>
      <c r="F38" s="79"/>
      <c r="G38" s="7" t="str">
        <f>IF(F38="","",IFERROR(VLOOKUP(TRIM(F38),FID!$A:$C,2,FALSE),""))</f>
        <v/>
      </c>
      <c r="H38" s="7" t="str">
        <f>IF(F38="","",IFERROR(VLOOKUP(TRIM(F38),FID!$A:$C,3,FALSE),""))</f>
        <v/>
      </c>
      <c r="I38" s="82" t="str" cm="1">
        <f t="array" aca="1" ref="I38" ca="1">IF(COUNTA($J38:$M38)=0,"",_xlfn.LET(
_xlpm.enc,$N$7:$CH$7,
_xlpm.tipo,$N$4:$CH$4,
_xlpm.vig,$N$5:$CH$5,
_xlpm.fec,$N38:$CH38,
_xlpm.req,(
--(UPPER(IFERROR(INDEX('Requisito x Tarea'!$C$2:$BK$101,MATCH(TRIM($J38),'Requisito x Tarea'!$B$2:$B$101,0),MATCH(_xlpm.enc,'Requisito x Tarea'!$C$1:$BK$1,0)),""))="X")
+--(UPPER(IFERROR(INDEX('Requisito x Tarea'!$C$2:$BK$101,MATCH(TRIM($K38),'Requisito x Tarea'!$B$2:$B$101,0),MATCH(_xlpm.enc,'Requisito x Tarea'!$C$1:$BK$1,0)),""))="X")
+--(UPPER(IFERROR(INDEX('Requisito x Tarea'!$C$2:$BK$101,MATCH(TRIM($L38),'Requisito x Tarea'!$B$2:$B$101,0),MATCH(_xlpm.enc,'Requisito x Tarea'!$C$1:$BK$1,0)),""))="X")
+--(UPPER(IFERROR(INDEX('Requisito x Tarea'!$C$2:$BK$101,MATCH(TRIM($M38),'Requisito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38" s="78"/>
      <c r="K38" s="78"/>
      <c r="L38" s="78"/>
      <c r="M38" s="78"/>
      <c r="N38" s="80"/>
      <c r="O38" s="80"/>
      <c r="P38" s="80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</row>
    <row r="39" spans="1:72" ht="15" x14ac:dyDescent="0.3">
      <c r="A39" s="6">
        <v>32</v>
      </c>
      <c r="B39" s="60" t="str">
        <f>IF($C39="","",IFERROR(_xlfn.XLOOKUP($C39,tblPersonal[CUIL],tblPersonal[HUB]),""))</f>
        <v/>
      </c>
      <c r="C39" s="79"/>
      <c r="D39" s="43" t="str">
        <f>IF($C39="","",IFERROR(_xlfn.XLOOKUP($C39,tblPersonal[CUIL],tblPersonal[AP]),""))</f>
        <v/>
      </c>
      <c r="E39" s="79"/>
      <c r="F39" s="79"/>
      <c r="G39" s="7" t="str">
        <f>IF(F39="","",IFERROR(VLOOKUP(TRIM(F39),FID!$A:$C,2,FALSE),""))</f>
        <v/>
      </c>
      <c r="H39" s="7" t="str">
        <f>IF(F39="","",IFERROR(VLOOKUP(TRIM(F39),FID!$A:$C,3,FALSE),""))</f>
        <v/>
      </c>
      <c r="I39" s="82" t="str" cm="1">
        <f t="array" aca="1" ref="I39" ca="1">IF(COUNTA($J39:$M39)=0,"",_xlfn.LET(
_xlpm.enc,$N$7:$CH$7,
_xlpm.tipo,$N$4:$CH$4,
_xlpm.vig,$N$5:$CH$5,
_xlpm.fec,$N39:$CH39,
_xlpm.req,(
--(UPPER(IFERROR(INDEX('Requisito x Tarea'!$C$2:$BK$101,MATCH(TRIM($J39),'Requisito x Tarea'!$B$2:$B$101,0),MATCH(_xlpm.enc,'Requisito x Tarea'!$C$1:$BK$1,0)),""))="X")
+--(UPPER(IFERROR(INDEX('Requisito x Tarea'!$C$2:$BK$101,MATCH(TRIM($K39),'Requisito x Tarea'!$B$2:$B$101,0),MATCH(_xlpm.enc,'Requisito x Tarea'!$C$1:$BK$1,0)),""))="X")
+--(UPPER(IFERROR(INDEX('Requisito x Tarea'!$C$2:$BK$101,MATCH(TRIM($L39),'Requisito x Tarea'!$B$2:$B$101,0),MATCH(_xlpm.enc,'Requisito x Tarea'!$C$1:$BK$1,0)),""))="X")
+--(UPPER(IFERROR(INDEX('Requisito x Tarea'!$C$2:$BK$101,MATCH(TRIM($M39),'Requisito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39" s="78"/>
      <c r="K39" s="78"/>
      <c r="L39" s="78"/>
      <c r="M39" s="78"/>
      <c r="N39" s="80"/>
      <c r="O39" s="80"/>
      <c r="P39" s="80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</row>
    <row r="40" spans="1:72" ht="15" x14ac:dyDescent="0.3">
      <c r="A40" s="6">
        <v>33</v>
      </c>
      <c r="B40" s="60" t="str">
        <f>IF($C40="","",IFERROR(_xlfn.XLOOKUP($C40,tblPersonal[CUIL],tblPersonal[HUB]),""))</f>
        <v/>
      </c>
      <c r="C40" s="79"/>
      <c r="D40" s="43" t="str">
        <f>IF($C40="","",IFERROR(_xlfn.XLOOKUP($C40,tblPersonal[CUIL],tblPersonal[AP]),""))</f>
        <v/>
      </c>
      <c r="E40" s="79"/>
      <c r="F40" s="79"/>
      <c r="G40" s="7" t="str">
        <f>IF(F40="","",IFERROR(VLOOKUP(TRIM(F40),FID!$A:$C,2,FALSE),""))</f>
        <v/>
      </c>
      <c r="H40" s="7" t="str">
        <f>IF(F40="","",IFERROR(VLOOKUP(TRIM(F40),FID!$A:$C,3,FALSE),""))</f>
        <v/>
      </c>
      <c r="I40" s="82" t="str" cm="1">
        <f t="array" aca="1" ref="I40" ca="1">IF(COUNTA($J40:$M40)=0,"",_xlfn.LET(
_xlpm.enc,$N$7:$CH$7,
_xlpm.tipo,$N$4:$CH$4,
_xlpm.vig,$N$5:$CH$5,
_xlpm.fec,$N40:$CH40,
_xlpm.req,(
--(UPPER(IFERROR(INDEX('Requisito x Tarea'!$C$2:$BK$101,MATCH(TRIM($J40),'Requisito x Tarea'!$B$2:$B$101,0),MATCH(_xlpm.enc,'Requisito x Tarea'!$C$1:$BK$1,0)),""))="X")
+--(UPPER(IFERROR(INDEX('Requisito x Tarea'!$C$2:$BK$101,MATCH(TRIM($K40),'Requisito x Tarea'!$B$2:$B$101,0),MATCH(_xlpm.enc,'Requisito x Tarea'!$C$1:$BK$1,0)),""))="X")
+--(UPPER(IFERROR(INDEX('Requisito x Tarea'!$C$2:$BK$101,MATCH(TRIM($L40),'Requisito x Tarea'!$B$2:$B$101,0),MATCH(_xlpm.enc,'Requisito x Tarea'!$C$1:$BK$1,0)),""))="X")
+--(UPPER(IFERROR(INDEX('Requisito x Tarea'!$C$2:$BK$101,MATCH(TRIM($M40),'Requisito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40" s="78"/>
      <c r="K40" s="78"/>
      <c r="L40" s="78"/>
      <c r="M40" s="78"/>
      <c r="N40" s="80"/>
      <c r="O40" s="80"/>
      <c r="P40" s="80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</row>
    <row r="41" spans="1:72" ht="15" x14ac:dyDescent="0.3">
      <c r="A41" s="6">
        <v>34</v>
      </c>
      <c r="B41" s="60" t="str">
        <f>IF($C41="","",IFERROR(_xlfn.XLOOKUP($C41,tblPersonal[CUIL],tblPersonal[HUB]),""))</f>
        <v/>
      </c>
      <c r="C41" s="79"/>
      <c r="D41" s="43" t="str">
        <f>IF($C41="","",IFERROR(_xlfn.XLOOKUP($C41,tblPersonal[CUIL],tblPersonal[AP]),""))</f>
        <v/>
      </c>
      <c r="E41" s="79"/>
      <c r="F41" s="79"/>
      <c r="G41" s="7" t="str">
        <f>IF(F41="","",IFERROR(VLOOKUP(TRIM(F41),FID!$A:$C,2,FALSE),""))</f>
        <v/>
      </c>
      <c r="H41" s="7" t="str">
        <f>IF(F41="","",IFERROR(VLOOKUP(TRIM(F41),FID!$A:$C,3,FALSE),""))</f>
        <v/>
      </c>
      <c r="I41" s="82" t="str" cm="1">
        <f t="array" aca="1" ref="I41" ca="1">IF(COUNTA($J41:$M41)=0,"",_xlfn.LET(
_xlpm.enc,$N$7:$CH$7,
_xlpm.tipo,$N$4:$CH$4,
_xlpm.vig,$N$5:$CH$5,
_xlpm.fec,$N41:$CH41,
_xlpm.req,(
--(UPPER(IFERROR(INDEX('Requisito x Tarea'!$C$2:$BK$101,MATCH(TRIM($J41),'Requisito x Tarea'!$B$2:$B$101,0),MATCH(_xlpm.enc,'Requisito x Tarea'!$C$1:$BK$1,0)),""))="X")
+--(UPPER(IFERROR(INDEX('Requisito x Tarea'!$C$2:$BK$101,MATCH(TRIM($K41),'Requisito x Tarea'!$B$2:$B$101,0),MATCH(_xlpm.enc,'Requisito x Tarea'!$C$1:$BK$1,0)),""))="X")
+--(UPPER(IFERROR(INDEX('Requisito x Tarea'!$C$2:$BK$101,MATCH(TRIM($L41),'Requisito x Tarea'!$B$2:$B$101,0),MATCH(_xlpm.enc,'Requisito x Tarea'!$C$1:$BK$1,0)),""))="X")
+--(UPPER(IFERROR(INDEX('Requisito x Tarea'!$C$2:$BK$101,MATCH(TRIM($M41),'Requisito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41" s="78"/>
      <c r="K41" s="78"/>
      <c r="L41" s="78"/>
      <c r="M41" s="78"/>
      <c r="N41" s="80"/>
      <c r="O41" s="80"/>
      <c r="P41" s="80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</row>
    <row r="42" spans="1:72" ht="15" x14ac:dyDescent="0.3">
      <c r="A42" s="6">
        <v>35</v>
      </c>
      <c r="B42" s="60" t="str">
        <f>IF($C42="","",IFERROR(_xlfn.XLOOKUP($C42,tblPersonal[CUIL],tblPersonal[HUB]),""))</f>
        <v/>
      </c>
      <c r="C42" s="79"/>
      <c r="D42" s="43" t="str">
        <f>IF($C42="","",IFERROR(_xlfn.XLOOKUP($C42,tblPersonal[CUIL],tblPersonal[AP]),""))</f>
        <v/>
      </c>
      <c r="E42" s="79"/>
      <c r="F42" s="79"/>
      <c r="G42" s="7" t="str">
        <f>IF(F42="","",IFERROR(VLOOKUP(TRIM(F42),FID!$A:$C,2,FALSE),""))</f>
        <v/>
      </c>
      <c r="H42" s="7" t="str">
        <f>IF(F42="","",IFERROR(VLOOKUP(TRIM(F42),FID!$A:$C,3,FALSE),""))</f>
        <v/>
      </c>
      <c r="I42" s="82" t="str" cm="1">
        <f t="array" aca="1" ref="I42" ca="1">IF(COUNTA($J42:$M42)=0,"",_xlfn.LET(
_xlpm.enc,$N$7:$CH$7,
_xlpm.tipo,$N$4:$CH$4,
_xlpm.vig,$N$5:$CH$5,
_xlpm.fec,$N42:$CH42,
_xlpm.req,(
--(UPPER(IFERROR(INDEX('Requisito x Tarea'!$C$2:$BK$101,MATCH(TRIM($J42),'Requisito x Tarea'!$B$2:$B$101,0),MATCH(_xlpm.enc,'Requisito x Tarea'!$C$1:$BK$1,0)),""))="X")
+--(UPPER(IFERROR(INDEX('Requisito x Tarea'!$C$2:$BK$101,MATCH(TRIM($K42),'Requisito x Tarea'!$B$2:$B$101,0),MATCH(_xlpm.enc,'Requisito x Tarea'!$C$1:$BK$1,0)),""))="X")
+--(UPPER(IFERROR(INDEX('Requisito x Tarea'!$C$2:$BK$101,MATCH(TRIM($L42),'Requisito x Tarea'!$B$2:$B$101,0),MATCH(_xlpm.enc,'Requisito x Tarea'!$C$1:$BK$1,0)),""))="X")
+--(UPPER(IFERROR(INDEX('Requisito x Tarea'!$C$2:$BK$101,MATCH(TRIM($M42),'Requisito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42" s="78"/>
      <c r="K42" s="78"/>
      <c r="L42" s="78"/>
      <c r="M42" s="78"/>
      <c r="N42" s="80"/>
      <c r="O42" s="80"/>
      <c r="P42" s="80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</row>
    <row r="43" spans="1:72" ht="15" x14ac:dyDescent="0.3">
      <c r="A43" s="6">
        <v>36</v>
      </c>
      <c r="B43" s="60" t="str">
        <f>IF($C43="","",IFERROR(_xlfn.XLOOKUP($C43,tblPersonal[CUIL],tblPersonal[HUB]),""))</f>
        <v/>
      </c>
      <c r="C43" s="79"/>
      <c r="D43" s="43" t="str">
        <f>IF($C43="","",IFERROR(_xlfn.XLOOKUP($C43,tblPersonal[CUIL],tblPersonal[AP]),""))</f>
        <v/>
      </c>
      <c r="E43" s="79"/>
      <c r="F43" s="79"/>
      <c r="G43" s="7" t="str">
        <f>IF(F43="","",IFERROR(VLOOKUP(TRIM(F43),FID!$A:$C,2,FALSE),""))</f>
        <v/>
      </c>
      <c r="H43" s="7" t="str">
        <f>IF(F43="","",IFERROR(VLOOKUP(TRIM(F43),FID!$A:$C,3,FALSE),""))</f>
        <v/>
      </c>
      <c r="I43" s="82" t="str" cm="1">
        <f t="array" aca="1" ref="I43" ca="1">IF(COUNTA($J43:$M43)=0,"",_xlfn.LET(
_xlpm.enc,$N$7:$CH$7,
_xlpm.tipo,$N$4:$CH$4,
_xlpm.vig,$N$5:$CH$5,
_xlpm.fec,$N43:$CH43,
_xlpm.req,(
--(UPPER(IFERROR(INDEX('Requisito x Tarea'!$C$2:$BK$101,MATCH(TRIM($J43),'Requisito x Tarea'!$B$2:$B$101,0),MATCH(_xlpm.enc,'Requisito x Tarea'!$C$1:$BK$1,0)),""))="X")
+--(UPPER(IFERROR(INDEX('Requisito x Tarea'!$C$2:$BK$101,MATCH(TRIM($K43),'Requisito x Tarea'!$B$2:$B$101,0),MATCH(_xlpm.enc,'Requisito x Tarea'!$C$1:$BK$1,0)),""))="X")
+--(UPPER(IFERROR(INDEX('Requisito x Tarea'!$C$2:$BK$101,MATCH(TRIM($L43),'Requisito x Tarea'!$B$2:$B$101,0),MATCH(_xlpm.enc,'Requisito x Tarea'!$C$1:$BK$1,0)),""))="X")
+--(UPPER(IFERROR(INDEX('Requisito x Tarea'!$C$2:$BK$101,MATCH(TRIM($M43),'Requisito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43" s="78"/>
      <c r="K43" s="78"/>
      <c r="L43" s="78"/>
      <c r="M43" s="78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</row>
    <row r="44" spans="1:72" ht="15" x14ac:dyDescent="0.3">
      <c r="A44" s="6">
        <v>37</v>
      </c>
      <c r="B44" s="60" t="str">
        <f>IF($C44="","",IFERROR(_xlfn.XLOOKUP($C44,tblPersonal[CUIL],tblPersonal[HUB]),""))</f>
        <v/>
      </c>
      <c r="C44" s="79"/>
      <c r="D44" s="43" t="str">
        <f>IF($C44="","",IFERROR(_xlfn.XLOOKUP($C44,tblPersonal[CUIL],tblPersonal[AP]),""))</f>
        <v/>
      </c>
      <c r="E44" s="79"/>
      <c r="F44" s="79"/>
      <c r="G44" s="7" t="str">
        <f>IF(F44="","",IFERROR(VLOOKUP(TRIM(F44),FID!$A:$C,2,FALSE),""))</f>
        <v/>
      </c>
      <c r="H44" s="7" t="str">
        <f>IF(F44="","",IFERROR(VLOOKUP(TRIM(F44),FID!$A:$C,3,FALSE),""))</f>
        <v/>
      </c>
      <c r="I44" s="82" t="str" cm="1">
        <f t="array" aca="1" ref="I44" ca="1">IF(COUNTA($J44:$M44)=0,"",_xlfn.LET(
_xlpm.enc,$N$7:$CH$7,
_xlpm.tipo,$N$4:$CH$4,
_xlpm.vig,$N$5:$CH$5,
_xlpm.fec,$N44:$CH44,
_xlpm.req,(
--(UPPER(IFERROR(INDEX('Requisito x Tarea'!$C$2:$BK$101,MATCH(TRIM($J44),'Requisito x Tarea'!$B$2:$B$101,0),MATCH(_xlpm.enc,'Requisito x Tarea'!$C$1:$BK$1,0)),""))="X")
+--(UPPER(IFERROR(INDEX('Requisito x Tarea'!$C$2:$BK$101,MATCH(TRIM($K44),'Requisito x Tarea'!$B$2:$B$101,0),MATCH(_xlpm.enc,'Requisito x Tarea'!$C$1:$BK$1,0)),""))="X")
+--(UPPER(IFERROR(INDEX('Requisito x Tarea'!$C$2:$BK$101,MATCH(TRIM($L44),'Requisito x Tarea'!$B$2:$B$101,0),MATCH(_xlpm.enc,'Requisito x Tarea'!$C$1:$BK$1,0)),""))="X")
+--(UPPER(IFERROR(INDEX('Requisito x Tarea'!$C$2:$BK$101,MATCH(TRIM($M44),'Requisito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44" s="78"/>
      <c r="K44" s="78"/>
      <c r="L44" s="78"/>
      <c r="M44" s="78"/>
      <c r="N44" s="80"/>
      <c r="O44" s="80"/>
      <c r="P44" s="80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</row>
    <row r="45" spans="1:72" ht="15" x14ac:dyDescent="0.3">
      <c r="A45" s="6">
        <v>38</v>
      </c>
      <c r="B45" s="60" t="str">
        <f>IF($C45="","",IFERROR(_xlfn.XLOOKUP($C45,tblPersonal[CUIL],tblPersonal[HUB]),""))</f>
        <v/>
      </c>
      <c r="C45" s="79"/>
      <c r="D45" s="43" t="str">
        <f>IF($C45="","",IFERROR(_xlfn.XLOOKUP($C45,tblPersonal[CUIL],tblPersonal[AP]),""))</f>
        <v/>
      </c>
      <c r="E45" s="79"/>
      <c r="F45" s="79"/>
      <c r="G45" s="7" t="str">
        <f>IF(F45="","",IFERROR(VLOOKUP(TRIM(F45),FID!$A:$C,2,FALSE),""))</f>
        <v/>
      </c>
      <c r="H45" s="7" t="str">
        <f>IF(F45="","",IFERROR(VLOOKUP(TRIM(F45),FID!$A:$C,3,FALSE),""))</f>
        <v/>
      </c>
      <c r="I45" s="82" t="str" cm="1">
        <f t="array" aca="1" ref="I45" ca="1">IF(COUNTA($J45:$M45)=0,"",_xlfn.LET(
_xlpm.enc,$N$7:$CH$7,
_xlpm.tipo,$N$4:$CH$4,
_xlpm.vig,$N$5:$CH$5,
_xlpm.fec,$N45:$CH45,
_xlpm.req,(
--(UPPER(IFERROR(INDEX('Requisito x Tarea'!$C$2:$BK$101,MATCH(TRIM($J45),'Requisito x Tarea'!$B$2:$B$101,0),MATCH(_xlpm.enc,'Requisito x Tarea'!$C$1:$BK$1,0)),""))="X")
+--(UPPER(IFERROR(INDEX('Requisito x Tarea'!$C$2:$BK$101,MATCH(TRIM($K45),'Requisito x Tarea'!$B$2:$B$101,0),MATCH(_xlpm.enc,'Requisito x Tarea'!$C$1:$BK$1,0)),""))="X")
+--(UPPER(IFERROR(INDEX('Requisito x Tarea'!$C$2:$BK$101,MATCH(TRIM($L45),'Requisito x Tarea'!$B$2:$B$101,0),MATCH(_xlpm.enc,'Requisito x Tarea'!$C$1:$BK$1,0)),""))="X")
+--(UPPER(IFERROR(INDEX('Requisito x Tarea'!$C$2:$BK$101,MATCH(TRIM($M45),'Requisito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45" s="78"/>
      <c r="K45" s="78"/>
      <c r="L45" s="78"/>
      <c r="M45" s="78"/>
      <c r="N45" s="80"/>
      <c r="O45" s="80"/>
      <c r="P45" s="80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</row>
    <row r="46" spans="1:72" ht="15" x14ac:dyDescent="0.3">
      <c r="A46" s="6">
        <v>39</v>
      </c>
      <c r="B46" s="60" t="str">
        <f>IF($C46="","",IFERROR(_xlfn.XLOOKUP($C46,tblPersonal[CUIL],tblPersonal[HUB]),""))</f>
        <v/>
      </c>
      <c r="C46" s="79"/>
      <c r="D46" s="43" t="str">
        <f>IF($C46="","",IFERROR(_xlfn.XLOOKUP($C46,tblPersonal[CUIL],tblPersonal[AP]),""))</f>
        <v/>
      </c>
      <c r="E46" s="79"/>
      <c r="F46" s="79"/>
      <c r="G46" s="7" t="str">
        <f>IF(F46="","",IFERROR(VLOOKUP(TRIM(F46),FID!$A:$C,2,FALSE),""))</f>
        <v/>
      </c>
      <c r="H46" s="7" t="str">
        <f>IF(F46="","",IFERROR(VLOOKUP(TRIM(F46),FID!$A:$C,3,FALSE),""))</f>
        <v/>
      </c>
      <c r="I46" s="82" t="str" cm="1">
        <f t="array" aca="1" ref="I46" ca="1">IF(COUNTA($J46:$M46)=0,"",_xlfn.LET(
_xlpm.enc,$N$7:$CH$7,
_xlpm.tipo,$N$4:$CH$4,
_xlpm.vig,$N$5:$CH$5,
_xlpm.fec,$N46:$CH46,
_xlpm.req,(
--(UPPER(IFERROR(INDEX('Requisito x Tarea'!$C$2:$BK$101,MATCH(TRIM($J46),'Requisito x Tarea'!$B$2:$B$101,0),MATCH(_xlpm.enc,'Requisito x Tarea'!$C$1:$BK$1,0)),""))="X")
+--(UPPER(IFERROR(INDEX('Requisito x Tarea'!$C$2:$BK$101,MATCH(TRIM($K46),'Requisito x Tarea'!$B$2:$B$101,0),MATCH(_xlpm.enc,'Requisito x Tarea'!$C$1:$BK$1,0)),""))="X")
+--(UPPER(IFERROR(INDEX('Requisito x Tarea'!$C$2:$BK$101,MATCH(TRIM($L46),'Requisito x Tarea'!$B$2:$B$101,0),MATCH(_xlpm.enc,'Requisito x Tarea'!$C$1:$BK$1,0)),""))="X")
+--(UPPER(IFERROR(INDEX('Requisito x Tarea'!$C$2:$BK$101,MATCH(TRIM($M46),'Requisito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46" s="78"/>
      <c r="K46" s="78"/>
      <c r="L46" s="78"/>
      <c r="M46" s="78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</row>
    <row r="47" spans="1:72" ht="15" x14ac:dyDescent="0.3">
      <c r="A47" s="6">
        <v>40</v>
      </c>
      <c r="B47" s="60" t="str">
        <f>IF($C47="","",IFERROR(_xlfn.XLOOKUP($C47,tblPersonal[CUIL],tblPersonal[HUB]),""))</f>
        <v/>
      </c>
      <c r="C47" s="79"/>
      <c r="D47" s="43" t="str">
        <f>IF($C47="","",IFERROR(_xlfn.XLOOKUP($C47,tblPersonal[CUIL],tblPersonal[AP]),""))</f>
        <v/>
      </c>
      <c r="E47" s="79"/>
      <c r="F47" s="79"/>
      <c r="G47" s="7" t="str">
        <f>IF(F47="","",IFERROR(VLOOKUP(TRIM(F47),FID!$A:$C,2,FALSE),""))</f>
        <v/>
      </c>
      <c r="H47" s="7" t="str">
        <f>IF(F47="","",IFERROR(VLOOKUP(TRIM(F47),FID!$A:$C,3,FALSE),""))</f>
        <v/>
      </c>
      <c r="I47" s="82" t="str" cm="1">
        <f t="array" aca="1" ref="I47" ca="1">IF(COUNTA($J47:$M47)=0,"",_xlfn.LET(
_xlpm.enc,$N$7:$CH$7,
_xlpm.tipo,$N$4:$CH$4,
_xlpm.vig,$N$5:$CH$5,
_xlpm.fec,$N47:$CH47,
_xlpm.req,(
--(UPPER(IFERROR(INDEX('Requisito x Tarea'!$C$2:$BK$101,MATCH(TRIM($J47),'Requisito x Tarea'!$B$2:$B$101,0),MATCH(_xlpm.enc,'Requisito x Tarea'!$C$1:$BK$1,0)),""))="X")
+--(UPPER(IFERROR(INDEX('Requisito x Tarea'!$C$2:$BK$101,MATCH(TRIM($K47),'Requisito x Tarea'!$B$2:$B$101,0),MATCH(_xlpm.enc,'Requisito x Tarea'!$C$1:$BK$1,0)),""))="X")
+--(UPPER(IFERROR(INDEX('Requisito x Tarea'!$C$2:$BK$101,MATCH(TRIM($L47),'Requisito x Tarea'!$B$2:$B$101,0),MATCH(_xlpm.enc,'Requisito x Tarea'!$C$1:$BK$1,0)),""))="X")
+--(UPPER(IFERROR(INDEX('Requisito x Tarea'!$C$2:$BK$101,MATCH(TRIM($M47),'Requisito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47" s="78"/>
      <c r="K47" s="78"/>
      <c r="L47" s="78"/>
      <c r="M47" s="78"/>
      <c r="N47" s="80"/>
      <c r="O47" s="80"/>
      <c r="P47" s="80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</row>
    <row r="48" spans="1:72" ht="15" x14ac:dyDescent="0.3">
      <c r="A48" s="6">
        <v>41</v>
      </c>
      <c r="B48" s="60" t="str">
        <f>IF($C48="","",IFERROR(_xlfn.XLOOKUP($C48,tblPersonal[CUIL],tblPersonal[HUB]),""))</f>
        <v/>
      </c>
      <c r="C48" s="79"/>
      <c r="D48" s="43" t="str">
        <f>IF($C48="","",IFERROR(_xlfn.XLOOKUP($C48,tblPersonal[CUIL],tblPersonal[AP]),""))</f>
        <v/>
      </c>
      <c r="E48" s="79"/>
      <c r="F48" s="79"/>
      <c r="G48" s="7" t="str">
        <f>IF(F48="","",IFERROR(VLOOKUP(TRIM(F48),FID!$A:$C,2,FALSE),""))</f>
        <v/>
      </c>
      <c r="H48" s="7" t="str">
        <f>IF(F48="","",IFERROR(VLOOKUP(TRIM(F48),FID!$A:$C,3,FALSE),""))</f>
        <v/>
      </c>
      <c r="I48" s="82" t="str" cm="1">
        <f t="array" aca="1" ref="I48" ca="1">IF(COUNTA($J48:$M48)=0,"",_xlfn.LET(
_xlpm.enc,$N$7:$CH$7,
_xlpm.tipo,$N$4:$CH$4,
_xlpm.vig,$N$5:$CH$5,
_xlpm.fec,$N48:$CH48,
_xlpm.req,(
--(UPPER(IFERROR(INDEX('Requisito x Tarea'!$C$2:$BK$101,MATCH(TRIM($J48),'Requisito x Tarea'!$B$2:$B$101,0),MATCH(_xlpm.enc,'Requisito x Tarea'!$C$1:$BK$1,0)),""))="X")
+--(UPPER(IFERROR(INDEX('Requisito x Tarea'!$C$2:$BK$101,MATCH(TRIM($K48),'Requisito x Tarea'!$B$2:$B$101,0),MATCH(_xlpm.enc,'Requisito x Tarea'!$C$1:$BK$1,0)),""))="X")
+--(UPPER(IFERROR(INDEX('Requisito x Tarea'!$C$2:$BK$101,MATCH(TRIM($L48),'Requisito x Tarea'!$B$2:$B$101,0),MATCH(_xlpm.enc,'Requisito x Tarea'!$C$1:$BK$1,0)),""))="X")
+--(UPPER(IFERROR(INDEX('Requisito x Tarea'!$C$2:$BK$101,MATCH(TRIM($M48),'Requisito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48" s="78"/>
      <c r="K48" s="78"/>
      <c r="L48" s="78"/>
      <c r="M48" s="78"/>
      <c r="N48" s="80"/>
      <c r="O48" s="80"/>
      <c r="P48" s="80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</row>
    <row r="49" spans="1:72" ht="15" x14ac:dyDescent="0.3">
      <c r="A49" s="6">
        <v>42</v>
      </c>
      <c r="B49" s="60" t="str">
        <f>IF($C49="","",IFERROR(_xlfn.XLOOKUP($C49,tblPersonal[CUIL],tblPersonal[HUB]),""))</f>
        <v/>
      </c>
      <c r="C49" s="79"/>
      <c r="D49" s="43" t="str">
        <f>IF($C49="","",IFERROR(_xlfn.XLOOKUP($C49,tblPersonal[CUIL],tblPersonal[AP]),""))</f>
        <v/>
      </c>
      <c r="E49" s="79"/>
      <c r="F49" s="79"/>
      <c r="G49" s="7" t="str">
        <f>IF(F49="","",IFERROR(VLOOKUP(TRIM(F49),FID!$A:$C,2,FALSE),""))</f>
        <v/>
      </c>
      <c r="H49" s="7" t="str">
        <f>IF(F49="","",IFERROR(VLOOKUP(TRIM(F49),FID!$A:$C,3,FALSE),""))</f>
        <v/>
      </c>
      <c r="I49" s="82" t="str" cm="1">
        <f t="array" aca="1" ref="I49" ca="1">IF(COUNTA($J49:$M49)=0,"",_xlfn.LET(
_xlpm.enc,$N$7:$CH$7,
_xlpm.tipo,$N$4:$CH$4,
_xlpm.vig,$N$5:$CH$5,
_xlpm.fec,$N49:$CH49,
_xlpm.req,(
--(UPPER(IFERROR(INDEX('Requisito x Tarea'!$C$2:$BK$101,MATCH(TRIM($J49),'Requisito x Tarea'!$B$2:$B$101,0),MATCH(_xlpm.enc,'Requisito x Tarea'!$C$1:$BK$1,0)),""))="X")
+--(UPPER(IFERROR(INDEX('Requisito x Tarea'!$C$2:$BK$101,MATCH(TRIM($K49),'Requisito x Tarea'!$B$2:$B$101,0),MATCH(_xlpm.enc,'Requisito x Tarea'!$C$1:$BK$1,0)),""))="X")
+--(UPPER(IFERROR(INDEX('Requisito x Tarea'!$C$2:$BK$101,MATCH(TRIM($L49),'Requisito x Tarea'!$B$2:$B$101,0),MATCH(_xlpm.enc,'Requisito x Tarea'!$C$1:$BK$1,0)),""))="X")
+--(UPPER(IFERROR(INDEX('Requisito x Tarea'!$C$2:$BK$101,MATCH(TRIM($M49),'Requisito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49" s="78"/>
      <c r="K49" s="78"/>
      <c r="L49" s="78"/>
      <c r="M49" s="78"/>
      <c r="N49" s="80"/>
      <c r="O49" s="80"/>
      <c r="P49" s="80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</row>
    <row r="50" spans="1:72" ht="15" x14ac:dyDescent="0.3">
      <c r="A50" s="6">
        <v>43</v>
      </c>
      <c r="B50" s="60" t="str">
        <f>IF($C50="","",IFERROR(_xlfn.XLOOKUP($C50,tblPersonal[CUIL],tblPersonal[HUB]),""))</f>
        <v/>
      </c>
      <c r="C50" s="79"/>
      <c r="D50" s="43" t="str">
        <f>IF($C50="","",IFERROR(_xlfn.XLOOKUP($C50,tblPersonal[CUIL],tblPersonal[AP]),""))</f>
        <v/>
      </c>
      <c r="E50" s="79"/>
      <c r="F50" s="79"/>
      <c r="G50" s="7" t="str">
        <f>IF(F50="","",IFERROR(VLOOKUP(TRIM(F50),FID!$A:$C,2,FALSE),""))</f>
        <v/>
      </c>
      <c r="H50" s="7" t="str">
        <f>IF(F50="","",IFERROR(VLOOKUP(TRIM(F50),FID!$A:$C,3,FALSE),""))</f>
        <v/>
      </c>
      <c r="I50" s="82" t="str" cm="1">
        <f t="array" aca="1" ref="I50" ca="1">IF(COUNTA($J50:$M50)=0,"",_xlfn.LET(
_xlpm.enc,$N$7:$CH$7,
_xlpm.tipo,$N$4:$CH$4,
_xlpm.vig,$N$5:$CH$5,
_xlpm.fec,$N50:$CH50,
_xlpm.req,(
--(UPPER(IFERROR(INDEX('Requisito x Tarea'!$C$2:$BK$101,MATCH(TRIM($J50),'Requisito x Tarea'!$B$2:$B$101,0),MATCH(_xlpm.enc,'Requisito x Tarea'!$C$1:$BK$1,0)),""))="X")
+--(UPPER(IFERROR(INDEX('Requisito x Tarea'!$C$2:$BK$101,MATCH(TRIM($K50),'Requisito x Tarea'!$B$2:$B$101,0),MATCH(_xlpm.enc,'Requisito x Tarea'!$C$1:$BK$1,0)),""))="X")
+--(UPPER(IFERROR(INDEX('Requisito x Tarea'!$C$2:$BK$101,MATCH(TRIM($L50),'Requisito x Tarea'!$B$2:$B$101,0),MATCH(_xlpm.enc,'Requisito x Tarea'!$C$1:$BK$1,0)),""))="X")
+--(UPPER(IFERROR(INDEX('Requisito x Tarea'!$C$2:$BK$101,MATCH(TRIM($M50),'Requisito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50" s="78"/>
      <c r="K50" s="78"/>
      <c r="L50" s="78"/>
      <c r="M50" s="78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</row>
    <row r="51" spans="1:72" ht="15" x14ac:dyDescent="0.3">
      <c r="A51" s="6">
        <v>44</v>
      </c>
      <c r="B51" s="60" t="str">
        <f>IF($C51="","",IFERROR(_xlfn.XLOOKUP($C51,tblPersonal[CUIL],tblPersonal[HUB]),""))</f>
        <v/>
      </c>
      <c r="C51" s="79"/>
      <c r="D51" s="43" t="str">
        <f>IF($C51="","",IFERROR(_xlfn.XLOOKUP($C51,tblPersonal[CUIL],tblPersonal[AP]),""))</f>
        <v/>
      </c>
      <c r="E51" s="79"/>
      <c r="F51" s="79"/>
      <c r="G51" s="7" t="str">
        <f>IF(F51="","",IFERROR(VLOOKUP(TRIM(F51),FID!$A:$C,2,FALSE),""))</f>
        <v/>
      </c>
      <c r="H51" s="7" t="str">
        <f>IF(F51="","",IFERROR(VLOOKUP(TRIM(F51),FID!$A:$C,3,FALSE),""))</f>
        <v/>
      </c>
      <c r="I51" s="82" t="str" cm="1">
        <f t="array" aca="1" ref="I51" ca="1">IF(COUNTA($J51:$M51)=0,"",_xlfn.LET(
_xlpm.enc,$N$7:$CH$7,
_xlpm.tipo,$N$4:$CH$4,
_xlpm.vig,$N$5:$CH$5,
_xlpm.fec,$N51:$CH51,
_xlpm.req,(
--(UPPER(IFERROR(INDEX('Requisito x Tarea'!$C$2:$BK$101,MATCH(TRIM($J51),'Requisito x Tarea'!$B$2:$B$101,0),MATCH(_xlpm.enc,'Requisito x Tarea'!$C$1:$BK$1,0)),""))="X")
+--(UPPER(IFERROR(INDEX('Requisito x Tarea'!$C$2:$BK$101,MATCH(TRIM($K51),'Requisito x Tarea'!$B$2:$B$101,0),MATCH(_xlpm.enc,'Requisito x Tarea'!$C$1:$BK$1,0)),""))="X")
+--(UPPER(IFERROR(INDEX('Requisito x Tarea'!$C$2:$BK$101,MATCH(TRIM($L51),'Requisito x Tarea'!$B$2:$B$101,0),MATCH(_xlpm.enc,'Requisito x Tarea'!$C$1:$BK$1,0)),""))="X")
+--(UPPER(IFERROR(INDEX('Requisito x Tarea'!$C$2:$BK$101,MATCH(TRIM($M51),'Requisito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51" s="78"/>
      <c r="K51" s="78"/>
      <c r="L51" s="78"/>
      <c r="M51" s="78"/>
      <c r="N51" s="80"/>
      <c r="O51" s="80"/>
      <c r="P51" s="80"/>
      <c r="Q51" s="80"/>
      <c r="R51" s="80"/>
      <c r="S51" s="80"/>
      <c r="T51" s="80"/>
      <c r="U51" s="80"/>
      <c r="V51" s="80"/>
      <c r="W51" s="80"/>
      <c r="X51" s="80"/>
      <c r="Y51" s="80"/>
      <c r="Z51" s="80"/>
      <c r="AA51" s="80"/>
      <c r="AB51" s="80"/>
      <c r="AC51" s="80"/>
      <c r="AD51" s="80"/>
      <c r="AE51" s="80"/>
      <c r="AF51" s="80"/>
      <c r="AG51" s="80"/>
      <c r="AH51" s="80"/>
      <c r="AI51" s="80"/>
      <c r="AJ51" s="80"/>
      <c r="AK51" s="80"/>
      <c r="AL51" s="80"/>
      <c r="AM51" s="80"/>
      <c r="AN51" s="80"/>
      <c r="AO51" s="80"/>
      <c r="AP51" s="80"/>
      <c r="AQ51" s="80"/>
      <c r="AR51" s="80"/>
      <c r="AS51" s="80"/>
      <c r="AT51" s="80"/>
      <c r="AU51" s="80"/>
      <c r="AV51" s="80"/>
      <c r="AW51" s="80"/>
      <c r="AX51" s="80"/>
      <c r="AY51" s="80"/>
      <c r="AZ51" s="80"/>
      <c r="BA51" s="80"/>
      <c r="BB51" s="80"/>
      <c r="BC51" s="80"/>
      <c r="BD51" s="80"/>
      <c r="BE51" s="80"/>
      <c r="BF51" s="80"/>
      <c r="BG51" s="80"/>
      <c r="BH51" s="80"/>
      <c r="BI51" s="80"/>
      <c r="BJ51" s="80"/>
      <c r="BK51" s="80"/>
      <c r="BL51" s="80"/>
      <c r="BM51" s="80"/>
      <c r="BN51" s="80"/>
      <c r="BO51" s="80"/>
      <c r="BP51" s="80"/>
      <c r="BQ51" s="80"/>
      <c r="BR51" s="80"/>
      <c r="BS51" s="80"/>
      <c r="BT51" s="80"/>
    </row>
    <row r="52" spans="1:72" ht="15" x14ac:dyDescent="0.3">
      <c r="A52" s="6">
        <v>45</v>
      </c>
      <c r="B52" s="60" t="str">
        <f>IF($C52="","",IFERROR(_xlfn.XLOOKUP($C52,tblPersonal[CUIL],tblPersonal[HUB]),""))</f>
        <v/>
      </c>
      <c r="C52" s="79"/>
      <c r="D52" s="43" t="str">
        <f>IF($C52="","",IFERROR(_xlfn.XLOOKUP($C52,tblPersonal[CUIL],tblPersonal[AP]),""))</f>
        <v/>
      </c>
      <c r="E52" s="79"/>
      <c r="F52" s="79"/>
      <c r="G52" s="7" t="str">
        <f>IF(F52="","",IFERROR(VLOOKUP(TRIM(F52),FID!$A:$C,2,FALSE),""))</f>
        <v/>
      </c>
      <c r="H52" s="7" t="str">
        <f>IF(F52="","",IFERROR(VLOOKUP(TRIM(F52),FID!$A:$C,3,FALSE),""))</f>
        <v/>
      </c>
      <c r="I52" s="82" t="str" cm="1">
        <f t="array" aca="1" ref="I52" ca="1">IF(COUNTA($J52:$M52)=0,"",_xlfn.LET(
_xlpm.enc,$N$7:$CH$7,
_xlpm.tipo,$N$4:$CH$4,
_xlpm.vig,$N$5:$CH$5,
_xlpm.fec,$N52:$CH52,
_xlpm.req,(
--(UPPER(IFERROR(INDEX('Requisito x Tarea'!$C$2:$BK$101,MATCH(TRIM($J52),'Requisito x Tarea'!$B$2:$B$101,0),MATCH(_xlpm.enc,'Requisito x Tarea'!$C$1:$BK$1,0)),""))="X")
+--(UPPER(IFERROR(INDEX('Requisito x Tarea'!$C$2:$BK$101,MATCH(TRIM($K52),'Requisito x Tarea'!$B$2:$B$101,0),MATCH(_xlpm.enc,'Requisito x Tarea'!$C$1:$BK$1,0)),""))="X")
+--(UPPER(IFERROR(INDEX('Requisito x Tarea'!$C$2:$BK$101,MATCH(TRIM($L52),'Requisito x Tarea'!$B$2:$B$101,0),MATCH(_xlpm.enc,'Requisito x Tarea'!$C$1:$BK$1,0)),""))="X")
+--(UPPER(IFERROR(INDEX('Requisito x Tarea'!$C$2:$BK$101,MATCH(TRIM($M52),'Requisito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52" s="78"/>
      <c r="K52" s="78"/>
      <c r="L52" s="78"/>
      <c r="M52" s="78"/>
      <c r="N52" s="80"/>
      <c r="O52" s="80"/>
      <c r="P52" s="80"/>
      <c r="Q52" s="80"/>
      <c r="R52" s="80"/>
      <c r="S52" s="80"/>
      <c r="T52" s="80"/>
      <c r="U52" s="80"/>
      <c r="V52" s="80"/>
      <c r="W52" s="80"/>
      <c r="X52" s="80"/>
      <c r="Y52" s="80"/>
      <c r="Z52" s="80"/>
      <c r="AA52" s="80"/>
      <c r="AB52" s="80"/>
      <c r="AC52" s="80"/>
      <c r="AD52" s="80"/>
      <c r="AE52" s="80"/>
      <c r="AF52" s="80"/>
      <c r="AG52" s="80"/>
      <c r="AH52" s="80"/>
      <c r="AI52" s="80"/>
      <c r="AJ52" s="80"/>
      <c r="AK52" s="80"/>
      <c r="AL52" s="80"/>
      <c r="AM52" s="80"/>
      <c r="AN52" s="80"/>
      <c r="AO52" s="80"/>
      <c r="AP52" s="80"/>
      <c r="AQ52" s="80"/>
      <c r="AR52" s="80"/>
      <c r="AS52" s="80"/>
      <c r="AT52" s="80"/>
      <c r="AU52" s="80"/>
      <c r="AV52" s="80"/>
      <c r="AW52" s="80"/>
      <c r="AX52" s="80"/>
      <c r="AY52" s="80"/>
      <c r="AZ52" s="80"/>
      <c r="BA52" s="80"/>
      <c r="BB52" s="80"/>
      <c r="BC52" s="80"/>
      <c r="BD52" s="80"/>
      <c r="BE52" s="80"/>
      <c r="BF52" s="80"/>
      <c r="BG52" s="80"/>
      <c r="BH52" s="80"/>
      <c r="BI52" s="80"/>
      <c r="BJ52" s="80"/>
      <c r="BK52" s="80"/>
      <c r="BL52" s="80"/>
      <c r="BM52" s="80"/>
      <c r="BN52" s="80"/>
      <c r="BO52" s="80"/>
      <c r="BP52" s="80"/>
      <c r="BQ52" s="80"/>
      <c r="BR52" s="80"/>
      <c r="BS52" s="80"/>
      <c r="BT52" s="80"/>
    </row>
    <row r="53" spans="1:72" ht="15" x14ac:dyDescent="0.3">
      <c r="A53" s="6">
        <v>46</v>
      </c>
      <c r="B53" s="60" t="str">
        <f>IF($C53="","",IFERROR(_xlfn.XLOOKUP($C53,tblPersonal[CUIL],tblPersonal[HUB]),""))</f>
        <v/>
      </c>
      <c r="C53" s="79"/>
      <c r="D53" s="43" t="str">
        <f>IF($C53="","",IFERROR(_xlfn.XLOOKUP($C53,tblPersonal[CUIL],tblPersonal[AP]),""))</f>
        <v/>
      </c>
      <c r="E53" s="79"/>
      <c r="F53" s="79"/>
      <c r="G53" s="7" t="str">
        <f>IF(F53="","",IFERROR(VLOOKUP(TRIM(F53),FID!$A:$C,2,FALSE),""))</f>
        <v/>
      </c>
      <c r="H53" s="7" t="str">
        <f>IF(F53="","",IFERROR(VLOOKUP(TRIM(F53),FID!$A:$C,3,FALSE),""))</f>
        <v/>
      </c>
      <c r="I53" s="82" t="str" cm="1">
        <f t="array" aca="1" ref="I53" ca="1">IF(COUNTA($J53:$M53)=0,"",_xlfn.LET(
_xlpm.enc,$N$7:$CH$7,
_xlpm.tipo,$N$4:$CH$4,
_xlpm.vig,$N$5:$CH$5,
_xlpm.fec,$N53:$CH53,
_xlpm.req,(
--(UPPER(IFERROR(INDEX('Requisito x Tarea'!$C$2:$BK$101,MATCH(TRIM($J53),'Requisito x Tarea'!$B$2:$B$101,0),MATCH(_xlpm.enc,'Requisito x Tarea'!$C$1:$BK$1,0)),""))="X")
+--(UPPER(IFERROR(INDEX('Requisito x Tarea'!$C$2:$BK$101,MATCH(TRIM($K53),'Requisito x Tarea'!$B$2:$B$101,0),MATCH(_xlpm.enc,'Requisito x Tarea'!$C$1:$BK$1,0)),""))="X")
+--(UPPER(IFERROR(INDEX('Requisito x Tarea'!$C$2:$BK$101,MATCH(TRIM($L53),'Requisito x Tarea'!$B$2:$B$101,0),MATCH(_xlpm.enc,'Requisito x Tarea'!$C$1:$BK$1,0)),""))="X")
+--(UPPER(IFERROR(INDEX('Requisito x Tarea'!$C$2:$BK$101,MATCH(TRIM($M53),'Requisito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53" s="78"/>
      <c r="K53" s="78"/>
      <c r="L53" s="78"/>
      <c r="M53" s="78"/>
      <c r="N53" s="80"/>
      <c r="O53" s="80"/>
      <c r="P53" s="80"/>
      <c r="Q53" s="80"/>
      <c r="R53" s="80"/>
      <c r="S53" s="80"/>
      <c r="T53" s="80"/>
      <c r="U53" s="80"/>
      <c r="V53" s="80"/>
      <c r="W53" s="80"/>
      <c r="X53" s="80"/>
      <c r="Y53" s="80"/>
      <c r="Z53" s="80"/>
      <c r="AA53" s="80"/>
      <c r="AB53" s="80"/>
      <c r="AC53" s="80"/>
      <c r="AD53" s="80"/>
      <c r="AE53" s="80"/>
      <c r="AF53" s="80"/>
      <c r="AG53" s="80"/>
      <c r="AH53" s="80"/>
      <c r="AI53" s="80"/>
      <c r="AJ53" s="80"/>
      <c r="AK53" s="80"/>
      <c r="AL53" s="80"/>
      <c r="AM53" s="80"/>
      <c r="AN53" s="80"/>
      <c r="AO53" s="80"/>
      <c r="AP53" s="80"/>
      <c r="AQ53" s="80"/>
      <c r="AR53" s="80"/>
      <c r="AS53" s="80"/>
      <c r="AT53" s="80"/>
      <c r="AU53" s="80"/>
      <c r="AV53" s="80"/>
      <c r="AW53" s="80"/>
      <c r="AX53" s="80"/>
      <c r="AY53" s="80"/>
      <c r="AZ53" s="80"/>
      <c r="BA53" s="80"/>
      <c r="BB53" s="80"/>
      <c r="BC53" s="80"/>
      <c r="BD53" s="80"/>
      <c r="BE53" s="80"/>
      <c r="BF53" s="80"/>
      <c r="BG53" s="80"/>
      <c r="BH53" s="80"/>
      <c r="BI53" s="80"/>
      <c r="BJ53" s="80"/>
      <c r="BK53" s="80"/>
      <c r="BL53" s="80"/>
      <c r="BM53" s="80"/>
      <c r="BN53" s="80"/>
      <c r="BO53" s="80"/>
      <c r="BP53" s="80"/>
      <c r="BQ53" s="80"/>
      <c r="BR53" s="80"/>
      <c r="BS53" s="80"/>
      <c r="BT53" s="80"/>
    </row>
    <row r="54" spans="1:72" ht="15" x14ac:dyDescent="0.3">
      <c r="A54" s="6">
        <v>47</v>
      </c>
      <c r="B54" s="60" t="str">
        <f>IF($C54="","",IFERROR(_xlfn.XLOOKUP($C54,tblPersonal[CUIL],tblPersonal[HUB]),""))</f>
        <v/>
      </c>
      <c r="C54" s="79"/>
      <c r="D54" s="43" t="str">
        <f>IF($C54="","",IFERROR(_xlfn.XLOOKUP($C54,tblPersonal[CUIL],tblPersonal[AP]),""))</f>
        <v/>
      </c>
      <c r="E54" s="79"/>
      <c r="F54" s="79"/>
      <c r="G54" s="7" t="str">
        <f>IF(F54="","",IFERROR(VLOOKUP(TRIM(F54),FID!$A:$C,2,FALSE),""))</f>
        <v/>
      </c>
      <c r="H54" s="7" t="str">
        <f>IF(F54="","",IFERROR(VLOOKUP(TRIM(F54),FID!$A:$C,3,FALSE),""))</f>
        <v/>
      </c>
      <c r="I54" s="82" t="str" cm="1">
        <f t="array" aca="1" ref="I54" ca="1">IF(COUNTA($J54:$M54)=0,"",_xlfn.LET(
_xlpm.enc,$N$7:$CH$7,
_xlpm.tipo,$N$4:$CH$4,
_xlpm.vig,$N$5:$CH$5,
_xlpm.fec,$N54:$CH54,
_xlpm.req,(
--(UPPER(IFERROR(INDEX('Requisito x Tarea'!$C$2:$BK$101,MATCH(TRIM($J54),'Requisito x Tarea'!$B$2:$B$101,0),MATCH(_xlpm.enc,'Requisito x Tarea'!$C$1:$BK$1,0)),""))="X")
+--(UPPER(IFERROR(INDEX('Requisito x Tarea'!$C$2:$BK$101,MATCH(TRIM($K54),'Requisito x Tarea'!$B$2:$B$101,0),MATCH(_xlpm.enc,'Requisito x Tarea'!$C$1:$BK$1,0)),""))="X")
+--(UPPER(IFERROR(INDEX('Requisito x Tarea'!$C$2:$BK$101,MATCH(TRIM($L54),'Requisito x Tarea'!$B$2:$B$101,0),MATCH(_xlpm.enc,'Requisito x Tarea'!$C$1:$BK$1,0)),""))="X")
+--(UPPER(IFERROR(INDEX('Requisito x Tarea'!$C$2:$BK$101,MATCH(TRIM($M54),'Requisito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54" s="78"/>
      <c r="K54" s="78"/>
      <c r="L54" s="78"/>
      <c r="M54" s="78"/>
      <c r="N54" s="80"/>
      <c r="O54" s="80"/>
      <c r="P54" s="80"/>
      <c r="Q54" s="80"/>
      <c r="R54" s="80"/>
      <c r="S54" s="80"/>
      <c r="T54" s="80"/>
      <c r="U54" s="80"/>
      <c r="V54" s="80"/>
      <c r="W54" s="80"/>
      <c r="X54" s="80"/>
      <c r="Y54" s="80"/>
      <c r="Z54" s="80"/>
      <c r="AA54" s="80"/>
      <c r="AB54" s="80"/>
      <c r="AC54" s="80"/>
      <c r="AD54" s="80"/>
      <c r="AE54" s="80"/>
      <c r="AF54" s="80"/>
      <c r="AG54" s="80"/>
      <c r="AH54" s="80"/>
      <c r="AI54" s="80"/>
      <c r="AJ54" s="80"/>
      <c r="AK54" s="80"/>
      <c r="AL54" s="80"/>
      <c r="AM54" s="80"/>
      <c r="AN54" s="80"/>
      <c r="AO54" s="80"/>
      <c r="AP54" s="80"/>
      <c r="AQ54" s="80"/>
      <c r="AR54" s="80"/>
      <c r="AS54" s="80"/>
      <c r="AT54" s="80"/>
      <c r="AU54" s="80"/>
      <c r="AV54" s="80"/>
      <c r="AW54" s="80"/>
      <c r="AX54" s="80"/>
      <c r="AY54" s="80"/>
      <c r="AZ54" s="80"/>
      <c r="BA54" s="80"/>
      <c r="BB54" s="80"/>
      <c r="BC54" s="80"/>
      <c r="BD54" s="80"/>
      <c r="BE54" s="80"/>
      <c r="BF54" s="80"/>
      <c r="BG54" s="80"/>
      <c r="BH54" s="80"/>
      <c r="BI54" s="80"/>
      <c r="BJ54" s="80"/>
      <c r="BK54" s="80"/>
      <c r="BL54" s="80"/>
      <c r="BM54" s="80"/>
      <c r="BN54" s="80"/>
      <c r="BO54" s="80"/>
      <c r="BP54" s="80"/>
      <c r="BQ54" s="80"/>
      <c r="BR54" s="80"/>
      <c r="BS54" s="80"/>
      <c r="BT54" s="80"/>
    </row>
    <row r="55" spans="1:72" ht="15" x14ac:dyDescent="0.3">
      <c r="A55" s="6">
        <v>48</v>
      </c>
      <c r="B55" s="60" t="str">
        <f>IF($C55="","",IFERROR(_xlfn.XLOOKUP($C55,tblPersonal[CUIL],tblPersonal[HUB]),""))</f>
        <v/>
      </c>
      <c r="C55" s="79"/>
      <c r="D55" s="43" t="str">
        <f>IF($C55="","",IFERROR(_xlfn.XLOOKUP($C55,tblPersonal[CUIL],tblPersonal[AP]),""))</f>
        <v/>
      </c>
      <c r="E55" s="79"/>
      <c r="F55" s="79"/>
      <c r="G55" s="7" t="str">
        <f>IF(F55="","",IFERROR(VLOOKUP(TRIM(F55),FID!$A:$C,2,FALSE),""))</f>
        <v/>
      </c>
      <c r="H55" s="7" t="str">
        <f>IF(F55="","",IFERROR(VLOOKUP(TRIM(F55),FID!$A:$C,3,FALSE),""))</f>
        <v/>
      </c>
      <c r="I55" s="82" t="str" cm="1">
        <f t="array" aca="1" ref="I55" ca="1">IF(COUNTA($J55:$M55)=0,"",_xlfn.LET(
_xlpm.enc,$N$7:$CH$7,
_xlpm.tipo,$N$4:$CH$4,
_xlpm.vig,$N$5:$CH$5,
_xlpm.fec,$N55:$CH55,
_xlpm.req,(
--(UPPER(IFERROR(INDEX('Requisito x Tarea'!$C$2:$BK$101,MATCH(TRIM($J55),'Requisito x Tarea'!$B$2:$B$101,0),MATCH(_xlpm.enc,'Requisito x Tarea'!$C$1:$BK$1,0)),""))="X")
+--(UPPER(IFERROR(INDEX('Requisito x Tarea'!$C$2:$BK$101,MATCH(TRIM($K55),'Requisito x Tarea'!$B$2:$B$101,0),MATCH(_xlpm.enc,'Requisito x Tarea'!$C$1:$BK$1,0)),""))="X")
+--(UPPER(IFERROR(INDEX('Requisito x Tarea'!$C$2:$BK$101,MATCH(TRIM($L55),'Requisito x Tarea'!$B$2:$B$101,0),MATCH(_xlpm.enc,'Requisito x Tarea'!$C$1:$BK$1,0)),""))="X")
+--(UPPER(IFERROR(INDEX('Requisito x Tarea'!$C$2:$BK$101,MATCH(TRIM($M55),'Requisito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55" s="78"/>
      <c r="K55" s="78"/>
      <c r="L55" s="78"/>
      <c r="M55" s="78"/>
      <c r="N55" s="80"/>
      <c r="O55" s="80"/>
      <c r="P55" s="80"/>
      <c r="Q55" s="80"/>
      <c r="R55" s="80"/>
      <c r="S55" s="80"/>
      <c r="T55" s="80"/>
      <c r="U55" s="80"/>
      <c r="V55" s="80"/>
      <c r="W55" s="80"/>
      <c r="X55" s="80"/>
      <c r="Y55" s="80"/>
      <c r="Z55" s="80"/>
      <c r="AA55" s="80"/>
      <c r="AB55" s="80"/>
      <c r="AC55" s="80"/>
      <c r="AD55" s="80"/>
      <c r="AE55" s="80"/>
      <c r="AF55" s="80"/>
      <c r="AG55" s="80"/>
      <c r="AH55" s="80"/>
      <c r="AI55" s="80"/>
      <c r="AJ55" s="80"/>
      <c r="AK55" s="80"/>
      <c r="AL55" s="80"/>
      <c r="AM55" s="80"/>
      <c r="AN55" s="80"/>
      <c r="AO55" s="80"/>
      <c r="AP55" s="80"/>
      <c r="AQ55" s="80"/>
      <c r="AR55" s="80"/>
      <c r="AS55" s="80"/>
      <c r="AT55" s="80"/>
      <c r="AU55" s="80"/>
      <c r="AV55" s="80"/>
      <c r="AW55" s="80"/>
      <c r="AX55" s="80"/>
      <c r="AY55" s="80"/>
      <c r="AZ55" s="80"/>
      <c r="BA55" s="80"/>
      <c r="BB55" s="80"/>
      <c r="BC55" s="80"/>
      <c r="BD55" s="80"/>
      <c r="BE55" s="80"/>
      <c r="BF55" s="80"/>
      <c r="BG55" s="80"/>
      <c r="BH55" s="80"/>
      <c r="BI55" s="80"/>
      <c r="BJ55" s="80"/>
      <c r="BK55" s="80"/>
      <c r="BL55" s="80"/>
      <c r="BM55" s="80"/>
      <c r="BN55" s="80"/>
      <c r="BO55" s="80"/>
      <c r="BP55" s="80"/>
      <c r="BQ55" s="80"/>
      <c r="BR55" s="80"/>
      <c r="BS55" s="80"/>
      <c r="BT55" s="80"/>
    </row>
    <row r="56" spans="1:72" ht="15" x14ac:dyDescent="0.3">
      <c r="A56" s="6">
        <v>49</v>
      </c>
      <c r="B56" s="60" t="str">
        <f>IF($C56="","",IFERROR(_xlfn.XLOOKUP($C56,tblPersonal[CUIL],tblPersonal[HUB]),""))</f>
        <v/>
      </c>
      <c r="C56" s="79"/>
      <c r="D56" s="43" t="str">
        <f>IF($C56="","",IFERROR(_xlfn.XLOOKUP($C56,tblPersonal[CUIL],tblPersonal[AP]),""))</f>
        <v/>
      </c>
      <c r="E56" s="79"/>
      <c r="F56" s="79"/>
      <c r="G56" s="7" t="str">
        <f>IF(F56="","",IFERROR(VLOOKUP(TRIM(F56),FID!$A:$C,2,FALSE),""))</f>
        <v/>
      </c>
      <c r="H56" s="7" t="str">
        <f>IF(F56="","",IFERROR(VLOOKUP(TRIM(F56),FID!$A:$C,3,FALSE),""))</f>
        <v/>
      </c>
      <c r="I56" s="82" t="str" cm="1">
        <f t="array" aca="1" ref="I56" ca="1">IF(COUNTA($J56:$M56)=0,"",_xlfn.LET(
_xlpm.enc,$N$7:$CH$7,
_xlpm.tipo,$N$4:$CH$4,
_xlpm.vig,$N$5:$CH$5,
_xlpm.fec,$N56:$CH56,
_xlpm.req,(
--(UPPER(IFERROR(INDEX('Requisito x Tarea'!$C$2:$BK$101,MATCH(TRIM($J56),'Requisito x Tarea'!$B$2:$B$101,0),MATCH(_xlpm.enc,'Requisito x Tarea'!$C$1:$BK$1,0)),""))="X")
+--(UPPER(IFERROR(INDEX('Requisito x Tarea'!$C$2:$BK$101,MATCH(TRIM($K56),'Requisito x Tarea'!$B$2:$B$101,0),MATCH(_xlpm.enc,'Requisito x Tarea'!$C$1:$BK$1,0)),""))="X")
+--(UPPER(IFERROR(INDEX('Requisito x Tarea'!$C$2:$BK$101,MATCH(TRIM($L56),'Requisito x Tarea'!$B$2:$B$101,0),MATCH(_xlpm.enc,'Requisito x Tarea'!$C$1:$BK$1,0)),""))="X")
+--(UPPER(IFERROR(INDEX('Requisito x Tarea'!$C$2:$BK$101,MATCH(TRIM($M56),'Requisito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56" s="78"/>
      <c r="K56" s="78"/>
      <c r="L56" s="78"/>
      <c r="M56" s="78"/>
      <c r="N56" s="80"/>
      <c r="O56" s="80"/>
      <c r="P56" s="80"/>
      <c r="Q56" s="80"/>
      <c r="R56" s="80"/>
      <c r="S56" s="80"/>
      <c r="T56" s="80"/>
      <c r="U56" s="80"/>
      <c r="V56" s="80"/>
      <c r="W56" s="80"/>
      <c r="X56" s="80"/>
      <c r="Y56" s="80"/>
      <c r="Z56" s="80"/>
      <c r="AA56" s="80"/>
      <c r="AB56" s="80"/>
      <c r="AC56" s="80"/>
      <c r="AD56" s="80"/>
      <c r="AE56" s="80"/>
      <c r="AF56" s="80"/>
      <c r="AG56" s="80"/>
      <c r="AH56" s="80"/>
      <c r="AI56" s="80"/>
      <c r="AJ56" s="80"/>
      <c r="AK56" s="80"/>
      <c r="AL56" s="80"/>
      <c r="AM56" s="80"/>
      <c r="AN56" s="80"/>
      <c r="AO56" s="80"/>
      <c r="AP56" s="80"/>
      <c r="AQ56" s="80"/>
      <c r="AR56" s="80"/>
      <c r="AS56" s="80"/>
      <c r="AT56" s="80"/>
      <c r="AU56" s="80"/>
      <c r="AV56" s="80"/>
      <c r="AW56" s="80"/>
      <c r="AX56" s="80"/>
      <c r="AY56" s="80"/>
      <c r="AZ56" s="80"/>
      <c r="BA56" s="80"/>
      <c r="BB56" s="80"/>
      <c r="BC56" s="80"/>
      <c r="BD56" s="80"/>
      <c r="BE56" s="80"/>
      <c r="BF56" s="80"/>
      <c r="BG56" s="80"/>
      <c r="BH56" s="80"/>
      <c r="BI56" s="80"/>
      <c r="BJ56" s="80"/>
      <c r="BK56" s="80"/>
      <c r="BL56" s="80"/>
      <c r="BM56" s="80"/>
      <c r="BN56" s="80"/>
      <c r="BO56" s="80"/>
      <c r="BP56" s="80"/>
      <c r="BQ56" s="80"/>
      <c r="BR56" s="80"/>
      <c r="BS56" s="80"/>
      <c r="BT56" s="80"/>
    </row>
    <row r="57" spans="1:72" ht="15" x14ac:dyDescent="0.3">
      <c r="A57" s="6">
        <v>50</v>
      </c>
      <c r="B57" s="60" t="str">
        <f>IF($C57="","",IFERROR(_xlfn.XLOOKUP($C57,tblPersonal[CUIL],tblPersonal[HUB]),""))</f>
        <v/>
      </c>
      <c r="C57" s="79"/>
      <c r="D57" s="43" t="str">
        <f>IF($C57="","",IFERROR(_xlfn.XLOOKUP($C57,tblPersonal[CUIL],tblPersonal[AP]),""))</f>
        <v/>
      </c>
      <c r="E57" s="79"/>
      <c r="F57" s="79"/>
      <c r="G57" s="7" t="str">
        <f>IF(F57="","",IFERROR(VLOOKUP(TRIM(F57),FID!$A:$C,2,FALSE),""))</f>
        <v/>
      </c>
      <c r="H57" s="7" t="str">
        <f>IF(F57="","",IFERROR(VLOOKUP(TRIM(F57),FID!$A:$C,3,FALSE),""))</f>
        <v/>
      </c>
      <c r="I57" s="82" t="str" cm="1">
        <f t="array" aca="1" ref="I57" ca="1">IF(COUNTA($J57:$M57)=0,"",_xlfn.LET(
_xlpm.enc,$N$7:$CH$7,
_xlpm.tipo,$N$4:$CH$4,
_xlpm.vig,$N$5:$CH$5,
_xlpm.fec,$N57:$CH57,
_xlpm.req,(
--(UPPER(IFERROR(INDEX('Requisito x Tarea'!$C$2:$BK$101,MATCH(TRIM($J57),'Requisito x Tarea'!$B$2:$B$101,0),MATCH(_xlpm.enc,'Requisito x Tarea'!$C$1:$BK$1,0)),""))="X")
+--(UPPER(IFERROR(INDEX('Requisito x Tarea'!$C$2:$BK$101,MATCH(TRIM($K57),'Requisito x Tarea'!$B$2:$B$101,0),MATCH(_xlpm.enc,'Requisito x Tarea'!$C$1:$BK$1,0)),""))="X")
+--(UPPER(IFERROR(INDEX('Requisito x Tarea'!$C$2:$BK$101,MATCH(TRIM($L57),'Requisito x Tarea'!$B$2:$B$101,0),MATCH(_xlpm.enc,'Requisito x Tarea'!$C$1:$BK$1,0)),""))="X")
+--(UPPER(IFERROR(INDEX('Requisito x Tarea'!$C$2:$BK$101,MATCH(TRIM($M57),'Requisito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57" s="78"/>
      <c r="K57" s="78"/>
      <c r="L57" s="78"/>
      <c r="M57" s="78"/>
      <c r="N57" s="80"/>
      <c r="O57" s="80"/>
      <c r="P57" s="80"/>
      <c r="Q57" s="80"/>
      <c r="R57" s="80"/>
      <c r="S57" s="80"/>
      <c r="T57" s="80"/>
      <c r="U57" s="80"/>
      <c r="V57" s="80"/>
      <c r="W57" s="80"/>
      <c r="X57" s="80"/>
      <c r="Y57" s="80"/>
      <c r="Z57" s="80"/>
      <c r="AA57" s="80"/>
      <c r="AB57" s="80"/>
      <c r="AC57" s="80"/>
      <c r="AD57" s="80"/>
      <c r="AE57" s="80"/>
      <c r="AF57" s="80"/>
      <c r="AG57" s="80"/>
      <c r="AH57" s="80"/>
      <c r="AI57" s="80"/>
      <c r="AJ57" s="80"/>
      <c r="AK57" s="80"/>
      <c r="AL57" s="80"/>
      <c r="AM57" s="80"/>
      <c r="AN57" s="80"/>
      <c r="AO57" s="80"/>
      <c r="AP57" s="80"/>
      <c r="AQ57" s="80"/>
      <c r="AR57" s="80"/>
      <c r="AS57" s="80"/>
      <c r="AT57" s="80"/>
      <c r="AU57" s="80"/>
      <c r="AV57" s="80"/>
      <c r="AW57" s="80"/>
      <c r="AX57" s="80"/>
      <c r="AY57" s="80"/>
      <c r="AZ57" s="80"/>
      <c r="BA57" s="80"/>
      <c r="BB57" s="80"/>
      <c r="BC57" s="80"/>
      <c r="BD57" s="80"/>
      <c r="BE57" s="80"/>
      <c r="BF57" s="80"/>
      <c r="BG57" s="80"/>
      <c r="BH57" s="80"/>
      <c r="BI57" s="80"/>
      <c r="BJ57" s="80"/>
      <c r="BK57" s="80"/>
      <c r="BL57" s="80"/>
      <c r="BM57" s="80"/>
      <c r="BN57" s="80"/>
      <c r="BO57" s="80"/>
      <c r="BP57" s="80"/>
      <c r="BQ57" s="80"/>
      <c r="BR57" s="80"/>
      <c r="BS57" s="80"/>
      <c r="BT57" s="80"/>
    </row>
    <row r="58" spans="1:72" ht="15" x14ac:dyDescent="0.3">
      <c r="A58" s="6">
        <v>51</v>
      </c>
      <c r="B58" s="60" t="str">
        <f>IF($C58="","",IFERROR(_xlfn.XLOOKUP($C58,tblPersonal[CUIL],tblPersonal[HUB]),""))</f>
        <v/>
      </c>
      <c r="C58" s="79"/>
      <c r="D58" s="43" t="str">
        <f>IF($C58="","",IFERROR(_xlfn.XLOOKUP($C58,tblPersonal[CUIL],tblPersonal[AP]),""))</f>
        <v/>
      </c>
      <c r="E58" s="79"/>
      <c r="F58" s="79"/>
      <c r="G58" s="7" t="str">
        <f>IF(F58="","",IFERROR(VLOOKUP(TRIM(F58),FID!$A:$C,2,FALSE),""))</f>
        <v/>
      </c>
      <c r="H58" s="7" t="str">
        <f>IF(F58="","",IFERROR(VLOOKUP(TRIM(F58),FID!$A:$C,3,FALSE),""))</f>
        <v/>
      </c>
      <c r="I58" s="82" t="str" cm="1">
        <f t="array" aca="1" ref="I58" ca="1">IF(COUNTA($J58:$M58)=0,"",_xlfn.LET(
_xlpm.enc,$N$7:$CH$7,
_xlpm.tipo,$N$4:$CH$4,
_xlpm.vig,$N$5:$CH$5,
_xlpm.fec,$N58:$CH58,
_xlpm.req,(
--(UPPER(IFERROR(INDEX('Requisito x Tarea'!$C$2:$BK$101,MATCH(TRIM($J58),'Requisito x Tarea'!$B$2:$B$101,0),MATCH(_xlpm.enc,'Requisito x Tarea'!$C$1:$BK$1,0)),""))="X")
+--(UPPER(IFERROR(INDEX('Requisito x Tarea'!$C$2:$BK$101,MATCH(TRIM($K58),'Requisito x Tarea'!$B$2:$B$101,0),MATCH(_xlpm.enc,'Requisito x Tarea'!$C$1:$BK$1,0)),""))="X")
+--(UPPER(IFERROR(INDEX('Requisito x Tarea'!$C$2:$BK$101,MATCH(TRIM($L58),'Requisito x Tarea'!$B$2:$B$101,0),MATCH(_xlpm.enc,'Requisito x Tarea'!$C$1:$BK$1,0)),""))="X")
+--(UPPER(IFERROR(INDEX('Requisito x Tarea'!$C$2:$BK$101,MATCH(TRIM($M58),'Requisito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58" s="78"/>
      <c r="K58" s="78"/>
      <c r="L58" s="78"/>
      <c r="M58" s="78"/>
      <c r="N58" s="80"/>
      <c r="O58" s="80"/>
      <c r="P58" s="80"/>
      <c r="Q58" s="80"/>
      <c r="R58" s="80"/>
      <c r="S58" s="80"/>
      <c r="T58" s="80"/>
      <c r="U58" s="80"/>
      <c r="V58" s="80"/>
      <c r="W58" s="80"/>
      <c r="X58" s="80"/>
      <c r="Y58" s="80"/>
      <c r="Z58" s="80"/>
      <c r="AA58" s="80"/>
      <c r="AB58" s="80"/>
      <c r="AC58" s="80"/>
      <c r="AD58" s="80"/>
      <c r="AE58" s="80"/>
      <c r="AF58" s="80"/>
      <c r="AG58" s="80"/>
      <c r="AH58" s="80"/>
      <c r="AI58" s="80"/>
      <c r="AJ58" s="80"/>
      <c r="AK58" s="80"/>
      <c r="AL58" s="80"/>
      <c r="AM58" s="80"/>
      <c r="AN58" s="80"/>
      <c r="AO58" s="80"/>
      <c r="AP58" s="80"/>
      <c r="AQ58" s="80"/>
      <c r="AR58" s="80"/>
      <c r="AS58" s="80"/>
      <c r="AT58" s="80"/>
      <c r="AU58" s="80"/>
      <c r="AV58" s="80"/>
      <c r="AW58" s="80"/>
      <c r="AX58" s="80"/>
      <c r="AY58" s="80"/>
      <c r="AZ58" s="80"/>
      <c r="BA58" s="80"/>
      <c r="BB58" s="80"/>
      <c r="BC58" s="80"/>
      <c r="BD58" s="80"/>
      <c r="BE58" s="80"/>
      <c r="BF58" s="80"/>
      <c r="BG58" s="80"/>
      <c r="BH58" s="80"/>
      <c r="BI58" s="80"/>
      <c r="BJ58" s="80"/>
      <c r="BK58" s="80"/>
      <c r="BL58" s="80"/>
      <c r="BM58" s="80"/>
      <c r="BN58" s="80"/>
      <c r="BO58" s="80"/>
      <c r="BP58" s="80"/>
      <c r="BQ58" s="80"/>
      <c r="BR58" s="80"/>
      <c r="BS58" s="80"/>
      <c r="BT58" s="80"/>
    </row>
    <row r="59" spans="1:72" ht="15" x14ac:dyDescent="0.3">
      <c r="A59" s="6">
        <v>52</v>
      </c>
      <c r="B59" s="60" t="str">
        <f>IF($C59="","",IFERROR(_xlfn.XLOOKUP($C59,tblPersonal[CUIL],tblPersonal[HUB]),""))</f>
        <v/>
      </c>
      <c r="C59" s="79"/>
      <c r="D59" s="43" t="str">
        <f>IF($C59="","",IFERROR(_xlfn.XLOOKUP($C59,tblPersonal[CUIL],tblPersonal[AP]),""))</f>
        <v/>
      </c>
      <c r="E59" s="79"/>
      <c r="F59" s="79"/>
      <c r="G59" s="7" t="str">
        <f>IF(F59="","",IFERROR(VLOOKUP(TRIM(F59),FID!$A:$C,2,FALSE),""))</f>
        <v/>
      </c>
      <c r="H59" s="7" t="str">
        <f>IF(F59="","",IFERROR(VLOOKUP(TRIM(F59),FID!$A:$C,3,FALSE),""))</f>
        <v/>
      </c>
      <c r="I59" s="82" t="str" cm="1">
        <f t="array" aca="1" ref="I59" ca="1">IF(COUNTA($J59:$M59)=0,"",_xlfn.LET(
_xlpm.enc,$N$7:$CH$7,
_xlpm.tipo,$N$4:$CH$4,
_xlpm.vig,$N$5:$CH$5,
_xlpm.fec,$N59:$CH59,
_xlpm.req,(
--(UPPER(IFERROR(INDEX('Requisito x Tarea'!$C$2:$BK$101,MATCH(TRIM($J59),'Requisito x Tarea'!$B$2:$B$101,0),MATCH(_xlpm.enc,'Requisito x Tarea'!$C$1:$BK$1,0)),""))="X")
+--(UPPER(IFERROR(INDEX('Requisito x Tarea'!$C$2:$BK$101,MATCH(TRIM($K59),'Requisito x Tarea'!$B$2:$B$101,0),MATCH(_xlpm.enc,'Requisito x Tarea'!$C$1:$BK$1,0)),""))="X")
+--(UPPER(IFERROR(INDEX('Requisito x Tarea'!$C$2:$BK$101,MATCH(TRIM($L59),'Requisito x Tarea'!$B$2:$B$101,0),MATCH(_xlpm.enc,'Requisito x Tarea'!$C$1:$BK$1,0)),""))="X")
+--(UPPER(IFERROR(INDEX('Requisito x Tarea'!$C$2:$BK$101,MATCH(TRIM($M59),'Requisito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59" s="78"/>
      <c r="K59" s="78"/>
      <c r="L59" s="78"/>
      <c r="M59" s="78"/>
      <c r="N59" s="80"/>
      <c r="O59" s="80"/>
      <c r="P59" s="80"/>
      <c r="Q59" s="80"/>
      <c r="R59" s="80"/>
      <c r="S59" s="80"/>
      <c r="T59" s="80"/>
      <c r="U59" s="80"/>
      <c r="V59" s="80"/>
      <c r="W59" s="80"/>
      <c r="X59" s="80"/>
      <c r="Y59" s="80"/>
      <c r="Z59" s="80"/>
      <c r="AA59" s="80"/>
      <c r="AB59" s="80"/>
      <c r="AC59" s="80"/>
      <c r="AD59" s="80"/>
      <c r="AE59" s="80"/>
      <c r="AF59" s="80"/>
      <c r="AG59" s="80"/>
      <c r="AH59" s="80"/>
      <c r="AI59" s="80"/>
      <c r="AJ59" s="80"/>
      <c r="AK59" s="80"/>
      <c r="AL59" s="80"/>
      <c r="AM59" s="80"/>
      <c r="AN59" s="80"/>
      <c r="AO59" s="80"/>
      <c r="AP59" s="80"/>
      <c r="AQ59" s="80"/>
      <c r="AR59" s="80"/>
      <c r="AS59" s="80"/>
      <c r="AT59" s="80"/>
      <c r="AU59" s="80"/>
      <c r="AV59" s="80"/>
      <c r="AW59" s="80"/>
      <c r="AX59" s="80"/>
      <c r="AY59" s="80"/>
      <c r="AZ59" s="80"/>
      <c r="BA59" s="80"/>
      <c r="BB59" s="80"/>
      <c r="BC59" s="80"/>
      <c r="BD59" s="80"/>
      <c r="BE59" s="80"/>
      <c r="BF59" s="80"/>
      <c r="BG59" s="80"/>
      <c r="BH59" s="80"/>
      <c r="BI59" s="80"/>
      <c r="BJ59" s="80"/>
      <c r="BK59" s="80"/>
      <c r="BL59" s="80"/>
      <c r="BM59" s="80"/>
      <c r="BN59" s="80"/>
      <c r="BO59" s="80"/>
      <c r="BP59" s="80"/>
      <c r="BQ59" s="80"/>
      <c r="BR59" s="80"/>
      <c r="BS59" s="80"/>
      <c r="BT59" s="80"/>
    </row>
    <row r="60" spans="1:72" ht="15" x14ac:dyDescent="0.3">
      <c r="A60" s="6">
        <v>53</v>
      </c>
      <c r="B60" s="60" t="str">
        <f>IF($C60="","",IFERROR(_xlfn.XLOOKUP($C60,tblPersonal[CUIL],tblPersonal[HUB]),""))</f>
        <v/>
      </c>
      <c r="C60" s="79"/>
      <c r="D60" s="43" t="str">
        <f>IF($C60="","",IFERROR(_xlfn.XLOOKUP($C60,tblPersonal[CUIL],tblPersonal[AP]),""))</f>
        <v/>
      </c>
      <c r="E60" s="79"/>
      <c r="F60" s="79"/>
      <c r="G60" s="7" t="str">
        <f>IF(F60="","",IFERROR(VLOOKUP(TRIM(F60),FID!$A:$C,2,FALSE),""))</f>
        <v/>
      </c>
      <c r="H60" s="7" t="str">
        <f>IF(F60="","",IFERROR(VLOOKUP(TRIM(F60),FID!$A:$C,3,FALSE),""))</f>
        <v/>
      </c>
      <c r="I60" s="82" t="str" cm="1">
        <f t="array" aca="1" ref="I60" ca="1">IF(COUNTA($J60:$M60)=0,"",_xlfn.LET(
_xlpm.enc,$N$7:$CH$7,
_xlpm.tipo,$N$4:$CH$4,
_xlpm.vig,$N$5:$CH$5,
_xlpm.fec,$N60:$CH60,
_xlpm.req,(
--(UPPER(IFERROR(INDEX('Requisito x Tarea'!$C$2:$BK$101,MATCH(TRIM($J60),'Requisito x Tarea'!$B$2:$B$101,0),MATCH(_xlpm.enc,'Requisito x Tarea'!$C$1:$BK$1,0)),""))="X")
+--(UPPER(IFERROR(INDEX('Requisito x Tarea'!$C$2:$BK$101,MATCH(TRIM($K60),'Requisito x Tarea'!$B$2:$B$101,0),MATCH(_xlpm.enc,'Requisito x Tarea'!$C$1:$BK$1,0)),""))="X")
+--(UPPER(IFERROR(INDEX('Requisito x Tarea'!$C$2:$BK$101,MATCH(TRIM($L60),'Requisito x Tarea'!$B$2:$B$101,0),MATCH(_xlpm.enc,'Requisito x Tarea'!$C$1:$BK$1,0)),""))="X")
+--(UPPER(IFERROR(INDEX('Requisito x Tarea'!$C$2:$BK$101,MATCH(TRIM($M60),'Requisito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60" s="78"/>
      <c r="K60" s="78"/>
      <c r="L60" s="78"/>
      <c r="M60" s="78"/>
      <c r="N60" s="80"/>
      <c r="O60" s="80"/>
      <c r="P60" s="80"/>
      <c r="Q60" s="80"/>
      <c r="R60" s="80"/>
      <c r="S60" s="80"/>
      <c r="T60" s="80"/>
      <c r="U60" s="80"/>
      <c r="V60" s="80"/>
      <c r="W60" s="80"/>
      <c r="X60" s="80"/>
      <c r="Y60" s="80"/>
      <c r="Z60" s="80"/>
      <c r="AA60" s="80"/>
      <c r="AB60" s="80"/>
      <c r="AC60" s="80"/>
      <c r="AD60" s="80"/>
      <c r="AE60" s="80"/>
      <c r="AF60" s="80"/>
      <c r="AG60" s="80"/>
      <c r="AH60" s="80"/>
      <c r="AI60" s="80"/>
      <c r="AJ60" s="80"/>
      <c r="AK60" s="80"/>
      <c r="AL60" s="80"/>
      <c r="AM60" s="80"/>
      <c r="AN60" s="80"/>
      <c r="AO60" s="80"/>
      <c r="AP60" s="80"/>
      <c r="AQ60" s="80"/>
      <c r="AR60" s="80"/>
      <c r="AS60" s="80"/>
      <c r="AT60" s="80"/>
      <c r="AU60" s="80"/>
      <c r="AV60" s="80"/>
      <c r="AW60" s="80"/>
      <c r="AX60" s="80"/>
      <c r="AY60" s="80"/>
      <c r="AZ60" s="80"/>
      <c r="BA60" s="80"/>
      <c r="BB60" s="80"/>
      <c r="BC60" s="80"/>
      <c r="BD60" s="80"/>
      <c r="BE60" s="80"/>
      <c r="BF60" s="80"/>
      <c r="BG60" s="80"/>
      <c r="BH60" s="80"/>
      <c r="BI60" s="80"/>
      <c r="BJ60" s="80"/>
      <c r="BK60" s="80"/>
      <c r="BL60" s="80"/>
      <c r="BM60" s="80"/>
      <c r="BN60" s="80"/>
      <c r="BO60" s="80"/>
      <c r="BP60" s="80"/>
      <c r="BQ60" s="80"/>
      <c r="BR60" s="80"/>
      <c r="BS60" s="80"/>
      <c r="BT60" s="80"/>
    </row>
    <row r="61" spans="1:72" ht="15" x14ac:dyDescent="0.3">
      <c r="A61" s="6">
        <v>54</v>
      </c>
      <c r="B61" s="60" t="str">
        <f>IF($C61="","",IFERROR(_xlfn.XLOOKUP($C61,tblPersonal[CUIL],tblPersonal[HUB]),""))</f>
        <v/>
      </c>
      <c r="C61" s="79"/>
      <c r="D61" s="43" t="str">
        <f>IF($C61="","",IFERROR(_xlfn.XLOOKUP($C61,tblPersonal[CUIL],tblPersonal[AP]),""))</f>
        <v/>
      </c>
      <c r="E61" s="79"/>
      <c r="F61" s="79"/>
      <c r="G61" s="7" t="str">
        <f>IF(F61="","",IFERROR(VLOOKUP(TRIM(F61),FID!$A:$C,2,FALSE),""))</f>
        <v/>
      </c>
      <c r="H61" s="7" t="str">
        <f>IF(F61="","",IFERROR(VLOOKUP(TRIM(F61),FID!$A:$C,3,FALSE),""))</f>
        <v/>
      </c>
      <c r="I61" s="82" t="str" cm="1">
        <f t="array" aca="1" ref="I61" ca="1">IF(COUNTA($J61:$M61)=0,"",_xlfn.LET(
_xlpm.enc,$N$7:$CH$7,
_xlpm.tipo,$N$4:$CH$4,
_xlpm.vig,$N$5:$CH$5,
_xlpm.fec,$N61:$CH61,
_xlpm.req,(
--(UPPER(IFERROR(INDEX('Requisito x Tarea'!$C$2:$BK$101,MATCH(TRIM($J61),'Requisito x Tarea'!$B$2:$B$101,0),MATCH(_xlpm.enc,'Requisito x Tarea'!$C$1:$BK$1,0)),""))="X")
+--(UPPER(IFERROR(INDEX('Requisito x Tarea'!$C$2:$BK$101,MATCH(TRIM($K61),'Requisito x Tarea'!$B$2:$B$101,0),MATCH(_xlpm.enc,'Requisito x Tarea'!$C$1:$BK$1,0)),""))="X")
+--(UPPER(IFERROR(INDEX('Requisito x Tarea'!$C$2:$BK$101,MATCH(TRIM($L61),'Requisito x Tarea'!$B$2:$B$101,0),MATCH(_xlpm.enc,'Requisito x Tarea'!$C$1:$BK$1,0)),""))="X")
+--(UPPER(IFERROR(INDEX('Requisito x Tarea'!$C$2:$BK$101,MATCH(TRIM($M61),'Requisito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61" s="78"/>
      <c r="K61" s="78"/>
      <c r="L61" s="78"/>
      <c r="M61" s="78"/>
      <c r="N61" s="80"/>
      <c r="O61" s="80"/>
      <c r="P61" s="80"/>
      <c r="Q61" s="80"/>
      <c r="R61" s="80"/>
      <c r="S61" s="80"/>
      <c r="T61" s="80"/>
      <c r="U61" s="80"/>
      <c r="V61" s="80"/>
      <c r="W61" s="80"/>
      <c r="X61" s="80"/>
      <c r="Y61" s="80"/>
      <c r="Z61" s="80"/>
      <c r="AA61" s="80"/>
      <c r="AB61" s="80"/>
      <c r="AC61" s="80"/>
      <c r="AD61" s="80"/>
      <c r="AE61" s="80"/>
      <c r="AF61" s="80"/>
      <c r="AG61" s="80"/>
      <c r="AH61" s="80"/>
      <c r="AI61" s="80"/>
      <c r="AJ61" s="80"/>
      <c r="AK61" s="80"/>
      <c r="AL61" s="80"/>
      <c r="AM61" s="80"/>
      <c r="AN61" s="80"/>
      <c r="AO61" s="80"/>
      <c r="AP61" s="80"/>
      <c r="AQ61" s="80"/>
      <c r="AR61" s="80"/>
      <c r="AS61" s="80"/>
      <c r="AT61" s="80"/>
      <c r="AU61" s="80"/>
      <c r="AV61" s="80"/>
      <c r="AW61" s="80"/>
      <c r="AX61" s="80"/>
      <c r="AY61" s="80"/>
      <c r="AZ61" s="80"/>
      <c r="BA61" s="80"/>
      <c r="BB61" s="80"/>
      <c r="BC61" s="80"/>
      <c r="BD61" s="80"/>
      <c r="BE61" s="80"/>
      <c r="BF61" s="80"/>
      <c r="BG61" s="80"/>
      <c r="BH61" s="80"/>
      <c r="BI61" s="80"/>
      <c r="BJ61" s="80"/>
      <c r="BK61" s="80"/>
      <c r="BL61" s="80"/>
      <c r="BM61" s="80"/>
      <c r="BN61" s="80"/>
      <c r="BO61" s="80"/>
      <c r="BP61" s="80"/>
      <c r="BQ61" s="80"/>
      <c r="BR61" s="80"/>
      <c r="BS61" s="80"/>
      <c r="BT61" s="80"/>
    </row>
    <row r="62" spans="1:72" ht="15" x14ac:dyDescent="0.3">
      <c r="A62" s="6">
        <v>55</v>
      </c>
      <c r="B62" s="60" t="str">
        <f>IF($C62="","",IFERROR(_xlfn.XLOOKUP($C62,tblPersonal[CUIL],tblPersonal[HUB]),""))</f>
        <v/>
      </c>
      <c r="C62" s="79"/>
      <c r="D62" s="43" t="str">
        <f>IF($C62="","",IFERROR(_xlfn.XLOOKUP($C62,tblPersonal[CUIL],tblPersonal[AP]),""))</f>
        <v/>
      </c>
      <c r="E62" s="79"/>
      <c r="F62" s="79"/>
      <c r="G62" s="7" t="str">
        <f>IF(F62="","",IFERROR(VLOOKUP(TRIM(F62),FID!$A:$C,2,FALSE),""))</f>
        <v/>
      </c>
      <c r="H62" s="7" t="str">
        <f>IF(F62="","",IFERROR(VLOOKUP(TRIM(F62),FID!$A:$C,3,FALSE),""))</f>
        <v/>
      </c>
      <c r="I62" s="82" t="str" cm="1">
        <f t="array" aca="1" ref="I62" ca="1">IF(COUNTA($J62:$M62)=0,"",_xlfn.LET(
_xlpm.enc,$N$7:$CH$7,
_xlpm.tipo,$N$4:$CH$4,
_xlpm.vig,$N$5:$CH$5,
_xlpm.fec,$N62:$CH62,
_xlpm.req,(
--(UPPER(IFERROR(INDEX('Requisito x Tarea'!$C$2:$BK$101,MATCH(TRIM($J62),'Requisito x Tarea'!$B$2:$B$101,0),MATCH(_xlpm.enc,'Requisito x Tarea'!$C$1:$BK$1,0)),""))="X")
+--(UPPER(IFERROR(INDEX('Requisito x Tarea'!$C$2:$BK$101,MATCH(TRIM($K62),'Requisito x Tarea'!$B$2:$B$101,0),MATCH(_xlpm.enc,'Requisito x Tarea'!$C$1:$BK$1,0)),""))="X")
+--(UPPER(IFERROR(INDEX('Requisito x Tarea'!$C$2:$BK$101,MATCH(TRIM($L62),'Requisito x Tarea'!$B$2:$B$101,0),MATCH(_xlpm.enc,'Requisito x Tarea'!$C$1:$BK$1,0)),""))="X")
+--(UPPER(IFERROR(INDEX('Requisito x Tarea'!$C$2:$BK$101,MATCH(TRIM($M62),'Requisito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62" s="78"/>
      <c r="K62" s="78"/>
      <c r="L62" s="78"/>
      <c r="M62" s="78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0"/>
      <c r="AA62" s="80"/>
      <c r="AB62" s="80"/>
      <c r="AC62" s="80"/>
      <c r="AD62" s="80"/>
      <c r="AE62" s="80"/>
      <c r="AF62" s="80"/>
      <c r="AG62" s="80"/>
      <c r="AH62" s="80"/>
      <c r="AI62" s="80"/>
      <c r="AJ62" s="80"/>
      <c r="AK62" s="80"/>
      <c r="AL62" s="80"/>
      <c r="AM62" s="80"/>
      <c r="AN62" s="80"/>
      <c r="AO62" s="80"/>
      <c r="AP62" s="80"/>
      <c r="AQ62" s="80"/>
      <c r="AR62" s="80"/>
      <c r="AS62" s="80"/>
      <c r="AT62" s="80"/>
      <c r="AU62" s="80"/>
      <c r="AV62" s="80"/>
      <c r="AW62" s="80"/>
      <c r="AX62" s="80"/>
      <c r="AY62" s="80"/>
      <c r="AZ62" s="80"/>
      <c r="BA62" s="80"/>
      <c r="BB62" s="80"/>
      <c r="BC62" s="80"/>
      <c r="BD62" s="80"/>
      <c r="BE62" s="80"/>
      <c r="BF62" s="80"/>
      <c r="BG62" s="80"/>
      <c r="BH62" s="80"/>
      <c r="BI62" s="80"/>
      <c r="BJ62" s="80"/>
      <c r="BK62" s="80"/>
      <c r="BL62" s="80"/>
      <c r="BM62" s="80"/>
      <c r="BN62" s="80"/>
      <c r="BO62" s="80"/>
      <c r="BP62" s="80"/>
      <c r="BQ62" s="80"/>
      <c r="BR62" s="80"/>
      <c r="BS62" s="80"/>
      <c r="BT62" s="80"/>
    </row>
    <row r="63" spans="1:72" ht="15" x14ac:dyDescent="0.3">
      <c r="A63" s="6">
        <v>56</v>
      </c>
      <c r="B63" s="60" t="str">
        <f>IF($C63="","",IFERROR(_xlfn.XLOOKUP($C63,tblPersonal[CUIL],tblPersonal[HUB]),""))</f>
        <v/>
      </c>
      <c r="C63" s="79"/>
      <c r="D63" s="43" t="str">
        <f>IF($C63="","",IFERROR(_xlfn.XLOOKUP($C63,tblPersonal[CUIL],tblPersonal[AP]),""))</f>
        <v/>
      </c>
      <c r="E63" s="79"/>
      <c r="F63" s="79"/>
      <c r="G63" s="7" t="str">
        <f>IF(F63="","",IFERROR(VLOOKUP(TRIM(F63),FID!$A:$C,2,FALSE),""))</f>
        <v/>
      </c>
      <c r="H63" s="7" t="str">
        <f>IF(F63="","",IFERROR(VLOOKUP(TRIM(F63),FID!$A:$C,3,FALSE),""))</f>
        <v/>
      </c>
      <c r="I63" s="82" t="str" cm="1">
        <f t="array" aca="1" ref="I63" ca="1">IF(COUNTA($J63:$M63)=0,"",_xlfn.LET(
_xlpm.enc,$N$7:$CH$7,
_xlpm.tipo,$N$4:$CH$4,
_xlpm.vig,$N$5:$CH$5,
_xlpm.fec,$N63:$CH63,
_xlpm.req,(
--(UPPER(IFERROR(INDEX('Requisito x Tarea'!$C$2:$BK$101,MATCH(TRIM($J63),'Requisito x Tarea'!$B$2:$B$101,0),MATCH(_xlpm.enc,'Requisito x Tarea'!$C$1:$BK$1,0)),""))="X")
+--(UPPER(IFERROR(INDEX('Requisito x Tarea'!$C$2:$BK$101,MATCH(TRIM($K63),'Requisito x Tarea'!$B$2:$B$101,0),MATCH(_xlpm.enc,'Requisito x Tarea'!$C$1:$BK$1,0)),""))="X")
+--(UPPER(IFERROR(INDEX('Requisito x Tarea'!$C$2:$BK$101,MATCH(TRIM($L63),'Requisito x Tarea'!$B$2:$B$101,0),MATCH(_xlpm.enc,'Requisito x Tarea'!$C$1:$BK$1,0)),""))="X")
+--(UPPER(IFERROR(INDEX('Requisito x Tarea'!$C$2:$BK$101,MATCH(TRIM($M63),'Requisito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63" s="78"/>
      <c r="K63" s="78"/>
      <c r="L63" s="78"/>
      <c r="M63" s="78"/>
      <c r="N63" s="80"/>
      <c r="O63" s="80"/>
      <c r="P63" s="80"/>
      <c r="Q63" s="80"/>
      <c r="R63" s="80"/>
      <c r="S63" s="80"/>
      <c r="T63" s="80"/>
      <c r="U63" s="80"/>
      <c r="V63" s="80"/>
      <c r="W63" s="80"/>
      <c r="X63" s="80"/>
      <c r="Y63" s="80"/>
      <c r="Z63" s="80"/>
      <c r="AA63" s="80"/>
      <c r="AB63" s="80"/>
      <c r="AC63" s="80"/>
      <c r="AD63" s="80"/>
      <c r="AE63" s="80"/>
      <c r="AF63" s="80"/>
      <c r="AG63" s="80"/>
      <c r="AH63" s="80"/>
      <c r="AI63" s="80"/>
      <c r="AJ63" s="80"/>
      <c r="AK63" s="80"/>
      <c r="AL63" s="80"/>
      <c r="AM63" s="80"/>
      <c r="AN63" s="80"/>
      <c r="AO63" s="80"/>
      <c r="AP63" s="80"/>
      <c r="AQ63" s="80"/>
      <c r="AR63" s="80"/>
      <c r="AS63" s="80"/>
      <c r="AT63" s="80"/>
      <c r="AU63" s="80"/>
      <c r="AV63" s="80"/>
      <c r="AW63" s="80"/>
      <c r="AX63" s="80"/>
      <c r="AY63" s="80"/>
      <c r="AZ63" s="80"/>
      <c r="BA63" s="80"/>
      <c r="BB63" s="80"/>
      <c r="BC63" s="80"/>
      <c r="BD63" s="80"/>
      <c r="BE63" s="80"/>
      <c r="BF63" s="80"/>
      <c r="BG63" s="80"/>
      <c r="BH63" s="80"/>
      <c r="BI63" s="80"/>
      <c r="BJ63" s="80"/>
      <c r="BK63" s="80"/>
      <c r="BL63" s="80"/>
      <c r="BM63" s="80"/>
      <c r="BN63" s="80"/>
      <c r="BO63" s="80"/>
      <c r="BP63" s="80"/>
      <c r="BQ63" s="80"/>
      <c r="BR63" s="80"/>
      <c r="BS63" s="80"/>
      <c r="BT63" s="80"/>
    </row>
    <row r="64" spans="1:72" ht="15" x14ac:dyDescent="0.3">
      <c r="A64" s="6">
        <v>57</v>
      </c>
      <c r="B64" s="60" t="str">
        <f>IF($C64="","",IFERROR(_xlfn.XLOOKUP($C64,tblPersonal[CUIL],tblPersonal[HUB]),""))</f>
        <v/>
      </c>
      <c r="C64" s="79"/>
      <c r="D64" s="43" t="str">
        <f>IF($C64="","",IFERROR(_xlfn.XLOOKUP($C64,tblPersonal[CUIL],tblPersonal[AP]),""))</f>
        <v/>
      </c>
      <c r="E64" s="79"/>
      <c r="F64" s="79"/>
      <c r="G64" s="7" t="str">
        <f>IF(F64="","",IFERROR(VLOOKUP(TRIM(F64),FID!$A:$C,2,FALSE),""))</f>
        <v/>
      </c>
      <c r="H64" s="7" t="str">
        <f>IF(F64="","",IFERROR(VLOOKUP(TRIM(F64),FID!$A:$C,3,FALSE),""))</f>
        <v/>
      </c>
      <c r="I64" s="82" t="str" cm="1">
        <f t="array" aca="1" ref="I64" ca="1">IF(COUNTA($J64:$M64)=0,"",_xlfn.LET(
_xlpm.enc,$N$7:$CH$7,
_xlpm.tipo,$N$4:$CH$4,
_xlpm.vig,$N$5:$CH$5,
_xlpm.fec,$N64:$CH64,
_xlpm.req,(
--(UPPER(IFERROR(INDEX('Requisito x Tarea'!$C$2:$BK$101,MATCH(TRIM($J64),'Requisito x Tarea'!$B$2:$B$101,0),MATCH(_xlpm.enc,'Requisito x Tarea'!$C$1:$BK$1,0)),""))="X")
+--(UPPER(IFERROR(INDEX('Requisito x Tarea'!$C$2:$BK$101,MATCH(TRIM($K64),'Requisito x Tarea'!$B$2:$B$101,0),MATCH(_xlpm.enc,'Requisito x Tarea'!$C$1:$BK$1,0)),""))="X")
+--(UPPER(IFERROR(INDEX('Requisito x Tarea'!$C$2:$BK$101,MATCH(TRIM($L64),'Requisito x Tarea'!$B$2:$B$101,0),MATCH(_xlpm.enc,'Requisito x Tarea'!$C$1:$BK$1,0)),""))="X")
+--(UPPER(IFERROR(INDEX('Requisito x Tarea'!$C$2:$BK$101,MATCH(TRIM($M64),'Requisito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64" s="78"/>
      <c r="K64" s="78"/>
      <c r="L64" s="78"/>
      <c r="M64" s="78"/>
      <c r="N64" s="80"/>
      <c r="O64" s="80"/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0"/>
      <c r="AA64" s="80"/>
      <c r="AB64" s="80"/>
      <c r="AC64" s="80"/>
      <c r="AD64" s="80"/>
      <c r="AE64" s="80"/>
      <c r="AF64" s="80"/>
      <c r="AG64" s="80"/>
      <c r="AH64" s="80"/>
      <c r="AI64" s="80"/>
      <c r="AJ64" s="80"/>
      <c r="AK64" s="80"/>
      <c r="AL64" s="80"/>
      <c r="AM64" s="80"/>
      <c r="AN64" s="80"/>
      <c r="AO64" s="80"/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0"/>
      <c r="BA64" s="80"/>
      <c r="BB64" s="80"/>
      <c r="BC64" s="80"/>
      <c r="BD64" s="80"/>
      <c r="BE64" s="80"/>
      <c r="BF64" s="80"/>
      <c r="BG64" s="80"/>
      <c r="BH64" s="80"/>
      <c r="BI64" s="80"/>
      <c r="BJ64" s="80"/>
      <c r="BK64" s="80"/>
      <c r="BL64" s="80"/>
      <c r="BM64" s="80"/>
      <c r="BN64" s="80"/>
      <c r="BO64" s="80"/>
      <c r="BP64" s="80"/>
      <c r="BQ64" s="80"/>
      <c r="BR64" s="80"/>
      <c r="BS64" s="80"/>
      <c r="BT64" s="80"/>
    </row>
    <row r="65" spans="1:72" ht="15" x14ac:dyDescent="0.3">
      <c r="A65" s="6">
        <v>58</v>
      </c>
      <c r="B65" s="60" t="str">
        <f>IF($C65="","",IFERROR(_xlfn.XLOOKUP($C65,tblPersonal[CUIL],tblPersonal[HUB]),""))</f>
        <v/>
      </c>
      <c r="C65" s="79"/>
      <c r="D65" s="43" t="str">
        <f>IF($C65="","",IFERROR(_xlfn.XLOOKUP($C65,tblPersonal[CUIL],tblPersonal[AP]),""))</f>
        <v/>
      </c>
      <c r="E65" s="79"/>
      <c r="F65" s="79"/>
      <c r="G65" s="7" t="str">
        <f>IF(F65="","",IFERROR(VLOOKUP(TRIM(F65),FID!$A:$C,2,FALSE),""))</f>
        <v/>
      </c>
      <c r="H65" s="7" t="str">
        <f>IF(F65="","",IFERROR(VLOOKUP(TRIM(F65),FID!$A:$C,3,FALSE),""))</f>
        <v/>
      </c>
      <c r="I65" s="82" t="str" cm="1">
        <f t="array" aca="1" ref="I65" ca="1">IF(COUNTA($J65:$M65)=0,"",_xlfn.LET(
_xlpm.enc,$N$7:$CH$7,
_xlpm.tipo,$N$4:$CH$4,
_xlpm.vig,$N$5:$CH$5,
_xlpm.fec,$N65:$CH65,
_xlpm.req,(
--(UPPER(IFERROR(INDEX('Requisito x Tarea'!$C$2:$BK$101,MATCH(TRIM($J65),'Requisito x Tarea'!$B$2:$B$101,0),MATCH(_xlpm.enc,'Requisito x Tarea'!$C$1:$BK$1,0)),""))="X")
+--(UPPER(IFERROR(INDEX('Requisito x Tarea'!$C$2:$BK$101,MATCH(TRIM($K65),'Requisito x Tarea'!$B$2:$B$101,0),MATCH(_xlpm.enc,'Requisito x Tarea'!$C$1:$BK$1,0)),""))="X")
+--(UPPER(IFERROR(INDEX('Requisito x Tarea'!$C$2:$BK$101,MATCH(TRIM($L65),'Requisito x Tarea'!$B$2:$B$101,0),MATCH(_xlpm.enc,'Requisito x Tarea'!$C$1:$BK$1,0)),""))="X")
+--(UPPER(IFERROR(INDEX('Requisito x Tarea'!$C$2:$BK$101,MATCH(TRIM($M65),'Requisito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65" s="78"/>
      <c r="K65" s="78"/>
      <c r="L65" s="78"/>
      <c r="M65" s="78"/>
      <c r="N65" s="80"/>
      <c r="O65" s="80"/>
      <c r="P65" s="80"/>
      <c r="Q65" s="80"/>
      <c r="R65" s="80"/>
      <c r="S65" s="80"/>
      <c r="T65" s="80"/>
      <c r="U65" s="80"/>
      <c r="V65" s="80"/>
      <c r="W65" s="80"/>
      <c r="X65" s="80"/>
      <c r="Y65" s="80"/>
      <c r="Z65" s="80"/>
      <c r="AA65" s="80"/>
      <c r="AB65" s="80"/>
      <c r="AC65" s="80"/>
      <c r="AD65" s="80"/>
      <c r="AE65" s="80"/>
      <c r="AF65" s="80"/>
      <c r="AG65" s="80"/>
      <c r="AH65" s="80"/>
      <c r="AI65" s="80"/>
      <c r="AJ65" s="80"/>
      <c r="AK65" s="80"/>
      <c r="AL65" s="80"/>
      <c r="AM65" s="80"/>
      <c r="AN65" s="80"/>
      <c r="AO65" s="80"/>
      <c r="AP65" s="80"/>
      <c r="AQ65" s="80"/>
      <c r="AR65" s="80"/>
      <c r="AS65" s="80"/>
      <c r="AT65" s="80"/>
      <c r="AU65" s="80"/>
      <c r="AV65" s="80"/>
      <c r="AW65" s="80"/>
      <c r="AX65" s="80"/>
      <c r="AY65" s="80"/>
      <c r="AZ65" s="80"/>
      <c r="BA65" s="80"/>
      <c r="BB65" s="80"/>
      <c r="BC65" s="80"/>
      <c r="BD65" s="80"/>
      <c r="BE65" s="80"/>
      <c r="BF65" s="80"/>
      <c r="BG65" s="80"/>
      <c r="BH65" s="80"/>
      <c r="BI65" s="80"/>
      <c r="BJ65" s="80"/>
      <c r="BK65" s="80"/>
      <c r="BL65" s="80"/>
      <c r="BM65" s="80"/>
      <c r="BN65" s="80"/>
      <c r="BO65" s="80"/>
      <c r="BP65" s="80"/>
      <c r="BQ65" s="80"/>
      <c r="BR65" s="80"/>
      <c r="BS65" s="80"/>
      <c r="BT65" s="80"/>
    </row>
    <row r="66" spans="1:72" ht="15" x14ac:dyDescent="0.3">
      <c r="A66" s="6">
        <v>59</v>
      </c>
      <c r="B66" s="60" t="str">
        <f>IF($C66="","",IFERROR(_xlfn.XLOOKUP($C66,tblPersonal[CUIL],tblPersonal[HUB]),""))</f>
        <v/>
      </c>
      <c r="C66" s="79"/>
      <c r="D66" s="43" t="str">
        <f>IF($C66="","",IFERROR(_xlfn.XLOOKUP($C66,tblPersonal[CUIL],tblPersonal[AP]),""))</f>
        <v/>
      </c>
      <c r="E66" s="79"/>
      <c r="F66" s="79"/>
      <c r="G66" s="7" t="str">
        <f>IF(F66="","",IFERROR(VLOOKUP(TRIM(F66),FID!$A:$C,2,FALSE),""))</f>
        <v/>
      </c>
      <c r="H66" s="7" t="str">
        <f>IF(F66="","",IFERROR(VLOOKUP(TRIM(F66),FID!$A:$C,3,FALSE),""))</f>
        <v/>
      </c>
      <c r="I66" s="82" t="str" cm="1">
        <f t="array" aca="1" ref="I66" ca="1">IF(COUNTA($J66:$M66)=0,"",_xlfn.LET(
_xlpm.enc,$N$7:$CH$7,
_xlpm.tipo,$N$4:$CH$4,
_xlpm.vig,$N$5:$CH$5,
_xlpm.fec,$N66:$CH66,
_xlpm.req,(
--(UPPER(IFERROR(INDEX('Requisito x Tarea'!$C$2:$BK$101,MATCH(TRIM($J66),'Requisito x Tarea'!$B$2:$B$101,0),MATCH(_xlpm.enc,'Requisito x Tarea'!$C$1:$BK$1,0)),""))="X")
+--(UPPER(IFERROR(INDEX('Requisito x Tarea'!$C$2:$BK$101,MATCH(TRIM($K66),'Requisito x Tarea'!$B$2:$B$101,0),MATCH(_xlpm.enc,'Requisito x Tarea'!$C$1:$BK$1,0)),""))="X")
+--(UPPER(IFERROR(INDEX('Requisito x Tarea'!$C$2:$BK$101,MATCH(TRIM($L66),'Requisito x Tarea'!$B$2:$B$101,0),MATCH(_xlpm.enc,'Requisito x Tarea'!$C$1:$BK$1,0)),""))="X")
+--(UPPER(IFERROR(INDEX('Requisito x Tarea'!$C$2:$BK$101,MATCH(TRIM($M66),'Requisito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66" s="78"/>
      <c r="K66" s="78"/>
      <c r="L66" s="78"/>
      <c r="M66" s="78"/>
      <c r="N66" s="80"/>
      <c r="O66" s="80"/>
      <c r="P66" s="80"/>
      <c r="Q66" s="80"/>
      <c r="R66" s="80"/>
      <c r="S66" s="80"/>
      <c r="T66" s="80"/>
      <c r="U66" s="80"/>
      <c r="V66" s="80"/>
      <c r="W66" s="80"/>
      <c r="X66" s="80"/>
      <c r="Y66" s="80"/>
      <c r="Z66" s="80"/>
      <c r="AA66" s="80"/>
      <c r="AB66" s="80"/>
      <c r="AC66" s="80"/>
      <c r="AD66" s="80"/>
      <c r="AE66" s="80"/>
      <c r="AF66" s="80"/>
      <c r="AG66" s="80"/>
      <c r="AH66" s="80"/>
      <c r="AI66" s="80"/>
      <c r="AJ66" s="80"/>
      <c r="AK66" s="80"/>
      <c r="AL66" s="80"/>
      <c r="AM66" s="80"/>
      <c r="AN66" s="80"/>
      <c r="AO66" s="80"/>
      <c r="AP66" s="80"/>
      <c r="AQ66" s="80"/>
      <c r="AR66" s="80"/>
      <c r="AS66" s="80"/>
      <c r="AT66" s="80"/>
      <c r="AU66" s="80"/>
      <c r="AV66" s="80"/>
      <c r="AW66" s="80"/>
      <c r="AX66" s="80"/>
      <c r="AY66" s="80"/>
      <c r="AZ66" s="80"/>
      <c r="BA66" s="80"/>
      <c r="BB66" s="80"/>
      <c r="BC66" s="80"/>
      <c r="BD66" s="80"/>
      <c r="BE66" s="80"/>
      <c r="BF66" s="80"/>
      <c r="BG66" s="80"/>
      <c r="BH66" s="80"/>
      <c r="BI66" s="80"/>
      <c r="BJ66" s="80"/>
      <c r="BK66" s="80"/>
      <c r="BL66" s="80"/>
      <c r="BM66" s="80"/>
      <c r="BN66" s="80"/>
      <c r="BO66" s="80"/>
      <c r="BP66" s="80"/>
      <c r="BQ66" s="80"/>
      <c r="BR66" s="80"/>
      <c r="BS66" s="80"/>
      <c r="BT66" s="80"/>
    </row>
    <row r="67" spans="1:72" ht="15" x14ac:dyDescent="0.3">
      <c r="A67" s="6">
        <v>60</v>
      </c>
      <c r="B67" s="60" t="str">
        <f>IF($C67="","",IFERROR(_xlfn.XLOOKUP($C67,tblPersonal[CUIL],tblPersonal[HUB]),""))</f>
        <v/>
      </c>
      <c r="C67" s="79"/>
      <c r="D67" s="43" t="str">
        <f>IF($C67="","",IFERROR(_xlfn.XLOOKUP($C67,tblPersonal[CUIL],tblPersonal[AP]),""))</f>
        <v/>
      </c>
      <c r="E67" s="79"/>
      <c r="F67" s="79"/>
      <c r="G67" s="7" t="str">
        <f>IF(F67="","",IFERROR(VLOOKUP(TRIM(F67),FID!$A:$C,2,FALSE),""))</f>
        <v/>
      </c>
      <c r="H67" s="7" t="str">
        <f>IF(F67="","",IFERROR(VLOOKUP(TRIM(F67),FID!$A:$C,3,FALSE),""))</f>
        <v/>
      </c>
      <c r="I67" s="82" t="str" cm="1">
        <f t="array" aca="1" ref="I67" ca="1">IF(COUNTA($J67:$M67)=0,"",_xlfn.LET(
_xlpm.enc,$N$7:$CH$7,
_xlpm.tipo,$N$4:$CH$4,
_xlpm.vig,$N$5:$CH$5,
_xlpm.fec,$N67:$CH67,
_xlpm.req,(
--(UPPER(IFERROR(INDEX('Requisito x Tarea'!$C$2:$BK$101,MATCH(TRIM($J67),'Requisito x Tarea'!$B$2:$B$101,0),MATCH(_xlpm.enc,'Requisito x Tarea'!$C$1:$BK$1,0)),""))="X")
+--(UPPER(IFERROR(INDEX('Requisito x Tarea'!$C$2:$BK$101,MATCH(TRIM($K67),'Requisito x Tarea'!$B$2:$B$101,0),MATCH(_xlpm.enc,'Requisito x Tarea'!$C$1:$BK$1,0)),""))="X")
+--(UPPER(IFERROR(INDEX('Requisito x Tarea'!$C$2:$BK$101,MATCH(TRIM($L67),'Requisito x Tarea'!$B$2:$B$101,0),MATCH(_xlpm.enc,'Requisito x Tarea'!$C$1:$BK$1,0)),""))="X")
+--(UPPER(IFERROR(INDEX('Requisito x Tarea'!$C$2:$BK$101,MATCH(TRIM($M67),'Requisito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67" s="78"/>
      <c r="K67" s="78"/>
      <c r="L67" s="78"/>
      <c r="M67" s="78"/>
      <c r="N67" s="80"/>
      <c r="O67" s="80"/>
      <c r="P67" s="80"/>
      <c r="Q67" s="80"/>
      <c r="R67" s="80"/>
      <c r="S67" s="80"/>
      <c r="T67" s="80"/>
      <c r="U67" s="80"/>
      <c r="V67" s="80"/>
      <c r="W67" s="80"/>
      <c r="X67" s="80"/>
      <c r="Y67" s="80"/>
      <c r="Z67" s="80"/>
      <c r="AA67" s="80"/>
      <c r="AB67" s="80"/>
      <c r="AC67" s="80"/>
      <c r="AD67" s="80"/>
      <c r="AE67" s="80"/>
      <c r="AF67" s="80"/>
      <c r="AG67" s="80"/>
      <c r="AH67" s="80"/>
      <c r="AI67" s="80"/>
      <c r="AJ67" s="80"/>
      <c r="AK67" s="80"/>
      <c r="AL67" s="80"/>
      <c r="AM67" s="80"/>
      <c r="AN67" s="80"/>
      <c r="AO67" s="80"/>
      <c r="AP67" s="80"/>
      <c r="AQ67" s="80"/>
      <c r="AR67" s="80"/>
      <c r="AS67" s="80"/>
      <c r="AT67" s="80"/>
      <c r="AU67" s="80"/>
      <c r="AV67" s="80"/>
      <c r="AW67" s="80"/>
      <c r="AX67" s="80"/>
      <c r="AY67" s="80"/>
      <c r="AZ67" s="80"/>
      <c r="BA67" s="80"/>
      <c r="BB67" s="80"/>
      <c r="BC67" s="80"/>
      <c r="BD67" s="80"/>
      <c r="BE67" s="80"/>
      <c r="BF67" s="80"/>
      <c r="BG67" s="80"/>
      <c r="BH67" s="80"/>
      <c r="BI67" s="80"/>
      <c r="BJ67" s="80"/>
      <c r="BK67" s="80"/>
      <c r="BL67" s="80"/>
      <c r="BM67" s="80"/>
      <c r="BN67" s="80"/>
      <c r="BO67" s="80"/>
      <c r="BP67" s="80"/>
      <c r="BQ67" s="80"/>
      <c r="BR67" s="80"/>
      <c r="BS67" s="80"/>
      <c r="BT67" s="80"/>
    </row>
    <row r="68" spans="1:72" ht="15" x14ac:dyDescent="0.3">
      <c r="A68" s="6">
        <v>61</v>
      </c>
      <c r="B68" s="60" t="str">
        <f>IF($C68="","",IFERROR(_xlfn.XLOOKUP($C68,tblPersonal[CUIL],tblPersonal[HUB]),""))</f>
        <v/>
      </c>
      <c r="C68" s="79"/>
      <c r="D68" s="43" t="str">
        <f>IF($C68="","",IFERROR(_xlfn.XLOOKUP($C68,tblPersonal[CUIL],tblPersonal[AP]),""))</f>
        <v/>
      </c>
      <c r="E68" s="79"/>
      <c r="F68" s="79"/>
      <c r="G68" s="7" t="str">
        <f>IF(F68="","",IFERROR(VLOOKUP(TRIM(F68),FID!$A:$C,2,FALSE),""))</f>
        <v/>
      </c>
      <c r="H68" s="7" t="str">
        <f>IF(F68="","",IFERROR(VLOOKUP(TRIM(F68),FID!$A:$C,3,FALSE),""))</f>
        <v/>
      </c>
      <c r="I68" s="82" t="str" cm="1">
        <f t="array" aca="1" ref="I68" ca="1">IF(COUNTA($J68:$M68)=0,"",_xlfn.LET(
_xlpm.enc,$N$7:$CH$7,
_xlpm.tipo,$N$4:$CH$4,
_xlpm.vig,$N$5:$CH$5,
_xlpm.fec,$N68:$CH68,
_xlpm.req,(
--(UPPER(IFERROR(INDEX('Requisito x Tarea'!$C$2:$BK$101,MATCH(TRIM($J68),'Requisito x Tarea'!$B$2:$B$101,0),MATCH(_xlpm.enc,'Requisito x Tarea'!$C$1:$BK$1,0)),""))="X")
+--(UPPER(IFERROR(INDEX('Requisito x Tarea'!$C$2:$BK$101,MATCH(TRIM($K68),'Requisito x Tarea'!$B$2:$B$101,0),MATCH(_xlpm.enc,'Requisito x Tarea'!$C$1:$BK$1,0)),""))="X")
+--(UPPER(IFERROR(INDEX('Requisito x Tarea'!$C$2:$BK$101,MATCH(TRIM($L68),'Requisito x Tarea'!$B$2:$B$101,0),MATCH(_xlpm.enc,'Requisito x Tarea'!$C$1:$BK$1,0)),""))="X")
+--(UPPER(IFERROR(INDEX('Requisito x Tarea'!$C$2:$BK$101,MATCH(TRIM($M68),'Requisito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68" s="78"/>
      <c r="K68" s="78"/>
      <c r="L68" s="78"/>
      <c r="M68" s="78"/>
      <c r="N68" s="80"/>
      <c r="O68" s="80"/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0"/>
      <c r="AA68" s="80"/>
      <c r="AB68" s="80"/>
      <c r="AC68" s="80"/>
      <c r="AD68" s="80"/>
      <c r="AE68" s="80"/>
      <c r="AF68" s="80"/>
      <c r="AG68" s="80"/>
      <c r="AH68" s="80"/>
      <c r="AI68" s="80"/>
      <c r="AJ68" s="80"/>
      <c r="AK68" s="80"/>
      <c r="AL68" s="80"/>
      <c r="AM68" s="80"/>
      <c r="AN68" s="80"/>
      <c r="AO68" s="80"/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0"/>
      <c r="BA68" s="80"/>
      <c r="BB68" s="80"/>
      <c r="BC68" s="80"/>
      <c r="BD68" s="80"/>
      <c r="BE68" s="80"/>
      <c r="BF68" s="80"/>
      <c r="BG68" s="80"/>
      <c r="BH68" s="80"/>
      <c r="BI68" s="80"/>
      <c r="BJ68" s="80"/>
      <c r="BK68" s="80"/>
      <c r="BL68" s="80"/>
      <c r="BM68" s="80"/>
      <c r="BN68" s="80"/>
      <c r="BO68" s="80"/>
      <c r="BP68" s="80"/>
      <c r="BQ68" s="80"/>
      <c r="BR68" s="80"/>
      <c r="BS68" s="80"/>
      <c r="BT68" s="80"/>
    </row>
    <row r="69" spans="1:72" ht="15" x14ac:dyDescent="0.3">
      <c r="A69" s="6">
        <v>62</v>
      </c>
      <c r="B69" s="60" t="str">
        <f>IF($C69="","",IFERROR(_xlfn.XLOOKUP($C69,tblPersonal[CUIL],tblPersonal[HUB]),""))</f>
        <v/>
      </c>
      <c r="C69" s="79"/>
      <c r="D69" s="43" t="str">
        <f>IF($C69="","",IFERROR(_xlfn.XLOOKUP($C69,tblPersonal[CUIL],tblPersonal[AP]),""))</f>
        <v/>
      </c>
      <c r="E69" s="79"/>
      <c r="F69" s="79"/>
      <c r="G69" s="7" t="str">
        <f>IF(F69="","",IFERROR(VLOOKUP(TRIM(F69),FID!$A:$C,2,FALSE),""))</f>
        <v/>
      </c>
      <c r="H69" s="7" t="str">
        <f>IF(F69="","",IFERROR(VLOOKUP(TRIM(F69),FID!$A:$C,3,FALSE),""))</f>
        <v/>
      </c>
      <c r="I69" s="82" t="str" cm="1">
        <f t="array" aca="1" ref="I69" ca="1">IF(COUNTA($J69:$M69)=0,"",_xlfn.LET(
_xlpm.enc,$N$7:$CH$7,
_xlpm.tipo,$N$4:$CH$4,
_xlpm.vig,$N$5:$CH$5,
_xlpm.fec,$N69:$CH69,
_xlpm.req,(
--(UPPER(IFERROR(INDEX('Requisito x Tarea'!$C$2:$BK$101,MATCH(TRIM($J69),'Requisito x Tarea'!$B$2:$B$101,0),MATCH(_xlpm.enc,'Requisito x Tarea'!$C$1:$BK$1,0)),""))="X")
+--(UPPER(IFERROR(INDEX('Requisito x Tarea'!$C$2:$BK$101,MATCH(TRIM($K69),'Requisito x Tarea'!$B$2:$B$101,0),MATCH(_xlpm.enc,'Requisito x Tarea'!$C$1:$BK$1,0)),""))="X")
+--(UPPER(IFERROR(INDEX('Requisito x Tarea'!$C$2:$BK$101,MATCH(TRIM($L69),'Requisito x Tarea'!$B$2:$B$101,0),MATCH(_xlpm.enc,'Requisito x Tarea'!$C$1:$BK$1,0)),""))="X")
+--(UPPER(IFERROR(INDEX('Requisito x Tarea'!$C$2:$BK$101,MATCH(TRIM($M69),'Requisito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69" s="78"/>
      <c r="K69" s="78"/>
      <c r="L69" s="78"/>
      <c r="M69" s="78"/>
      <c r="N69" s="80"/>
      <c r="O69" s="80"/>
      <c r="P69" s="80"/>
      <c r="Q69" s="80"/>
      <c r="R69" s="80"/>
      <c r="S69" s="80"/>
      <c r="T69" s="80"/>
      <c r="U69" s="80"/>
      <c r="V69" s="80"/>
      <c r="W69" s="80"/>
      <c r="X69" s="80"/>
      <c r="Y69" s="80"/>
      <c r="Z69" s="80"/>
      <c r="AA69" s="80"/>
      <c r="AB69" s="80"/>
      <c r="AC69" s="80"/>
      <c r="AD69" s="80"/>
      <c r="AE69" s="80"/>
      <c r="AF69" s="80"/>
      <c r="AG69" s="80"/>
      <c r="AH69" s="80"/>
      <c r="AI69" s="80"/>
      <c r="AJ69" s="80"/>
      <c r="AK69" s="80"/>
      <c r="AL69" s="80"/>
      <c r="AM69" s="80"/>
      <c r="AN69" s="80"/>
      <c r="AO69" s="80"/>
      <c r="AP69" s="80"/>
      <c r="AQ69" s="80"/>
      <c r="AR69" s="80"/>
      <c r="AS69" s="80"/>
      <c r="AT69" s="80"/>
      <c r="AU69" s="80"/>
      <c r="AV69" s="80"/>
      <c r="AW69" s="80"/>
      <c r="AX69" s="80"/>
      <c r="AY69" s="80"/>
      <c r="AZ69" s="80"/>
      <c r="BA69" s="80"/>
      <c r="BB69" s="80"/>
      <c r="BC69" s="80"/>
      <c r="BD69" s="80"/>
      <c r="BE69" s="80"/>
      <c r="BF69" s="80"/>
      <c r="BG69" s="80"/>
      <c r="BH69" s="80"/>
      <c r="BI69" s="80"/>
      <c r="BJ69" s="80"/>
      <c r="BK69" s="80"/>
      <c r="BL69" s="80"/>
      <c r="BM69" s="80"/>
      <c r="BN69" s="80"/>
      <c r="BO69" s="80"/>
      <c r="BP69" s="80"/>
      <c r="BQ69" s="80"/>
      <c r="BR69" s="80"/>
      <c r="BS69" s="80"/>
      <c r="BT69" s="80"/>
    </row>
    <row r="70" spans="1:72" ht="15" x14ac:dyDescent="0.3">
      <c r="A70" s="6">
        <v>63</v>
      </c>
      <c r="B70" s="60" t="str">
        <f>IF($C70="","",IFERROR(_xlfn.XLOOKUP($C70,tblPersonal[CUIL],tblPersonal[HUB]),""))</f>
        <v/>
      </c>
      <c r="C70" s="79"/>
      <c r="D70" s="43" t="str">
        <f>IF($C70="","",IFERROR(_xlfn.XLOOKUP($C70,tblPersonal[CUIL],tblPersonal[AP]),""))</f>
        <v/>
      </c>
      <c r="E70" s="79"/>
      <c r="F70" s="79"/>
      <c r="G70" s="7" t="str">
        <f>IF(F70="","",IFERROR(VLOOKUP(TRIM(F70),FID!$A:$C,2,FALSE),""))</f>
        <v/>
      </c>
      <c r="H70" s="7" t="str">
        <f>IF(F70="","",IFERROR(VLOOKUP(TRIM(F70),FID!$A:$C,3,FALSE),""))</f>
        <v/>
      </c>
      <c r="I70" s="82" t="str" cm="1">
        <f t="array" aca="1" ref="I70" ca="1">IF(COUNTA($J70:$M70)=0,"",_xlfn.LET(
_xlpm.enc,$N$7:$CH$7,
_xlpm.tipo,$N$4:$CH$4,
_xlpm.vig,$N$5:$CH$5,
_xlpm.fec,$N70:$CH70,
_xlpm.req,(
--(UPPER(IFERROR(INDEX('Requisito x Tarea'!$C$2:$BK$101,MATCH(TRIM($J70),'Requisito x Tarea'!$B$2:$B$101,0),MATCH(_xlpm.enc,'Requisito x Tarea'!$C$1:$BK$1,0)),""))="X")
+--(UPPER(IFERROR(INDEX('Requisito x Tarea'!$C$2:$BK$101,MATCH(TRIM($K70),'Requisito x Tarea'!$B$2:$B$101,0),MATCH(_xlpm.enc,'Requisito x Tarea'!$C$1:$BK$1,0)),""))="X")
+--(UPPER(IFERROR(INDEX('Requisito x Tarea'!$C$2:$BK$101,MATCH(TRIM($L70),'Requisito x Tarea'!$B$2:$B$101,0),MATCH(_xlpm.enc,'Requisito x Tarea'!$C$1:$BK$1,0)),""))="X")
+--(UPPER(IFERROR(INDEX('Requisito x Tarea'!$C$2:$BK$101,MATCH(TRIM($M70),'Requisito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70" s="78"/>
      <c r="K70" s="78"/>
      <c r="L70" s="78"/>
      <c r="M70" s="78"/>
      <c r="N70" s="80"/>
      <c r="O70" s="80"/>
      <c r="P70" s="80"/>
      <c r="Q70" s="80"/>
      <c r="R70" s="80"/>
      <c r="S70" s="80"/>
      <c r="T70" s="80"/>
      <c r="U70" s="80"/>
      <c r="V70" s="80"/>
      <c r="W70" s="80"/>
      <c r="X70" s="80"/>
      <c r="Y70" s="80"/>
      <c r="Z70" s="80"/>
      <c r="AA70" s="80"/>
      <c r="AB70" s="80"/>
      <c r="AC70" s="80"/>
      <c r="AD70" s="80"/>
      <c r="AE70" s="80"/>
      <c r="AF70" s="80"/>
      <c r="AG70" s="80"/>
      <c r="AH70" s="80"/>
      <c r="AI70" s="80"/>
      <c r="AJ70" s="80"/>
      <c r="AK70" s="80"/>
      <c r="AL70" s="80"/>
      <c r="AM70" s="80"/>
      <c r="AN70" s="80"/>
      <c r="AO70" s="80"/>
      <c r="AP70" s="80"/>
      <c r="AQ70" s="80"/>
      <c r="AR70" s="80"/>
      <c r="AS70" s="80"/>
      <c r="AT70" s="80"/>
      <c r="AU70" s="80"/>
      <c r="AV70" s="80"/>
      <c r="AW70" s="80"/>
      <c r="AX70" s="80"/>
      <c r="AY70" s="80"/>
      <c r="AZ70" s="80"/>
      <c r="BA70" s="80"/>
      <c r="BB70" s="80"/>
      <c r="BC70" s="80"/>
      <c r="BD70" s="80"/>
      <c r="BE70" s="80"/>
      <c r="BF70" s="80"/>
      <c r="BG70" s="80"/>
      <c r="BH70" s="80"/>
      <c r="BI70" s="80"/>
      <c r="BJ70" s="80"/>
      <c r="BK70" s="80"/>
      <c r="BL70" s="80"/>
      <c r="BM70" s="80"/>
      <c r="BN70" s="80"/>
      <c r="BO70" s="80"/>
      <c r="BP70" s="80"/>
      <c r="BQ70" s="80"/>
      <c r="BR70" s="80"/>
      <c r="BS70" s="80"/>
      <c r="BT70" s="80"/>
    </row>
    <row r="71" spans="1:72" ht="15" x14ac:dyDescent="0.3">
      <c r="A71" s="6">
        <v>64</v>
      </c>
      <c r="B71" s="60" t="str">
        <f>IF($C71="","",IFERROR(_xlfn.XLOOKUP($C71,tblPersonal[CUIL],tblPersonal[HUB]),""))</f>
        <v/>
      </c>
      <c r="C71" s="79"/>
      <c r="D71" s="43" t="str">
        <f>IF($C71="","",IFERROR(_xlfn.XLOOKUP($C71,tblPersonal[CUIL],tblPersonal[AP]),""))</f>
        <v/>
      </c>
      <c r="E71" s="79"/>
      <c r="F71" s="79"/>
      <c r="G71" s="7" t="str">
        <f>IF(F71="","",IFERROR(VLOOKUP(TRIM(F71),FID!$A:$C,2,FALSE),""))</f>
        <v/>
      </c>
      <c r="H71" s="7" t="str">
        <f>IF(F71="","",IFERROR(VLOOKUP(TRIM(F71),FID!$A:$C,3,FALSE),""))</f>
        <v/>
      </c>
      <c r="I71" s="82" t="str" cm="1">
        <f t="array" aca="1" ref="I71" ca="1">IF(COUNTA($J71:$M71)=0,"",_xlfn.LET(
_xlpm.enc,$N$7:$CH$7,
_xlpm.tipo,$N$4:$CH$4,
_xlpm.vig,$N$5:$CH$5,
_xlpm.fec,$N71:$CH71,
_xlpm.req,(
--(UPPER(IFERROR(INDEX('Requisito x Tarea'!$C$2:$BK$101,MATCH(TRIM($J71),'Requisito x Tarea'!$B$2:$B$101,0),MATCH(_xlpm.enc,'Requisito x Tarea'!$C$1:$BK$1,0)),""))="X")
+--(UPPER(IFERROR(INDEX('Requisito x Tarea'!$C$2:$BK$101,MATCH(TRIM($K71),'Requisito x Tarea'!$B$2:$B$101,0),MATCH(_xlpm.enc,'Requisito x Tarea'!$C$1:$BK$1,0)),""))="X")
+--(UPPER(IFERROR(INDEX('Requisito x Tarea'!$C$2:$BK$101,MATCH(TRIM($L71),'Requisito x Tarea'!$B$2:$B$101,0),MATCH(_xlpm.enc,'Requisito x Tarea'!$C$1:$BK$1,0)),""))="X")
+--(UPPER(IFERROR(INDEX('Requisito x Tarea'!$C$2:$BK$101,MATCH(TRIM($M71),'Requisito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71" s="78"/>
      <c r="K71" s="78"/>
      <c r="L71" s="78"/>
      <c r="M71" s="78"/>
      <c r="N71" s="80"/>
      <c r="O71" s="80"/>
      <c r="P71" s="80"/>
      <c r="Q71" s="80"/>
      <c r="R71" s="80"/>
      <c r="S71" s="80"/>
      <c r="T71" s="80"/>
      <c r="U71" s="80"/>
      <c r="V71" s="80"/>
      <c r="W71" s="80"/>
      <c r="X71" s="80"/>
      <c r="Y71" s="80"/>
      <c r="Z71" s="80"/>
      <c r="AA71" s="80"/>
      <c r="AB71" s="80"/>
      <c r="AC71" s="80"/>
      <c r="AD71" s="80"/>
      <c r="AE71" s="80"/>
      <c r="AF71" s="80"/>
      <c r="AG71" s="80"/>
      <c r="AH71" s="80"/>
      <c r="AI71" s="80"/>
      <c r="AJ71" s="80"/>
      <c r="AK71" s="80"/>
      <c r="AL71" s="80"/>
      <c r="AM71" s="80"/>
      <c r="AN71" s="80"/>
      <c r="AO71" s="80"/>
      <c r="AP71" s="80"/>
      <c r="AQ71" s="80"/>
      <c r="AR71" s="80"/>
      <c r="AS71" s="80"/>
      <c r="AT71" s="80"/>
      <c r="AU71" s="80"/>
      <c r="AV71" s="80"/>
      <c r="AW71" s="80"/>
      <c r="AX71" s="80"/>
      <c r="AY71" s="80"/>
      <c r="AZ71" s="80"/>
      <c r="BA71" s="80"/>
      <c r="BB71" s="80"/>
      <c r="BC71" s="80"/>
      <c r="BD71" s="80"/>
      <c r="BE71" s="80"/>
      <c r="BF71" s="80"/>
      <c r="BG71" s="80"/>
      <c r="BH71" s="80"/>
      <c r="BI71" s="80"/>
      <c r="BJ71" s="80"/>
      <c r="BK71" s="80"/>
      <c r="BL71" s="80"/>
      <c r="BM71" s="80"/>
      <c r="BN71" s="80"/>
      <c r="BO71" s="80"/>
      <c r="BP71" s="80"/>
      <c r="BQ71" s="80"/>
      <c r="BR71" s="80"/>
      <c r="BS71" s="80"/>
      <c r="BT71" s="80"/>
    </row>
    <row r="72" spans="1:72" ht="15" x14ac:dyDescent="0.3">
      <c r="A72" s="6">
        <v>65</v>
      </c>
      <c r="B72" s="60" t="str">
        <f>IF($C72="","",IFERROR(_xlfn.XLOOKUP($C72,tblPersonal[CUIL],tblPersonal[HUB]),""))</f>
        <v/>
      </c>
      <c r="C72" s="79"/>
      <c r="D72" s="43" t="str">
        <f>IF($C72="","",IFERROR(_xlfn.XLOOKUP($C72,tblPersonal[CUIL],tblPersonal[AP]),""))</f>
        <v/>
      </c>
      <c r="E72" s="79"/>
      <c r="F72" s="79"/>
      <c r="G72" s="7" t="str">
        <f>IF(F72="","",IFERROR(VLOOKUP(TRIM(F72),FID!$A:$C,2,FALSE),""))</f>
        <v/>
      </c>
      <c r="H72" s="7" t="str">
        <f>IF(F72="","",IFERROR(VLOOKUP(TRIM(F72),FID!$A:$C,3,FALSE),""))</f>
        <v/>
      </c>
      <c r="I72" s="82" t="str" cm="1">
        <f t="array" aca="1" ref="I72" ca="1">IF(COUNTA($J72:$M72)=0,"",_xlfn.LET(
_xlpm.enc,$N$7:$CH$7,
_xlpm.tipo,$N$4:$CH$4,
_xlpm.vig,$N$5:$CH$5,
_xlpm.fec,$N72:$CH72,
_xlpm.req,(
--(UPPER(IFERROR(INDEX('Requisito x Tarea'!$C$2:$BK$101,MATCH(TRIM($J72),'Requisito x Tarea'!$B$2:$B$101,0),MATCH(_xlpm.enc,'Requisito x Tarea'!$C$1:$BK$1,0)),""))="X")
+--(UPPER(IFERROR(INDEX('Requisito x Tarea'!$C$2:$BK$101,MATCH(TRIM($K72),'Requisito x Tarea'!$B$2:$B$101,0),MATCH(_xlpm.enc,'Requisito x Tarea'!$C$1:$BK$1,0)),""))="X")
+--(UPPER(IFERROR(INDEX('Requisito x Tarea'!$C$2:$BK$101,MATCH(TRIM($L72),'Requisito x Tarea'!$B$2:$B$101,0),MATCH(_xlpm.enc,'Requisito x Tarea'!$C$1:$BK$1,0)),""))="X")
+--(UPPER(IFERROR(INDEX('Requisito x Tarea'!$C$2:$BK$101,MATCH(TRIM($M72),'Requisito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72" s="78"/>
      <c r="K72" s="78"/>
      <c r="L72" s="78"/>
      <c r="M72" s="78"/>
      <c r="N72" s="80"/>
      <c r="O72" s="80"/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0"/>
      <c r="AA72" s="80"/>
      <c r="AB72" s="80"/>
      <c r="AC72" s="80"/>
      <c r="AD72" s="80"/>
      <c r="AE72" s="80"/>
      <c r="AF72" s="80"/>
      <c r="AG72" s="80"/>
      <c r="AH72" s="80"/>
      <c r="AI72" s="80"/>
      <c r="AJ72" s="80"/>
      <c r="AK72" s="80"/>
      <c r="AL72" s="80"/>
      <c r="AM72" s="80"/>
      <c r="AN72" s="80"/>
      <c r="AO72" s="80"/>
      <c r="AP72" s="80"/>
      <c r="AQ72" s="80"/>
      <c r="AR72" s="80"/>
      <c r="AS72" s="80"/>
      <c r="AT72" s="80"/>
      <c r="AU72" s="80"/>
      <c r="AV72" s="80"/>
      <c r="AW72" s="80"/>
      <c r="AX72" s="80"/>
      <c r="AY72" s="80"/>
      <c r="AZ72" s="80"/>
      <c r="BA72" s="80"/>
      <c r="BB72" s="80"/>
      <c r="BC72" s="80"/>
      <c r="BD72" s="80"/>
      <c r="BE72" s="80"/>
      <c r="BF72" s="80"/>
      <c r="BG72" s="80"/>
      <c r="BH72" s="80"/>
      <c r="BI72" s="80"/>
      <c r="BJ72" s="80"/>
      <c r="BK72" s="80"/>
      <c r="BL72" s="80"/>
      <c r="BM72" s="80"/>
      <c r="BN72" s="80"/>
      <c r="BO72" s="80"/>
      <c r="BP72" s="80"/>
      <c r="BQ72" s="80"/>
      <c r="BR72" s="80"/>
      <c r="BS72" s="80"/>
      <c r="BT72" s="80"/>
    </row>
    <row r="73" spans="1:72" ht="15" x14ac:dyDescent="0.3">
      <c r="A73" s="6">
        <v>66</v>
      </c>
      <c r="B73" s="60" t="str">
        <f>IF($C73="","",IFERROR(_xlfn.XLOOKUP($C73,tblPersonal[CUIL],tblPersonal[HUB]),""))</f>
        <v/>
      </c>
      <c r="C73" s="79"/>
      <c r="D73" s="43" t="str">
        <f>IF($C73="","",IFERROR(_xlfn.XLOOKUP($C73,tblPersonal[CUIL],tblPersonal[AP]),""))</f>
        <v/>
      </c>
      <c r="E73" s="79"/>
      <c r="F73" s="79"/>
      <c r="G73" s="7" t="str">
        <f>IF(F73="","",IFERROR(VLOOKUP(TRIM(F73),FID!$A:$C,2,FALSE),""))</f>
        <v/>
      </c>
      <c r="H73" s="7" t="str">
        <f>IF(F73="","",IFERROR(VLOOKUP(TRIM(F73),FID!$A:$C,3,FALSE),""))</f>
        <v/>
      </c>
      <c r="I73" s="82" t="str" cm="1">
        <f t="array" aca="1" ref="I73" ca="1">IF(COUNTA($J73:$M73)=0,"",_xlfn.LET(
_xlpm.enc,$N$7:$CH$7,
_xlpm.tipo,$N$4:$CH$4,
_xlpm.vig,$N$5:$CH$5,
_xlpm.fec,$N73:$CH73,
_xlpm.req,(
--(UPPER(IFERROR(INDEX('Requisito x Tarea'!$C$2:$BK$101,MATCH(TRIM($J73),'Requisito x Tarea'!$B$2:$B$101,0),MATCH(_xlpm.enc,'Requisito x Tarea'!$C$1:$BK$1,0)),""))="X")
+--(UPPER(IFERROR(INDEX('Requisito x Tarea'!$C$2:$BK$101,MATCH(TRIM($K73),'Requisito x Tarea'!$B$2:$B$101,0),MATCH(_xlpm.enc,'Requisito x Tarea'!$C$1:$BK$1,0)),""))="X")
+--(UPPER(IFERROR(INDEX('Requisito x Tarea'!$C$2:$BK$101,MATCH(TRIM($L73),'Requisito x Tarea'!$B$2:$B$101,0),MATCH(_xlpm.enc,'Requisito x Tarea'!$C$1:$BK$1,0)),""))="X")
+--(UPPER(IFERROR(INDEX('Requisito x Tarea'!$C$2:$BK$101,MATCH(TRIM($M73),'Requisito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73" s="78"/>
      <c r="K73" s="78"/>
      <c r="L73" s="78"/>
      <c r="M73" s="78"/>
      <c r="N73" s="80"/>
      <c r="O73" s="80"/>
      <c r="P73" s="80"/>
      <c r="Q73" s="80"/>
      <c r="R73" s="80"/>
      <c r="S73" s="80"/>
      <c r="T73" s="80"/>
      <c r="U73" s="80"/>
      <c r="V73" s="80"/>
      <c r="W73" s="80"/>
      <c r="X73" s="80"/>
      <c r="Y73" s="80"/>
      <c r="Z73" s="80"/>
      <c r="AA73" s="80"/>
      <c r="AB73" s="80"/>
      <c r="AC73" s="80"/>
      <c r="AD73" s="80"/>
      <c r="AE73" s="80"/>
      <c r="AF73" s="80"/>
      <c r="AG73" s="80"/>
      <c r="AH73" s="80"/>
      <c r="AI73" s="80"/>
      <c r="AJ73" s="80"/>
      <c r="AK73" s="80"/>
      <c r="AL73" s="80"/>
      <c r="AM73" s="80"/>
      <c r="AN73" s="80"/>
      <c r="AO73" s="80"/>
      <c r="AP73" s="80"/>
      <c r="AQ73" s="80"/>
      <c r="AR73" s="80"/>
      <c r="AS73" s="80"/>
      <c r="AT73" s="80"/>
      <c r="AU73" s="80"/>
      <c r="AV73" s="80"/>
      <c r="AW73" s="80"/>
      <c r="AX73" s="80"/>
      <c r="AY73" s="80"/>
      <c r="AZ73" s="80"/>
      <c r="BA73" s="80"/>
      <c r="BB73" s="80"/>
      <c r="BC73" s="80"/>
      <c r="BD73" s="80"/>
      <c r="BE73" s="80"/>
      <c r="BF73" s="80"/>
      <c r="BG73" s="80"/>
      <c r="BH73" s="80"/>
      <c r="BI73" s="80"/>
      <c r="BJ73" s="80"/>
      <c r="BK73" s="80"/>
      <c r="BL73" s="80"/>
      <c r="BM73" s="80"/>
      <c r="BN73" s="80"/>
      <c r="BO73" s="80"/>
      <c r="BP73" s="80"/>
      <c r="BQ73" s="80"/>
      <c r="BR73" s="80"/>
      <c r="BS73" s="80"/>
      <c r="BT73" s="80"/>
    </row>
    <row r="74" spans="1:72" ht="15" x14ac:dyDescent="0.3">
      <c r="A74" s="6">
        <v>67</v>
      </c>
      <c r="B74" s="60" t="str">
        <f>IF($C74="","",IFERROR(_xlfn.XLOOKUP($C74,tblPersonal[CUIL],tblPersonal[HUB]),""))</f>
        <v/>
      </c>
      <c r="C74" s="79"/>
      <c r="D74" s="43" t="str">
        <f>IF($C74="","",IFERROR(_xlfn.XLOOKUP($C74,tblPersonal[CUIL],tblPersonal[AP]),""))</f>
        <v/>
      </c>
      <c r="E74" s="79"/>
      <c r="F74" s="79"/>
      <c r="G74" s="7" t="str">
        <f>IF(F74="","",IFERROR(VLOOKUP(TRIM(F74),FID!$A:$C,2,FALSE),""))</f>
        <v/>
      </c>
      <c r="H74" s="7" t="str">
        <f>IF(F74="","",IFERROR(VLOOKUP(TRIM(F74),FID!$A:$C,3,FALSE),""))</f>
        <v/>
      </c>
      <c r="I74" s="82" t="str" cm="1">
        <f t="array" aca="1" ref="I74" ca="1">IF(COUNTA($J74:$M74)=0,"",_xlfn.LET(
_xlpm.enc,$N$7:$CH$7,
_xlpm.tipo,$N$4:$CH$4,
_xlpm.vig,$N$5:$CH$5,
_xlpm.fec,$N74:$CH74,
_xlpm.req,(
--(UPPER(IFERROR(INDEX('Requisito x Tarea'!$C$2:$BK$101,MATCH(TRIM($J74),'Requisito x Tarea'!$B$2:$B$101,0),MATCH(_xlpm.enc,'Requisito x Tarea'!$C$1:$BK$1,0)),""))="X")
+--(UPPER(IFERROR(INDEX('Requisito x Tarea'!$C$2:$BK$101,MATCH(TRIM($K74),'Requisito x Tarea'!$B$2:$B$101,0),MATCH(_xlpm.enc,'Requisito x Tarea'!$C$1:$BK$1,0)),""))="X")
+--(UPPER(IFERROR(INDEX('Requisito x Tarea'!$C$2:$BK$101,MATCH(TRIM($L74),'Requisito x Tarea'!$B$2:$B$101,0),MATCH(_xlpm.enc,'Requisito x Tarea'!$C$1:$BK$1,0)),""))="X")
+--(UPPER(IFERROR(INDEX('Requisito x Tarea'!$C$2:$BK$101,MATCH(TRIM($M74),'Requisito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74" s="78"/>
      <c r="K74" s="78"/>
      <c r="L74" s="78"/>
      <c r="M74" s="78"/>
      <c r="N74" s="80"/>
      <c r="O74" s="80"/>
      <c r="P74" s="80"/>
      <c r="Q74" s="80"/>
      <c r="R74" s="80"/>
      <c r="S74" s="80"/>
      <c r="T74" s="80"/>
      <c r="U74" s="80"/>
      <c r="V74" s="80"/>
      <c r="W74" s="80"/>
      <c r="X74" s="80"/>
      <c r="Y74" s="80"/>
      <c r="Z74" s="80"/>
      <c r="AA74" s="80"/>
      <c r="AB74" s="80"/>
      <c r="AC74" s="80"/>
      <c r="AD74" s="80"/>
      <c r="AE74" s="80"/>
      <c r="AF74" s="80"/>
      <c r="AG74" s="80"/>
      <c r="AH74" s="80"/>
      <c r="AI74" s="80"/>
      <c r="AJ74" s="80"/>
      <c r="AK74" s="80"/>
      <c r="AL74" s="80"/>
      <c r="AM74" s="80"/>
      <c r="AN74" s="80"/>
      <c r="AO74" s="80"/>
      <c r="AP74" s="80"/>
      <c r="AQ74" s="80"/>
      <c r="AR74" s="80"/>
      <c r="AS74" s="80"/>
      <c r="AT74" s="80"/>
      <c r="AU74" s="80"/>
      <c r="AV74" s="80"/>
      <c r="AW74" s="80"/>
      <c r="AX74" s="80"/>
      <c r="AY74" s="80"/>
      <c r="AZ74" s="80"/>
      <c r="BA74" s="80"/>
      <c r="BB74" s="80"/>
      <c r="BC74" s="80"/>
      <c r="BD74" s="80"/>
      <c r="BE74" s="80"/>
      <c r="BF74" s="80"/>
      <c r="BG74" s="80"/>
      <c r="BH74" s="80"/>
      <c r="BI74" s="80"/>
      <c r="BJ74" s="80"/>
      <c r="BK74" s="80"/>
      <c r="BL74" s="80"/>
      <c r="BM74" s="80"/>
      <c r="BN74" s="80"/>
      <c r="BO74" s="80"/>
      <c r="BP74" s="80"/>
      <c r="BQ74" s="80"/>
      <c r="BR74" s="80"/>
      <c r="BS74" s="80"/>
      <c r="BT74" s="80"/>
    </row>
    <row r="75" spans="1:72" ht="15" x14ac:dyDescent="0.3">
      <c r="A75" s="6">
        <v>68</v>
      </c>
      <c r="B75" s="60" t="str">
        <f>IF($C75="","",IFERROR(_xlfn.XLOOKUP($C75,tblPersonal[CUIL],tblPersonal[HUB]),""))</f>
        <v/>
      </c>
      <c r="C75" s="79"/>
      <c r="D75" s="43" t="str">
        <f>IF($C75="","",IFERROR(_xlfn.XLOOKUP($C75,tblPersonal[CUIL],tblPersonal[AP]),""))</f>
        <v/>
      </c>
      <c r="E75" s="79"/>
      <c r="F75" s="79"/>
      <c r="G75" s="7" t="str">
        <f>IF(F75="","",IFERROR(VLOOKUP(TRIM(F75),FID!$A:$C,2,FALSE),""))</f>
        <v/>
      </c>
      <c r="H75" s="7" t="str">
        <f>IF(F75="","",IFERROR(VLOOKUP(TRIM(F75),FID!$A:$C,3,FALSE),""))</f>
        <v/>
      </c>
      <c r="I75" s="82" t="str" cm="1">
        <f t="array" aca="1" ref="I75" ca="1">IF(COUNTA($J75:$M75)=0,"",_xlfn.LET(
_xlpm.enc,$N$7:$CH$7,
_xlpm.tipo,$N$4:$CH$4,
_xlpm.vig,$N$5:$CH$5,
_xlpm.fec,$N75:$CH75,
_xlpm.req,(
--(UPPER(IFERROR(INDEX('Requisito x Tarea'!$C$2:$BK$101,MATCH(TRIM($J75),'Requisito x Tarea'!$B$2:$B$101,0),MATCH(_xlpm.enc,'Requisito x Tarea'!$C$1:$BK$1,0)),""))="X")
+--(UPPER(IFERROR(INDEX('Requisito x Tarea'!$C$2:$BK$101,MATCH(TRIM($K75),'Requisito x Tarea'!$B$2:$B$101,0),MATCH(_xlpm.enc,'Requisito x Tarea'!$C$1:$BK$1,0)),""))="X")
+--(UPPER(IFERROR(INDEX('Requisito x Tarea'!$C$2:$BK$101,MATCH(TRIM($L75),'Requisito x Tarea'!$B$2:$B$101,0),MATCH(_xlpm.enc,'Requisito x Tarea'!$C$1:$BK$1,0)),""))="X")
+--(UPPER(IFERROR(INDEX('Requisito x Tarea'!$C$2:$BK$101,MATCH(TRIM($M75),'Requisito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75" s="78"/>
      <c r="K75" s="78"/>
      <c r="L75" s="78"/>
      <c r="M75" s="78"/>
      <c r="N75" s="80"/>
      <c r="O75" s="80"/>
      <c r="P75" s="80"/>
      <c r="Q75" s="80"/>
      <c r="R75" s="80"/>
      <c r="S75" s="80"/>
      <c r="T75" s="80"/>
      <c r="U75" s="80"/>
      <c r="V75" s="80"/>
      <c r="W75" s="80"/>
      <c r="X75" s="80"/>
      <c r="Y75" s="80"/>
      <c r="Z75" s="80"/>
      <c r="AA75" s="80"/>
      <c r="AB75" s="80"/>
      <c r="AC75" s="80"/>
      <c r="AD75" s="80"/>
      <c r="AE75" s="80"/>
      <c r="AF75" s="80"/>
      <c r="AG75" s="80"/>
      <c r="AH75" s="80"/>
      <c r="AI75" s="80"/>
      <c r="AJ75" s="80"/>
      <c r="AK75" s="80"/>
      <c r="AL75" s="80"/>
      <c r="AM75" s="80"/>
      <c r="AN75" s="80"/>
      <c r="AO75" s="80"/>
      <c r="AP75" s="80"/>
      <c r="AQ75" s="80"/>
      <c r="AR75" s="80"/>
      <c r="AS75" s="80"/>
      <c r="AT75" s="80"/>
      <c r="AU75" s="80"/>
      <c r="AV75" s="80"/>
      <c r="AW75" s="80"/>
      <c r="AX75" s="80"/>
      <c r="AY75" s="80"/>
      <c r="AZ75" s="80"/>
      <c r="BA75" s="80"/>
      <c r="BB75" s="80"/>
      <c r="BC75" s="80"/>
      <c r="BD75" s="80"/>
      <c r="BE75" s="80"/>
      <c r="BF75" s="80"/>
      <c r="BG75" s="80"/>
      <c r="BH75" s="80"/>
      <c r="BI75" s="80"/>
      <c r="BJ75" s="80"/>
      <c r="BK75" s="80"/>
      <c r="BL75" s="80"/>
      <c r="BM75" s="80"/>
      <c r="BN75" s="80"/>
      <c r="BO75" s="80"/>
      <c r="BP75" s="80"/>
      <c r="BQ75" s="80"/>
      <c r="BR75" s="80"/>
      <c r="BS75" s="80"/>
      <c r="BT75" s="80"/>
    </row>
    <row r="76" spans="1:72" ht="15" x14ac:dyDescent="0.3">
      <c r="A76" s="6">
        <v>69</v>
      </c>
      <c r="B76" s="60" t="str">
        <f>IF($C76="","",IFERROR(_xlfn.XLOOKUP($C76,tblPersonal[CUIL],tblPersonal[HUB]),""))</f>
        <v/>
      </c>
      <c r="C76" s="79"/>
      <c r="D76" s="43" t="str">
        <f>IF($C76="","",IFERROR(_xlfn.XLOOKUP($C76,tblPersonal[CUIL],tblPersonal[AP]),""))</f>
        <v/>
      </c>
      <c r="E76" s="79"/>
      <c r="F76" s="79"/>
      <c r="G76" s="7" t="str">
        <f>IF(F76="","",IFERROR(VLOOKUP(TRIM(F76),FID!$A:$C,2,FALSE),""))</f>
        <v/>
      </c>
      <c r="H76" s="7" t="str">
        <f>IF(F76="","",IFERROR(VLOOKUP(TRIM(F76),FID!$A:$C,3,FALSE),""))</f>
        <v/>
      </c>
      <c r="I76" s="82" t="str" cm="1">
        <f t="array" aca="1" ref="I76" ca="1">IF(COUNTA($J76:$M76)=0,"",_xlfn.LET(
_xlpm.enc,$N$7:$CH$7,
_xlpm.tipo,$N$4:$CH$4,
_xlpm.vig,$N$5:$CH$5,
_xlpm.fec,$N76:$CH76,
_xlpm.req,(
--(UPPER(IFERROR(INDEX('Requisito x Tarea'!$C$2:$BK$101,MATCH(TRIM($J76),'Requisito x Tarea'!$B$2:$B$101,0),MATCH(_xlpm.enc,'Requisito x Tarea'!$C$1:$BK$1,0)),""))="X")
+--(UPPER(IFERROR(INDEX('Requisito x Tarea'!$C$2:$BK$101,MATCH(TRIM($K76),'Requisito x Tarea'!$B$2:$B$101,0),MATCH(_xlpm.enc,'Requisito x Tarea'!$C$1:$BK$1,0)),""))="X")
+--(UPPER(IFERROR(INDEX('Requisito x Tarea'!$C$2:$BK$101,MATCH(TRIM($L76),'Requisito x Tarea'!$B$2:$B$101,0),MATCH(_xlpm.enc,'Requisito x Tarea'!$C$1:$BK$1,0)),""))="X")
+--(UPPER(IFERROR(INDEX('Requisito x Tarea'!$C$2:$BK$101,MATCH(TRIM($M76),'Requisito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76" s="78"/>
      <c r="K76" s="78"/>
      <c r="L76" s="78"/>
      <c r="M76" s="78"/>
      <c r="N76" s="80"/>
      <c r="O76" s="80"/>
      <c r="P76" s="80"/>
      <c r="Q76" s="80"/>
      <c r="R76" s="80"/>
      <c r="S76" s="80"/>
      <c r="T76" s="80"/>
      <c r="U76" s="80"/>
      <c r="V76" s="80"/>
      <c r="W76" s="80"/>
      <c r="X76" s="80"/>
      <c r="Y76" s="80"/>
      <c r="Z76" s="80"/>
      <c r="AA76" s="80"/>
      <c r="AB76" s="80"/>
      <c r="AC76" s="80"/>
      <c r="AD76" s="80"/>
      <c r="AE76" s="80"/>
      <c r="AF76" s="80"/>
      <c r="AG76" s="80"/>
      <c r="AH76" s="80"/>
      <c r="AI76" s="80"/>
      <c r="AJ76" s="80"/>
      <c r="AK76" s="80"/>
      <c r="AL76" s="80"/>
      <c r="AM76" s="80"/>
      <c r="AN76" s="80"/>
      <c r="AO76" s="80"/>
      <c r="AP76" s="80"/>
      <c r="AQ76" s="80"/>
      <c r="AR76" s="80"/>
      <c r="AS76" s="80"/>
      <c r="AT76" s="80"/>
      <c r="AU76" s="80"/>
      <c r="AV76" s="80"/>
      <c r="AW76" s="80"/>
      <c r="AX76" s="80"/>
      <c r="AY76" s="80"/>
      <c r="AZ76" s="80"/>
      <c r="BA76" s="80"/>
      <c r="BB76" s="80"/>
      <c r="BC76" s="80"/>
      <c r="BD76" s="80"/>
      <c r="BE76" s="80"/>
      <c r="BF76" s="80"/>
      <c r="BG76" s="80"/>
      <c r="BH76" s="80"/>
      <c r="BI76" s="80"/>
      <c r="BJ76" s="80"/>
      <c r="BK76" s="80"/>
      <c r="BL76" s="80"/>
      <c r="BM76" s="80"/>
      <c r="BN76" s="80"/>
      <c r="BO76" s="80"/>
      <c r="BP76" s="80"/>
      <c r="BQ76" s="80"/>
      <c r="BR76" s="80"/>
      <c r="BS76" s="80"/>
      <c r="BT76" s="80"/>
    </row>
    <row r="77" spans="1:72" ht="15" x14ac:dyDescent="0.3">
      <c r="A77" s="6">
        <v>70</v>
      </c>
      <c r="B77" s="60" t="str">
        <f>IF($C77="","",IFERROR(_xlfn.XLOOKUP($C77,tblPersonal[CUIL],tblPersonal[HUB]),""))</f>
        <v/>
      </c>
      <c r="C77" s="79"/>
      <c r="D77" s="43" t="str">
        <f>IF($C77="","",IFERROR(_xlfn.XLOOKUP($C77,tblPersonal[CUIL],tblPersonal[AP]),""))</f>
        <v/>
      </c>
      <c r="E77" s="79"/>
      <c r="F77" s="79"/>
      <c r="G77" s="7" t="str">
        <f>IF(F77="","",IFERROR(VLOOKUP(TRIM(F77),FID!$A:$C,2,FALSE),""))</f>
        <v/>
      </c>
      <c r="H77" s="7" t="str">
        <f>IF(F77="","",IFERROR(VLOOKUP(TRIM(F77),FID!$A:$C,3,FALSE),""))</f>
        <v/>
      </c>
      <c r="I77" s="82" t="str" cm="1">
        <f t="array" aca="1" ref="I77" ca="1">IF(COUNTA($J77:$M77)=0,"",_xlfn.LET(
_xlpm.enc,$N$7:$CH$7,
_xlpm.tipo,$N$4:$CH$4,
_xlpm.vig,$N$5:$CH$5,
_xlpm.fec,$N77:$CH77,
_xlpm.req,(
--(UPPER(IFERROR(INDEX('Requisito x Tarea'!$C$2:$BK$101,MATCH(TRIM($J77),'Requisito x Tarea'!$B$2:$B$101,0),MATCH(_xlpm.enc,'Requisito x Tarea'!$C$1:$BK$1,0)),""))="X")
+--(UPPER(IFERROR(INDEX('Requisito x Tarea'!$C$2:$BK$101,MATCH(TRIM($K77),'Requisito x Tarea'!$B$2:$B$101,0),MATCH(_xlpm.enc,'Requisito x Tarea'!$C$1:$BK$1,0)),""))="X")
+--(UPPER(IFERROR(INDEX('Requisito x Tarea'!$C$2:$BK$101,MATCH(TRIM($L77),'Requisito x Tarea'!$B$2:$B$101,0),MATCH(_xlpm.enc,'Requisito x Tarea'!$C$1:$BK$1,0)),""))="X")
+--(UPPER(IFERROR(INDEX('Requisito x Tarea'!$C$2:$BK$101,MATCH(TRIM($M77),'Requisito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77" s="78"/>
      <c r="K77" s="78"/>
      <c r="L77" s="78"/>
      <c r="M77" s="78"/>
      <c r="N77" s="80"/>
      <c r="O77" s="80"/>
      <c r="P77" s="80"/>
      <c r="Q77" s="80"/>
      <c r="R77" s="80"/>
      <c r="S77" s="80"/>
      <c r="T77" s="80"/>
      <c r="U77" s="80"/>
      <c r="V77" s="80"/>
      <c r="W77" s="80"/>
      <c r="X77" s="80"/>
      <c r="Y77" s="80"/>
      <c r="Z77" s="80"/>
      <c r="AA77" s="80"/>
      <c r="AB77" s="80"/>
      <c r="AC77" s="80"/>
      <c r="AD77" s="80"/>
      <c r="AE77" s="80"/>
      <c r="AF77" s="80"/>
      <c r="AG77" s="80"/>
      <c r="AH77" s="80"/>
      <c r="AI77" s="80"/>
      <c r="AJ77" s="80"/>
      <c r="AK77" s="80"/>
      <c r="AL77" s="80"/>
      <c r="AM77" s="80"/>
      <c r="AN77" s="80"/>
      <c r="AO77" s="80"/>
      <c r="AP77" s="80"/>
      <c r="AQ77" s="80"/>
      <c r="AR77" s="80"/>
      <c r="AS77" s="80"/>
      <c r="AT77" s="80"/>
      <c r="AU77" s="80"/>
      <c r="AV77" s="80"/>
      <c r="AW77" s="80"/>
      <c r="AX77" s="80"/>
      <c r="AY77" s="80"/>
      <c r="AZ77" s="80"/>
      <c r="BA77" s="80"/>
      <c r="BB77" s="80"/>
      <c r="BC77" s="80"/>
      <c r="BD77" s="80"/>
      <c r="BE77" s="80"/>
      <c r="BF77" s="80"/>
      <c r="BG77" s="80"/>
      <c r="BH77" s="80"/>
      <c r="BI77" s="80"/>
      <c r="BJ77" s="80"/>
      <c r="BK77" s="80"/>
      <c r="BL77" s="80"/>
      <c r="BM77" s="80"/>
      <c r="BN77" s="80"/>
      <c r="BO77" s="80"/>
      <c r="BP77" s="80"/>
      <c r="BQ77" s="80"/>
      <c r="BR77" s="80"/>
      <c r="BS77" s="80"/>
      <c r="BT77" s="80"/>
    </row>
    <row r="78" spans="1:72" ht="15" x14ac:dyDescent="0.3">
      <c r="A78" s="6">
        <v>71</v>
      </c>
      <c r="B78" s="60" t="str">
        <f>IF($C78="","",IFERROR(_xlfn.XLOOKUP($C78,tblPersonal[CUIL],tblPersonal[HUB]),""))</f>
        <v/>
      </c>
      <c r="C78" s="79"/>
      <c r="D78" s="43" t="str">
        <f>IF($C78="","",IFERROR(_xlfn.XLOOKUP($C78,tblPersonal[CUIL],tblPersonal[AP]),""))</f>
        <v/>
      </c>
      <c r="E78" s="79"/>
      <c r="F78" s="79"/>
      <c r="G78" s="7" t="str">
        <f>IF(F78="","",IFERROR(VLOOKUP(TRIM(F78),FID!$A:$C,2,FALSE),""))</f>
        <v/>
      </c>
      <c r="H78" s="7" t="str">
        <f>IF(F78="","",IFERROR(VLOOKUP(TRIM(F78),FID!$A:$C,3,FALSE),""))</f>
        <v/>
      </c>
      <c r="I78" s="82" t="str" cm="1">
        <f t="array" aca="1" ref="I78" ca="1">IF(COUNTA($J78:$M78)=0,"",_xlfn.LET(
_xlpm.enc,$N$7:$CH$7,
_xlpm.tipo,$N$4:$CH$4,
_xlpm.vig,$N$5:$CH$5,
_xlpm.fec,$N78:$CH78,
_xlpm.req,(
--(UPPER(IFERROR(INDEX('Requisito x Tarea'!$C$2:$BK$101,MATCH(TRIM($J78),'Requisito x Tarea'!$B$2:$B$101,0),MATCH(_xlpm.enc,'Requisito x Tarea'!$C$1:$BK$1,0)),""))="X")
+--(UPPER(IFERROR(INDEX('Requisito x Tarea'!$C$2:$BK$101,MATCH(TRIM($K78),'Requisito x Tarea'!$B$2:$B$101,0),MATCH(_xlpm.enc,'Requisito x Tarea'!$C$1:$BK$1,0)),""))="X")
+--(UPPER(IFERROR(INDEX('Requisito x Tarea'!$C$2:$BK$101,MATCH(TRIM($L78),'Requisito x Tarea'!$B$2:$B$101,0),MATCH(_xlpm.enc,'Requisito x Tarea'!$C$1:$BK$1,0)),""))="X")
+--(UPPER(IFERROR(INDEX('Requisito x Tarea'!$C$2:$BK$101,MATCH(TRIM($M78),'Requisito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78" s="78"/>
      <c r="K78" s="78"/>
      <c r="L78" s="78"/>
      <c r="M78" s="78"/>
      <c r="N78" s="80"/>
      <c r="O78" s="80"/>
      <c r="P78" s="80"/>
      <c r="Q78" s="80"/>
      <c r="R78" s="80"/>
      <c r="S78" s="80"/>
      <c r="T78" s="80"/>
      <c r="U78" s="80"/>
      <c r="V78" s="80"/>
      <c r="W78" s="80"/>
      <c r="X78" s="80"/>
      <c r="Y78" s="80"/>
      <c r="Z78" s="80"/>
      <c r="AA78" s="80"/>
      <c r="AB78" s="80"/>
      <c r="AC78" s="80"/>
      <c r="AD78" s="80"/>
      <c r="AE78" s="80"/>
      <c r="AF78" s="80"/>
      <c r="AG78" s="80"/>
      <c r="AH78" s="80"/>
      <c r="AI78" s="80"/>
      <c r="AJ78" s="80"/>
      <c r="AK78" s="80"/>
      <c r="AL78" s="80"/>
      <c r="AM78" s="80"/>
      <c r="AN78" s="80"/>
      <c r="AO78" s="80"/>
      <c r="AP78" s="80"/>
      <c r="AQ78" s="80"/>
      <c r="AR78" s="80"/>
      <c r="AS78" s="80"/>
      <c r="AT78" s="80"/>
      <c r="AU78" s="80"/>
      <c r="AV78" s="80"/>
      <c r="AW78" s="80"/>
      <c r="AX78" s="80"/>
      <c r="AY78" s="80"/>
      <c r="AZ78" s="80"/>
      <c r="BA78" s="80"/>
      <c r="BB78" s="80"/>
      <c r="BC78" s="80"/>
      <c r="BD78" s="80"/>
      <c r="BE78" s="80"/>
      <c r="BF78" s="80"/>
      <c r="BG78" s="80"/>
      <c r="BH78" s="80"/>
      <c r="BI78" s="80"/>
      <c r="BJ78" s="80"/>
      <c r="BK78" s="80"/>
      <c r="BL78" s="80"/>
      <c r="BM78" s="80"/>
      <c r="BN78" s="80"/>
      <c r="BO78" s="80"/>
      <c r="BP78" s="80"/>
      <c r="BQ78" s="80"/>
      <c r="BR78" s="80"/>
      <c r="BS78" s="80"/>
      <c r="BT78" s="80"/>
    </row>
    <row r="79" spans="1:72" ht="15" x14ac:dyDescent="0.3">
      <c r="A79" s="6">
        <v>72</v>
      </c>
      <c r="B79" s="60" t="str">
        <f>IF($C79="","",IFERROR(_xlfn.XLOOKUP($C79,tblPersonal[CUIL],tblPersonal[HUB]),""))</f>
        <v/>
      </c>
      <c r="C79" s="79"/>
      <c r="D79" s="43" t="str">
        <f>IF($C79="","",IFERROR(_xlfn.XLOOKUP($C79,tblPersonal[CUIL],tblPersonal[AP]),""))</f>
        <v/>
      </c>
      <c r="E79" s="79"/>
      <c r="F79" s="79"/>
      <c r="G79" s="7" t="str">
        <f>IF(F79="","",IFERROR(VLOOKUP(TRIM(F79),FID!$A:$C,2,FALSE),""))</f>
        <v/>
      </c>
      <c r="H79" s="7" t="str">
        <f>IF(F79="","",IFERROR(VLOOKUP(TRIM(F79),FID!$A:$C,3,FALSE),""))</f>
        <v/>
      </c>
      <c r="I79" s="82" t="str" cm="1">
        <f t="array" aca="1" ref="I79" ca="1">IF(COUNTA($J79:$M79)=0,"",_xlfn.LET(
_xlpm.enc,$N$7:$CH$7,
_xlpm.tipo,$N$4:$CH$4,
_xlpm.vig,$N$5:$CH$5,
_xlpm.fec,$N79:$CH79,
_xlpm.req,(
--(UPPER(IFERROR(INDEX('Requisito x Tarea'!$C$2:$BK$101,MATCH(TRIM($J79),'Requisito x Tarea'!$B$2:$B$101,0),MATCH(_xlpm.enc,'Requisito x Tarea'!$C$1:$BK$1,0)),""))="X")
+--(UPPER(IFERROR(INDEX('Requisito x Tarea'!$C$2:$BK$101,MATCH(TRIM($K79),'Requisito x Tarea'!$B$2:$B$101,0),MATCH(_xlpm.enc,'Requisito x Tarea'!$C$1:$BK$1,0)),""))="X")
+--(UPPER(IFERROR(INDEX('Requisito x Tarea'!$C$2:$BK$101,MATCH(TRIM($L79),'Requisito x Tarea'!$B$2:$B$101,0),MATCH(_xlpm.enc,'Requisito x Tarea'!$C$1:$BK$1,0)),""))="X")
+--(UPPER(IFERROR(INDEX('Requisito x Tarea'!$C$2:$BK$101,MATCH(TRIM($M79),'Requisito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79" s="78"/>
      <c r="K79" s="78"/>
      <c r="L79" s="78"/>
      <c r="M79" s="78"/>
      <c r="N79" s="80"/>
      <c r="O79" s="80"/>
      <c r="P79" s="80"/>
      <c r="Q79" s="80"/>
      <c r="R79" s="80"/>
      <c r="S79" s="80"/>
      <c r="T79" s="80"/>
      <c r="U79" s="80"/>
      <c r="V79" s="80"/>
      <c r="W79" s="80"/>
      <c r="X79" s="80"/>
      <c r="Y79" s="80"/>
      <c r="Z79" s="80"/>
      <c r="AA79" s="80"/>
      <c r="AB79" s="80"/>
      <c r="AC79" s="80"/>
      <c r="AD79" s="80"/>
      <c r="AE79" s="80"/>
      <c r="AF79" s="80"/>
      <c r="AG79" s="80"/>
      <c r="AH79" s="80"/>
      <c r="AI79" s="80"/>
      <c r="AJ79" s="80"/>
      <c r="AK79" s="80"/>
      <c r="AL79" s="80"/>
      <c r="AM79" s="80"/>
      <c r="AN79" s="80"/>
      <c r="AO79" s="80"/>
      <c r="AP79" s="80"/>
      <c r="AQ79" s="80"/>
      <c r="AR79" s="80"/>
      <c r="AS79" s="80"/>
      <c r="AT79" s="80"/>
      <c r="AU79" s="80"/>
      <c r="AV79" s="80"/>
      <c r="AW79" s="80"/>
      <c r="AX79" s="80"/>
      <c r="AY79" s="80"/>
      <c r="AZ79" s="80"/>
      <c r="BA79" s="80"/>
      <c r="BB79" s="80"/>
      <c r="BC79" s="80"/>
      <c r="BD79" s="80"/>
      <c r="BE79" s="80"/>
      <c r="BF79" s="80"/>
      <c r="BG79" s="80"/>
      <c r="BH79" s="80"/>
      <c r="BI79" s="80"/>
      <c r="BJ79" s="80"/>
      <c r="BK79" s="80"/>
      <c r="BL79" s="80"/>
      <c r="BM79" s="80"/>
      <c r="BN79" s="80"/>
      <c r="BO79" s="80"/>
      <c r="BP79" s="80"/>
      <c r="BQ79" s="80"/>
      <c r="BR79" s="80"/>
      <c r="BS79" s="80"/>
      <c r="BT79" s="80"/>
    </row>
    <row r="80" spans="1:72" ht="15" x14ac:dyDescent="0.3">
      <c r="A80" s="6">
        <v>73</v>
      </c>
      <c r="B80" s="60" t="str">
        <f>IF($C80="","",IFERROR(_xlfn.XLOOKUP($C80,tblPersonal[CUIL],tblPersonal[HUB]),""))</f>
        <v/>
      </c>
      <c r="C80" s="79"/>
      <c r="D80" s="43" t="str">
        <f>IF($C80="","",IFERROR(_xlfn.XLOOKUP($C80,tblPersonal[CUIL],tblPersonal[AP]),""))</f>
        <v/>
      </c>
      <c r="E80" s="79"/>
      <c r="F80" s="79"/>
      <c r="G80" s="7" t="str">
        <f>IF(F80="","",IFERROR(VLOOKUP(TRIM(F80),FID!$A:$C,2,FALSE),""))</f>
        <v/>
      </c>
      <c r="H80" s="7" t="str">
        <f>IF(F80="","",IFERROR(VLOOKUP(TRIM(F80),FID!$A:$C,3,FALSE),""))</f>
        <v/>
      </c>
      <c r="I80" s="82" t="str" cm="1">
        <f t="array" aca="1" ref="I80" ca="1">IF(COUNTA($J80:$M80)=0,"",_xlfn.LET(
_xlpm.enc,$N$7:$CH$7,
_xlpm.tipo,$N$4:$CH$4,
_xlpm.vig,$N$5:$CH$5,
_xlpm.fec,$N80:$CH80,
_xlpm.req,(
--(UPPER(IFERROR(INDEX('Requisito x Tarea'!$C$2:$BK$101,MATCH(TRIM($J80),'Requisito x Tarea'!$B$2:$B$101,0),MATCH(_xlpm.enc,'Requisito x Tarea'!$C$1:$BK$1,0)),""))="X")
+--(UPPER(IFERROR(INDEX('Requisito x Tarea'!$C$2:$BK$101,MATCH(TRIM($K80),'Requisito x Tarea'!$B$2:$B$101,0),MATCH(_xlpm.enc,'Requisito x Tarea'!$C$1:$BK$1,0)),""))="X")
+--(UPPER(IFERROR(INDEX('Requisito x Tarea'!$C$2:$BK$101,MATCH(TRIM($L80),'Requisito x Tarea'!$B$2:$B$101,0),MATCH(_xlpm.enc,'Requisito x Tarea'!$C$1:$BK$1,0)),""))="X")
+--(UPPER(IFERROR(INDEX('Requisito x Tarea'!$C$2:$BK$101,MATCH(TRIM($M80),'Requisito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80" s="78"/>
      <c r="K80" s="78"/>
      <c r="L80" s="78"/>
      <c r="M80" s="78"/>
      <c r="N80" s="80"/>
      <c r="O80" s="80"/>
      <c r="P80" s="80"/>
      <c r="Q80" s="80"/>
      <c r="R80" s="80"/>
      <c r="S80" s="80"/>
      <c r="T80" s="80"/>
      <c r="U80" s="80"/>
      <c r="V80" s="80"/>
      <c r="W80" s="80"/>
      <c r="X80" s="80"/>
      <c r="Y80" s="80"/>
      <c r="Z80" s="80"/>
      <c r="AA80" s="80"/>
      <c r="AB80" s="80"/>
      <c r="AC80" s="80"/>
      <c r="AD80" s="80"/>
      <c r="AE80" s="80"/>
      <c r="AF80" s="80"/>
      <c r="AG80" s="80"/>
      <c r="AH80" s="80"/>
      <c r="AI80" s="80"/>
      <c r="AJ80" s="80"/>
      <c r="AK80" s="80"/>
      <c r="AL80" s="80"/>
      <c r="AM80" s="80"/>
      <c r="AN80" s="80"/>
      <c r="AO80" s="80"/>
      <c r="AP80" s="80"/>
      <c r="AQ80" s="80"/>
      <c r="AR80" s="80"/>
      <c r="AS80" s="80"/>
      <c r="AT80" s="80"/>
      <c r="AU80" s="80"/>
      <c r="AV80" s="80"/>
      <c r="AW80" s="80"/>
      <c r="AX80" s="80"/>
      <c r="AY80" s="80"/>
      <c r="AZ80" s="80"/>
      <c r="BA80" s="80"/>
      <c r="BB80" s="80"/>
      <c r="BC80" s="80"/>
      <c r="BD80" s="80"/>
      <c r="BE80" s="80"/>
      <c r="BF80" s="80"/>
      <c r="BG80" s="80"/>
      <c r="BH80" s="80"/>
      <c r="BI80" s="80"/>
      <c r="BJ80" s="80"/>
      <c r="BK80" s="80"/>
      <c r="BL80" s="80"/>
      <c r="BM80" s="80"/>
      <c r="BN80" s="80"/>
      <c r="BO80" s="80"/>
      <c r="BP80" s="80"/>
      <c r="BQ80" s="80"/>
      <c r="BR80" s="80"/>
      <c r="BS80" s="80"/>
      <c r="BT80" s="80"/>
    </row>
    <row r="81" spans="1:72" ht="15" x14ac:dyDescent="0.3">
      <c r="A81" s="6">
        <v>74</v>
      </c>
      <c r="B81" s="60" t="str">
        <f>IF($C81="","",IFERROR(_xlfn.XLOOKUP($C81,tblPersonal[CUIL],tblPersonal[HUB]),""))</f>
        <v/>
      </c>
      <c r="C81" s="79"/>
      <c r="D81" s="43" t="str">
        <f>IF($C81="","",IFERROR(_xlfn.XLOOKUP($C81,tblPersonal[CUIL],tblPersonal[AP]),""))</f>
        <v/>
      </c>
      <c r="E81" s="79"/>
      <c r="F81" s="79"/>
      <c r="G81" s="7" t="str">
        <f>IF(F81="","",IFERROR(VLOOKUP(TRIM(F81),FID!$A:$C,2,FALSE),""))</f>
        <v/>
      </c>
      <c r="H81" s="7" t="str">
        <f>IF(F81="","",IFERROR(VLOOKUP(TRIM(F81),FID!$A:$C,3,FALSE),""))</f>
        <v/>
      </c>
      <c r="I81" s="82" t="str" cm="1">
        <f t="array" aca="1" ref="I81" ca="1">IF(COUNTA($J81:$M81)=0,"",_xlfn.LET(
_xlpm.enc,$N$7:$CH$7,
_xlpm.tipo,$N$4:$CH$4,
_xlpm.vig,$N$5:$CH$5,
_xlpm.fec,$N81:$CH81,
_xlpm.req,(
--(UPPER(IFERROR(INDEX('Requisito x Tarea'!$C$2:$BK$101,MATCH(TRIM($J81),'Requisito x Tarea'!$B$2:$B$101,0),MATCH(_xlpm.enc,'Requisito x Tarea'!$C$1:$BK$1,0)),""))="X")
+--(UPPER(IFERROR(INDEX('Requisito x Tarea'!$C$2:$BK$101,MATCH(TRIM($K81),'Requisito x Tarea'!$B$2:$B$101,0),MATCH(_xlpm.enc,'Requisito x Tarea'!$C$1:$BK$1,0)),""))="X")
+--(UPPER(IFERROR(INDEX('Requisito x Tarea'!$C$2:$BK$101,MATCH(TRIM($L81),'Requisito x Tarea'!$B$2:$B$101,0),MATCH(_xlpm.enc,'Requisito x Tarea'!$C$1:$BK$1,0)),""))="X")
+--(UPPER(IFERROR(INDEX('Requisito x Tarea'!$C$2:$BK$101,MATCH(TRIM($M81),'Requisito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81" s="78"/>
      <c r="K81" s="78"/>
      <c r="L81" s="78"/>
      <c r="M81" s="78"/>
      <c r="N81" s="80"/>
      <c r="O81" s="80"/>
      <c r="P81" s="80"/>
      <c r="Q81" s="80"/>
      <c r="R81" s="80"/>
      <c r="S81" s="80"/>
      <c r="T81" s="80"/>
      <c r="U81" s="80"/>
      <c r="V81" s="80"/>
      <c r="W81" s="80"/>
      <c r="X81" s="80"/>
      <c r="Y81" s="80"/>
      <c r="Z81" s="80"/>
      <c r="AA81" s="80"/>
      <c r="AB81" s="80"/>
      <c r="AC81" s="80"/>
      <c r="AD81" s="80"/>
      <c r="AE81" s="80"/>
      <c r="AF81" s="80"/>
      <c r="AG81" s="80"/>
      <c r="AH81" s="80"/>
      <c r="AI81" s="80"/>
      <c r="AJ81" s="80"/>
      <c r="AK81" s="80"/>
      <c r="AL81" s="80"/>
      <c r="AM81" s="80"/>
      <c r="AN81" s="80"/>
      <c r="AO81" s="80"/>
      <c r="AP81" s="80"/>
      <c r="AQ81" s="80"/>
      <c r="AR81" s="80"/>
      <c r="AS81" s="80"/>
      <c r="AT81" s="80"/>
      <c r="AU81" s="80"/>
      <c r="AV81" s="80"/>
      <c r="AW81" s="80"/>
      <c r="AX81" s="80"/>
      <c r="AY81" s="80"/>
      <c r="AZ81" s="80"/>
      <c r="BA81" s="80"/>
      <c r="BB81" s="80"/>
      <c r="BC81" s="80"/>
      <c r="BD81" s="80"/>
      <c r="BE81" s="80"/>
      <c r="BF81" s="80"/>
      <c r="BG81" s="80"/>
      <c r="BH81" s="80"/>
      <c r="BI81" s="80"/>
      <c r="BJ81" s="80"/>
      <c r="BK81" s="80"/>
      <c r="BL81" s="80"/>
      <c r="BM81" s="80"/>
      <c r="BN81" s="80"/>
      <c r="BO81" s="80"/>
      <c r="BP81" s="80"/>
      <c r="BQ81" s="80"/>
      <c r="BR81" s="80"/>
      <c r="BS81" s="80"/>
      <c r="BT81" s="80"/>
    </row>
    <row r="82" spans="1:72" ht="15" x14ac:dyDescent="0.3">
      <c r="A82" s="6">
        <v>75</v>
      </c>
      <c r="B82" s="60" t="str">
        <f>IF($C82="","",IFERROR(_xlfn.XLOOKUP($C82,tblPersonal[CUIL],tblPersonal[HUB]),""))</f>
        <v/>
      </c>
      <c r="C82" s="79"/>
      <c r="D82" s="43" t="str">
        <f>IF($C82="","",IFERROR(_xlfn.XLOOKUP($C82,tblPersonal[CUIL],tblPersonal[AP]),""))</f>
        <v/>
      </c>
      <c r="E82" s="79"/>
      <c r="F82" s="79"/>
      <c r="G82" s="7" t="str">
        <f>IF(F82="","",IFERROR(VLOOKUP(TRIM(F82),FID!$A:$C,2,FALSE),""))</f>
        <v/>
      </c>
      <c r="H82" s="7" t="str">
        <f>IF(F82="","",IFERROR(VLOOKUP(TRIM(F82),FID!$A:$C,3,FALSE),""))</f>
        <v/>
      </c>
      <c r="I82" s="82" t="str" cm="1">
        <f t="array" aca="1" ref="I82" ca="1">IF(COUNTA($J82:$M82)=0,"",_xlfn.LET(
_xlpm.enc,$N$7:$CH$7,
_xlpm.tipo,$N$4:$CH$4,
_xlpm.vig,$N$5:$CH$5,
_xlpm.fec,$N82:$CH82,
_xlpm.req,(
--(UPPER(IFERROR(INDEX('Requisito x Tarea'!$C$2:$BK$101,MATCH(TRIM($J82),'Requisito x Tarea'!$B$2:$B$101,0),MATCH(_xlpm.enc,'Requisito x Tarea'!$C$1:$BK$1,0)),""))="X")
+--(UPPER(IFERROR(INDEX('Requisito x Tarea'!$C$2:$BK$101,MATCH(TRIM($K82),'Requisito x Tarea'!$B$2:$B$101,0),MATCH(_xlpm.enc,'Requisito x Tarea'!$C$1:$BK$1,0)),""))="X")
+--(UPPER(IFERROR(INDEX('Requisito x Tarea'!$C$2:$BK$101,MATCH(TRIM($L82),'Requisito x Tarea'!$B$2:$B$101,0),MATCH(_xlpm.enc,'Requisito x Tarea'!$C$1:$BK$1,0)),""))="X")
+--(UPPER(IFERROR(INDEX('Requisito x Tarea'!$C$2:$BK$101,MATCH(TRIM($M82),'Requisito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82" s="78"/>
      <c r="K82" s="78"/>
      <c r="L82" s="78"/>
      <c r="M82" s="78"/>
      <c r="N82" s="80"/>
      <c r="O82" s="80"/>
      <c r="P82" s="80"/>
      <c r="Q82" s="80"/>
      <c r="R82" s="80"/>
      <c r="S82" s="80"/>
      <c r="T82" s="80"/>
      <c r="U82" s="80"/>
      <c r="V82" s="80"/>
      <c r="W82" s="80"/>
      <c r="X82" s="80"/>
      <c r="Y82" s="80"/>
      <c r="Z82" s="80"/>
      <c r="AA82" s="80"/>
      <c r="AB82" s="80"/>
      <c r="AC82" s="80"/>
      <c r="AD82" s="80"/>
      <c r="AE82" s="80"/>
      <c r="AF82" s="80"/>
      <c r="AG82" s="80"/>
      <c r="AH82" s="80"/>
      <c r="AI82" s="80"/>
      <c r="AJ82" s="80"/>
      <c r="AK82" s="80"/>
      <c r="AL82" s="80"/>
      <c r="AM82" s="80"/>
      <c r="AN82" s="80"/>
      <c r="AO82" s="80"/>
      <c r="AP82" s="80"/>
      <c r="AQ82" s="80"/>
      <c r="AR82" s="80"/>
      <c r="AS82" s="80"/>
      <c r="AT82" s="80"/>
      <c r="AU82" s="80"/>
      <c r="AV82" s="80"/>
      <c r="AW82" s="80"/>
      <c r="AX82" s="80"/>
      <c r="AY82" s="80"/>
      <c r="AZ82" s="80"/>
      <c r="BA82" s="80"/>
      <c r="BB82" s="80"/>
      <c r="BC82" s="80"/>
      <c r="BD82" s="80"/>
      <c r="BE82" s="80"/>
      <c r="BF82" s="80"/>
      <c r="BG82" s="80"/>
      <c r="BH82" s="80"/>
      <c r="BI82" s="80"/>
      <c r="BJ82" s="80"/>
      <c r="BK82" s="80"/>
      <c r="BL82" s="80"/>
      <c r="BM82" s="80"/>
      <c r="BN82" s="80"/>
      <c r="BO82" s="80"/>
      <c r="BP82" s="80"/>
      <c r="BQ82" s="80"/>
      <c r="BR82" s="80"/>
      <c r="BS82" s="80"/>
      <c r="BT82" s="80"/>
    </row>
    <row r="83" spans="1:72" ht="15" x14ac:dyDescent="0.3">
      <c r="A83" s="6">
        <v>76</v>
      </c>
      <c r="B83" s="60" t="str">
        <f>IF($C83="","",IFERROR(_xlfn.XLOOKUP($C83,tblPersonal[CUIL],tblPersonal[HUB]),""))</f>
        <v/>
      </c>
      <c r="C83" s="79"/>
      <c r="D83" s="43" t="str">
        <f>IF($C83="","",IFERROR(_xlfn.XLOOKUP($C83,tblPersonal[CUIL],tblPersonal[AP]),""))</f>
        <v/>
      </c>
      <c r="E83" s="79"/>
      <c r="F83" s="79"/>
      <c r="G83" s="7" t="str">
        <f>IF(F83="","",IFERROR(VLOOKUP(TRIM(F83),FID!$A:$C,2,FALSE),""))</f>
        <v/>
      </c>
      <c r="H83" s="7" t="str">
        <f>IF(F83="","",IFERROR(VLOOKUP(TRIM(F83),FID!$A:$C,3,FALSE),""))</f>
        <v/>
      </c>
      <c r="I83" s="82" t="str" cm="1">
        <f t="array" aca="1" ref="I83" ca="1">IF(COUNTA($J83:$M83)=0,"",_xlfn.LET(
_xlpm.enc,$N$7:$CH$7,
_xlpm.tipo,$N$4:$CH$4,
_xlpm.vig,$N$5:$CH$5,
_xlpm.fec,$N83:$CH83,
_xlpm.req,(
--(UPPER(IFERROR(INDEX('Requisito x Tarea'!$C$2:$BK$101,MATCH(TRIM($J83),'Requisito x Tarea'!$B$2:$B$101,0),MATCH(_xlpm.enc,'Requisito x Tarea'!$C$1:$BK$1,0)),""))="X")
+--(UPPER(IFERROR(INDEX('Requisito x Tarea'!$C$2:$BK$101,MATCH(TRIM($K83),'Requisito x Tarea'!$B$2:$B$101,0),MATCH(_xlpm.enc,'Requisito x Tarea'!$C$1:$BK$1,0)),""))="X")
+--(UPPER(IFERROR(INDEX('Requisito x Tarea'!$C$2:$BK$101,MATCH(TRIM($L83),'Requisito x Tarea'!$B$2:$B$101,0),MATCH(_xlpm.enc,'Requisito x Tarea'!$C$1:$BK$1,0)),""))="X")
+--(UPPER(IFERROR(INDEX('Requisito x Tarea'!$C$2:$BK$101,MATCH(TRIM($M83),'Requisito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83" s="78"/>
      <c r="K83" s="78"/>
      <c r="L83" s="78"/>
      <c r="M83" s="78"/>
      <c r="N83" s="80"/>
      <c r="O83" s="80"/>
      <c r="P83" s="80"/>
      <c r="Q83" s="80"/>
      <c r="R83" s="80"/>
      <c r="S83" s="80"/>
      <c r="T83" s="80"/>
      <c r="U83" s="80"/>
      <c r="V83" s="80"/>
      <c r="W83" s="80"/>
      <c r="X83" s="80"/>
      <c r="Y83" s="80"/>
      <c r="Z83" s="80"/>
      <c r="AA83" s="80"/>
      <c r="AB83" s="80"/>
      <c r="AC83" s="80"/>
      <c r="AD83" s="80"/>
      <c r="AE83" s="80"/>
      <c r="AF83" s="80"/>
      <c r="AG83" s="80"/>
      <c r="AH83" s="80"/>
      <c r="AI83" s="80"/>
      <c r="AJ83" s="80"/>
      <c r="AK83" s="80"/>
      <c r="AL83" s="80"/>
      <c r="AM83" s="80"/>
      <c r="AN83" s="80"/>
      <c r="AO83" s="80"/>
      <c r="AP83" s="80"/>
      <c r="AQ83" s="80"/>
      <c r="AR83" s="80"/>
      <c r="AS83" s="80"/>
      <c r="AT83" s="80"/>
      <c r="AU83" s="80"/>
      <c r="AV83" s="80"/>
      <c r="AW83" s="80"/>
      <c r="AX83" s="80"/>
      <c r="AY83" s="80"/>
      <c r="AZ83" s="80"/>
      <c r="BA83" s="80"/>
      <c r="BB83" s="80"/>
      <c r="BC83" s="80"/>
      <c r="BD83" s="80"/>
      <c r="BE83" s="80"/>
      <c r="BF83" s="80"/>
      <c r="BG83" s="80"/>
      <c r="BH83" s="80"/>
      <c r="BI83" s="80"/>
      <c r="BJ83" s="80"/>
      <c r="BK83" s="80"/>
      <c r="BL83" s="80"/>
      <c r="BM83" s="80"/>
      <c r="BN83" s="80"/>
      <c r="BO83" s="80"/>
      <c r="BP83" s="80"/>
      <c r="BQ83" s="80"/>
      <c r="BR83" s="80"/>
      <c r="BS83" s="80"/>
      <c r="BT83" s="80"/>
    </row>
    <row r="84" spans="1:72" ht="15" x14ac:dyDescent="0.3">
      <c r="A84" s="6">
        <v>77</v>
      </c>
      <c r="B84" s="60" t="str">
        <f>IF($C84="","",IFERROR(_xlfn.XLOOKUP($C84,tblPersonal[CUIL],tblPersonal[HUB]),""))</f>
        <v/>
      </c>
      <c r="C84" s="79"/>
      <c r="D84" s="43" t="str">
        <f>IF($C84="","",IFERROR(_xlfn.XLOOKUP($C84,tblPersonal[CUIL],tblPersonal[AP]),""))</f>
        <v/>
      </c>
      <c r="E84" s="79"/>
      <c r="F84" s="79"/>
      <c r="G84" s="7" t="str">
        <f>IF(F84="","",IFERROR(VLOOKUP(TRIM(F84),FID!$A:$C,2,FALSE),""))</f>
        <v/>
      </c>
      <c r="H84" s="7" t="str">
        <f>IF(F84="","",IFERROR(VLOOKUP(TRIM(F84),FID!$A:$C,3,FALSE),""))</f>
        <v/>
      </c>
      <c r="I84" s="82" t="str" cm="1">
        <f t="array" aca="1" ref="I84" ca="1">IF(COUNTA($J84:$M84)=0,"",_xlfn.LET(
_xlpm.enc,$N$7:$CH$7,
_xlpm.tipo,$N$4:$CH$4,
_xlpm.vig,$N$5:$CH$5,
_xlpm.fec,$N84:$CH84,
_xlpm.req,(
--(UPPER(IFERROR(INDEX('Requisito x Tarea'!$C$2:$BK$101,MATCH(TRIM($J84),'Requisito x Tarea'!$B$2:$B$101,0),MATCH(_xlpm.enc,'Requisito x Tarea'!$C$1:$BK$1,0)),""))="X")
+--(UPPER(IFERROR(INDEX('Requisito x Tarea'!$C$2:$BK$101,MATCH(TRIM($K84),'Requisito x Tarea'!$B$2:$B$101,0),MATCH(_xlpm.enc,'Requisito x Tarea'!$C$1:$BK$1,0)),""))="X")
+--(UPPER(IFERROR(INDEX('Requisito x Tarea'!$C$2:$BK$101,MATCH(TRIM($L84),'Requisito x Tarea'!$B$2:$B$101,0),MATCH(_xlpm.enc,'Requisito x Tarea'!$C$1:$BK$1,0)),""))="X")
+--(UPPER(IFERROR(INDEX('Requisito x Tarea'!$C$2:$BK$101,MATCH(TRIM($M84),'Requisito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84" s="78"/>
      <c r="K84" s="78"/>
      <c r="L84" s="78"/>
      <c r="M84" s="78"/>
      <c r="N84" s="80"/>
      <c r="O84" s="80"/>
      <c r="P84" s="80"/>
      <c r="Q84" s="80"/>
      <c r="R84" s="80"/>
      <c r="S84" s="80"/>
      <c r="T84" s="80"/>
      <c r="U84" s="80"/>
      <c r="V84" s="80"/>
      <c r="W84" s="80"/>
      <c r="X84" s="80"/>
      <c r="Y84" s="80"/>
      <c r="Z84" s="80"/>
      <c r="AA84" s="80"/>
      <c r="AB84" s="80"/>
      <c r="AC84" s="80"/>
      <c r="AD84" s="80"/>
      <c r="AE84" s="80"/>
      <c r="AF84" s="80"/>
      <c r="AG84" s="80"/>
      <c r="AH84" s="80"/>
      <c r="AI84" s="80"/>
      <c r="AJ84" s="80"/>
      <c r="AK84" s="80"/>
      <c r="AL84" s="80"/>
      <c r="AM84" s="80"/>
      <c r="AN84" s="80"/>
      <c r="AO84" s="80"/>
      <c r="AP84" s="80"/>
      <c r="AQ84" s="80"/>
      <c r="AR84" s="80"/>
      <c r="AS84" s="80"/>
      <c r="AT84" s="80"/>
      <c r="AU84" s="80"/>
      <c r="AV84" s="80"/>
      <c r="AW84" s="80"/>
      <c r="AX84" s="80"/>
      <c r="AY84" s="80"/>
      <c r="AZ84" s="80"/>
      <c r="BA84" s="80"/>
      <c r="BB84" s="80"/>
      <c r="BC84" s="80"/>
      <c r="BD84" s="80"/>
      <c r="BE84" s="80"/>
      <c r="BF84" s="80"/>
      <c r="BG84" s="80"/>
      <c r="BH84" s="80"/>
      <c r="BI84" s="80"/>
      <c r="BJ84" s="80"/>
      <c r="BK84" s="80"/>
      <c r="BL84" s="80"/>
      <c r="BM84" s="80"/>
      <c r="BN84" s="80"/>
      <c r="BO84" s="80"/>
      <c r="BP84" s="80"/>
      <c r="BQ84" s="80"/>
      <c r="BR84" s="80"/>
      <c r="BS84" s="80"/>
      <c r="BT84" s="80"/>
    </row>
    <row r="85" spans="1:72" ht="15" x14ac:dyDescent="0.3">
      <c r="A85" s="6">
        <v>78</v>
      </c>
      <c r="B85" s="60" t="str">
        <f>IF($C85="","",IFERROR(_xlfn.XLOOKUP($C85,tblPersonal[CUIL],tblPersonal[HUB]),""))</f>
        <v/>
      </c>
      <c r="C85" s="79"/>
      <c r="D85" s="43" t="str">
        <f>IF($C85="","",IFERROR(_xlfn.XLOOKUP($C85,tblPersonal[CUIL],tblPersonal[AP]),""))</f>
        <v/>
      </c>
      <c r="E85" s="79"/>
      <c r="F85" s="79"/>
      <c r="G85" s="7" t="str">
        <f>IF(F85="","",IFERROR(VLOOKUP(TRIM(F85),FID!$A:$C,2,FALSE),""))</f>
        <v/>
      </c>
      <c r="H85" s="7" t="str">
        <f>IF(F85="","",IFERROR(VLOOKUP(TRIM(F85),FID!$A:$C,3,FALSE),""))</f>
        <v/>
      </c>
      <c r="I85" s="82" t="str" cm="1">
        <f t="array" aca="1" ref="I85" ca="1">IF(COUNTA($J85:$M85)=0,"",_xlfn.LET(
_xlpm.enc,$N$7:$CH$7,
_xlpm.tipo,$N$4:$CH$4,
_xlpm.vig,$N$5:$CH$5,
_xlpm.fec,$N85:$CH85,
_xlpm.req,(
--(UPPER(IFERROR(INDEX('Requisito x Tarea'!$C$2:$BK$101,MATCH(TRIM($J85),'Requisito x Tarea'!$B$2:$B$101,0),MATCH(_xlpm.enc,'Requisito x Tarea'!$C$1:$BK$1,0)),""))="X")
+--(UPPER(IFERROR(INDEX('Requisito x Tarea'!$C$2:$BK$101,MATCH(TRIM($K85),'Requisito x Tarea'!$B$2:$B$101,0),MATCH(_xlpm.enc,'Requisito x Tarea'!$C$1:$BK$1,0)),""))="X")
+--(UPPER(IFERROR(INDEX('Requisito x Tarea'!$C$2:$BK$101,MATCH(TRIM($L85),'Requisito x Tarea'!$B$2:$B$101,0),MATCH(_xlpm.enc,'Requisito x Tarea'!$C$1:$BK$1,0)),""))="X")
+--(UPPER(IFERROR(INDEX('Requisito x Tarea'!$C$2:$BK$101,MATCH(TRIM($M85),'Requisito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85" s="78"/>
      <c r="K85" s="78"/>
      <c r="L85" s="78"/>
      <c r="M85" s="78"/>
      <c r="N85" s="80"/>
      <c r="O85" s="80"/>
      <c r="P85" s="80"/>
      <c r="Q85" s="80"/>
      <c r="R85" s="80"/>
      <c r="S85" s="80"/>
      <c r="T85" s="80"/>
      <c r="U85" s="80"/>
      <c r="V85" s="80"/>
      <c r="W85" s="80"/>
      <c r="X85" s="80"/>
      <c r="Y85" s="80"/>
      <c r="Z85" s="80"/>
      <c r="AA85" s="80"/>
      <c r="AB85" s="80"/>
      <c r="AC85" s="80"/>
      <c r="AD85" s="80"/>
      <c r="AE85" s="80"/>
      <c r="AF85" s="80"/>
      <c r="AG85" s="80"/>
      <c r="AH85" s="80"/>
      <c r="AI85" s="80"/>
      <c r="AJ85" s="80"/>
      <c r="AK85" s="80"/>
      <c r="AL85" s="80"/>
      <c r="AM85" s="80"/>
      <c r="AN85" s="80"/>
      <c r="AO85" s="80"/>
      <c r="AP85" s="80"/>
      <c r="AQ85" s="80"/>
      <c r="AR85" s="80"/>
      <c r="AS85" s="80"/>
      <c r="AT85" s="80"/>
      <c r="AU85" s="80"/>
      <c r="AV85" s="80"/>
      <c r="AW85" s="80"/>
      <c r="AX85" s="80"/>
      <c r="AY85" s="80"/>
      <c r="AZ85" s="80"/>
      <c r="BA85" s="80"/>
      <c r="BB85" s="80"/>
      <c r="BC85" s="80"/>
      <c r="BD85" s="80"/>
      <c r="BE85" s="80"/>
      <c r="BF85" s="80"/>
      <c r="BG85" s="80"/>
      <c r="BH85" s="80"/>
      <c r="BI85" s="80"/>
      <c r="BJ85" s="80"/>
      <c r="BK85" s="80"/>
      <c r="BL85" s="80"/>
      <c r="BM85" s="80"/>
      <c r="BN85" s="80"/>
      <c r="BO85" s="80"/>
      <c r="BP85" s="80"/>
      <c r="BQ85" s="80"/>
      <c r="BR85" s="80"/>
      <c r="BS85" s="80"/>
      <c r="BT85" s="80"/>
    </row>
    <row r="86" spans="1:72" ht="15" x14ac:dyDescent="0.3">
      <c r="A86" s="6">
        <v>79</v>
      </c>
      <c r="B86" s="60" t="str">
        <f>IF($C86="","",IFERROR(_xlfn.XLOOKUP($C86,tblPersonal[CUIL],tblPersonal[HUB]),""))</f>
        <v/>
      </c>
      <c r="C86" s="79"/>
      <c r="D86" s="43" t="str">
        <f>IF($C86="","",IFERROR(_xlfn.XLOOKUP($C86,tblPersonal[CUIL],tblPersonal[AP]),""))</f>
        <v/>
      </c>
      <c r="E86" s="79"/>
      <c r="F86" s="79"/>
      <c r="G86" s="7" t="str">
        <f>IF(F86="","",IFERROR(VLOOKUP(TRIM(F86),FID!$A:$C,2,FALSE),""))</f>
        <v/>
      </c>
      <c r="H86" s="7" t="str">
        <f>IF(F86="","",IFERROR(VLOOKUP(TRIM(F86),FID!$A:$C,3,FALSE),""))</f>
        <v/>
      </c>
      <c r="I86" s="82" t="str" cm="1">
        <f t="array" aca="1" ref="I86" ca="1">IF(COUNTA($J86:$M86)=0,"",_xlfn.LET(
_xlpm.enc,$N$7:$CH$7,
_xlpm.tipo,$N$4:$CH$4,
_xlpm.vig,$N$5:$CH$5,
_xlpm.fec,$N86:$CH86,
_xlpm.req,(
--(UPPER(IFERROR(INDEX('Requisito x Tarea'!$C$2:$BK$101,MATCH(TRIM($J86),'Requisito x Tarea'!$B$2:$B$101,0),MATCH(_xlpm.enc,'Requisito x Tarea'!$C$1:$BK$1,0)),""))="X")
+--(UPPER(IFERROR(INDEX('Requisito x Tarea'!$C$2:$BK$101,MATCH(TRIM($K86),'Requisito x Tarea'!$B$2:$B$101,0),MATCH(_xlpm.enc,'Requisito x Tarea'!$C$1:$BK$1,0)),""))="X")
+--(UPPER(IFERROR(INDEX('Requisito x Tarea'!$C$2:$BK$101,MATCH(TRIM($L86),'Requisito x Tarea'!$B$2:$B$101,0),MATCH(_xlpm.enc,'Requisito x Tarea'!$C$1:$BK$1,0)),""))="X")
+--(UPPER(IFERROR(INDEX('Requisito x Tarea'!$C$2:$BK$101,MATCH(TRIM($M86),'Requisito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86" s="78"/>
      <c r="K86" s="78"/>
      <c r="L86" s="78"/>
      <c r="M86" s="78"/>
      <c r="N86" s="80"/>
      <c r="O86" s="80"/>
      <c r="P86" s="80"/>
      <c r="Q86" s="80"/>
      <c r="R86" s="80"/>
      <c r="S86" s="80"/>
      <c r="T86" s="80"/>
      <c r="U86" s="80"/>
      <c r="V86" s="80"/>
      <c r="W86" s="80"/>
      <c r="X86" s="80"/>
      <c r="Y86" s="80"/>
      <c r="Z86" s="80"/>
      <c r="AA86" s="80"/>
      <c r="AB86" s="80"/>
      <c r="AC86" s="80"/>
      <c r="AD86" s="80"/>
      <c r="AE86" s="80"/>
      <c r="AF86" s="80"/>
      <c r="AG86" s="80"/>
      <c r="AH86" s="80"/>
      <c r="AI86" s="80"/>
      <c r="AJ86" s="80"/>
      <c r="AK86" s="80"/>
      <c r="AL86" s="80"/>
      <c r="AM86" s="80"/>
      <c r="AN86" s="80"/>
      <c r="AO86" s="80"/>
      <c r="AP86" s="80"/>
      <c r="AQ86" s="80"/>
      <c r="AR86" s="80"/>
      <c r="AS86" s="80"/>
      <c r="AT86" s="80"/>
      <c r="AU86" s="80"/>
      <c r="AV86" s="80"/>
      <c r="AW86" s="80"/>
      <c r="AX86" s="80"/>
      <c r="AY86" s="80"/>
      <c r="AZ86" s="80"/>
      <c r="BA86" s="80"/>
      <c r="BB86" s="80"/>
      <c r="BC86" s="80"/>
      <c r="BD86" s="80"/>
      <c r="BE86" s="80"/>
      <c r="BF86" s="80"/>
      <c r="BG86" s="80"/>
      <c r="BH86" s="80"/>
      <c r="BI86" s="80"/>
      <c r="BJ86" s="80"/>
      <c r="BK86" s="80"/>
      <c r="BL86" s="80"/>
      <c r="BM86" s="80"/>
      <c r="BN86" s="80"/>
      <c r="BO86" s="80"/>
      <c r="BP86" s="80"/>
      <c r="BQ86" s="80"/>
      <c r="BR86" s="80"/>
      <c r="BS86" s="80"/>
      <c r="BT86" s="80"/>
    </row>
    <row r="87" spans="1:72" ht="15" x14ac:dyDescent="0.3">
      <c r="A87" s="6">
        <v>80</v>
      </c>
      <c r="B87" s="60" t="str">
        <f>IF($C87="","",IFERROR(_xlfn.XLOOKUP($C87,tblPersonal[CUIL],tblPersonal[HUB]),""))</f>
        <v/>
      </c>
      <c r="C87" s="79"/>
      <c r="D87" s="43" t="str">
        <f>IF($C87="","",IFERROR(_xlfn.XLOOKUP($C87,tblPersonal[CUIL],tblPersonal[AP]),""))</f>
        <v/>
      </c>
      <c r="E87" s="79"/>
      <c r="F87" s="79"/>
      <c r="G87" s="7" t="str">
        <f>IF(F87="","",IFERROR(VLOOKUP(TRIM(F87),FID!$A:$C,2,FALSE),""))</f>
        <v/>
      </c>
      <c r="H87" s="7" t="str">
        <f>IF(F87="","",IFERROR(VLOOKUP(TRIM(F87),FID!$A:$C,3,FALSE),""))</f>
        <v/>
      </c>
      <c r="I87" s="82" t="str" cm="1">
        <f t="array" aca="1" ref="I87" ca="1">IF(COUNTA($J87:$M87)=0,"",_xlfn.LET(
_xlpm.enc,$N$7:$CH$7,
_xlpm.tipo,$N$4:$CH$4,
_xlpm.vig,$N$5:$CH$5,
_xlpm.fec,$N87:$CH87,
_xlpm.req,(
--(UPPER(IFERROR(INDEX('Requisito x Tarea'!$C$2:$BK$101,MATCH(TRIM($J87),'Requisito x Tarea'!$B$2:$B$101,0),MATCH(_xlpm.enc,'Requisito x Tarea'!$C$1:$BK$1,0)),""))="X")
+--(UPPER(IFERROR(INDEX('Requisito x Tarea'!$C$2:$BK$101,MATCH(TRIM($K87),'Requisito x Tarea'!$B$2:$B$101,0),MATCH(_xlpm.enc,'Requisito x Tarea'!$C$1:$BK$1,0)),""))="X")
+--(UPPER(IFERROR(INDEX('Requisito x Tarea'!$C$2:$BK$101,MATCH(TRIM($L87),'Requisito x Tarea'!$B$2:$B$101,0),MATCH(_xlpm.enc,'Requisito x Tarea'!$C$1:$BK$1,0)),""))="X")
+--(UPPER(IFERROR(INDEX('Requisito x Tarea'!$C$2:$BK$101,MATCH(TRIM($M87),'Requisito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87" s="78"/>
      <c r="K87" s="78"/>
      <c r="L87" s="78"/>
      <c r="M87" s="78"/>
      <c r="N87" s="80"/>
      <c r="O87" s="80"/>
      <c r="P87" s="80"/>
      <c r="Q87" s="80"/>
      <c r="R87" s="80"/>
      <c r="S87" s="80"/>
      <c r="T87" s="80"/>
      <c r="U87" s="80"/>
      <c r="V87" s="80"/>
      <c r="W87" s="80"/>
      <c r="X87" s="80"/>
      <c r="Y87" s="80"/>
      <c r="Z87" s="80"/>
      <c r="AA87" s="80"/>
      <c r="AB87" s="80"/>
      <c r="AC87" s="80"/>
      <c r="AD87" s="80"/>
      <c r="AE87" s="80"/>
      <c r="AF87" s="80"/>
      <c r="AG87" s="80"/>
      <c r="AH87" s="80"/>
      <c r="AI87" s="80"/>
      <c r="AJ87" s="80"/>
      <c r="AK87" s="80"/>
      <c r="AL87" s="80"/>
      <c r="AM87" s="80"/>
      <c r="AN87" s="80"/>
      <c r="AO87" s="80"/>
      <c r="AP87" s="80"/>
      <c r="AQ87" s="80"/>
      <c r="AR87" s="80"/>
      <c r="AS87" s="80"/>
      <c r="AT87" s="80"/>
      <c r="AU87" s="80"/>
      <c r="AV87" s="80"/>
      <c r="AW87" s="80"/>
      <c r="AX87" s="80"/>
      <c r="AY87" s="80"/>
      <c r="AZ87" s="80"/>
      <c r="BA87" s="80"/>
      <c r="BB87" s="80"/>
      <c r="BC87" s="80"/>
      <c r="BD87" s="80"/>
      <c r="BE87" s="80"/>
      <c r="BF87" s="80"/>
      <c r="BG87" s="80"/>
      <c r="BH87" s="80"/>
      <c r="BI87" s="80"/>
      <c r="BJ87" s="80"/>
      <c r="BK87" s="80"/>
      <c r="BL87" s="80"/>
      <c r="BM87" s="80"/>
      <c r="BN87" s="80"/>
      <c r="BO87" s="80"/>
      <c r="BP87" s="80"/>
      <c r="BQ87" s="80"/>
      <c r="BR87" s="80"/>
      <c r="BS87" s="80"/>
      <c r="BT87" s="80"/>
    </row>
    <row r="88" spans="1:72" ht="15" x14ac:dyDescent="0.3">
      <c r="A88" s="6">
        <v>81</v>
      </c>
      <c r="B88" s="60" t="str">
        <f>IF($C88="","",IFERROR(_xlfn.XLOOKUP($C88,tblPersonal[CUIL],tblPersonal[HUB]),""))</f>
        <v/>
      </c>
      <c r="C88" s="79"/>
      <c r="D88" s="43" t="str">
        <f>IF($C88="","",IFERROR(_xlfn.XLOOKUP($C88,tblPersonal[CUIL],tblPersonal[AP]),""))</f>
        <v/>
      </c>
      <c r="E88" s="79"/>
      <c r="F88" s="79"/>
      <c r="G88" s="7" t="str">
        <f>IF(F88="","",IFERROR(VLOOKUP(TRIM(F88),FID!$A:$C,2,FALSE),""))</f>
        <v/>
      </c>
      <c r="H88" s="7" t="str">
        <f>IF(F88="","",IFERROR(VLOOKUP(TRIM(F88),FID!$A:$C,3,FALSE),""))</f>
        <v/>
      </c>
      <c r="I88" s="82" t="str" cm="1">
        <f t="array" aca="1" ref="I88" ca="1">IF(COUNTA($J88:$M88)=0,"",_xlfn.LET(
_xlpm.enc,$N$7:$CH$7,
_xlpm.tipo,$N$4:$CH$4,
_xlpm.vig,$N$5:$CH$5,
_xlpm.fec,$N88:$CH88,
_xlpm.req,(
--(UPPER(IFERROR(INDEX('Requisito x Tarea'!$C$2:$BK$101,MATCH(TRIM($J88),'Requisito x Tarea'!$B$2:$B$101,0),MATCH(_xlpm.enc,'Requisito x Tarea'!$C$1:$BK$1,0)),""))="X")
+--(UPPER(IFERROR(INDEX('Requisito x Tarea'!$C$2:$BK$101,MATCH(TRIM($K88),'Requisito x Tarea'!$B$2:$B$101,0),MATCH(_xlpm.enc,'Requisito x Tarea'!$C$1:$BK$1,0)),""))="X")
+--(UPPER(IFERROR(INDEX('Requisito x Tarea'!$C$2:$BK$101,MATCH(TRIM($L88),'Requisito x Tarea'!$B$2:$B$101,0),MATCH(_xlpm.enc,'Requisito x Tarea'!$C$1:$BK$1,0)),""))="X")
+--(UPPER(IFERROR(INDEX('Requisito x Tarea'!$C$2:$BK$101,MATCH(TRIM($M88),'Requisito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88" s="78"/>
      <c r="K88" s="78"/>
      <c r="L88" s="78"/>
      <c r="M88" s="78"/>
      <c r="N88" s="80"/>
      <c r="O88" s="80"/>
      <c r="P88" s="80"/>
      <c r="Q88" s="80"/>
      <c r="R88" s="80"/>
      <c r="S88" s="80"/>
      <c r="T88" s="80"/>
      <c r="U88" s="80"/>
      <c r="V88" s="80"/>
      <c r="W88" s="80"/>
      <c r="X88" s="80"/>
      <c r="Y88" s="80"/>
      <c r="Z88" s="80"/>
      <c r="AA88" s="80"/>
      <c r="AB88" s="80"/>
      <c r="AC88" s="80"/>
      <c r="AD88" s="80"/>
      <c r="AE88" s="80"/>
      <c r="AF88" s="80"/>
      <c r="AG88" s="80"/>
      <c r="AH88" s="80"/>
      <c r="AI88" s="80"/>
      <c r="AJ88" s="80"/>
      <c r="AK88" s="80"/>
      <c r="AL88" s="80"/>
      <c r="AM88" s="80"/>
      <c r="AN88" s="80"/>
      <c r="AO88" s="80"/>
      <c r="AP88" s="80"/>
      <c r="AQ88" s="80"/>
      <c r="AR88" s="80"/>
      <c r="AS88" s="80"/>
      <c r="AT88" s="80"/>
      <c r="AU88" s="80"/>
      <c r="AV88" s="80"/>
      <c r="AW88" s="80"/>
      <c r="AX88" s="80"/>
      <c r="AY88" s="80"/>
      <c r="AZ88" s="80"/>
      <c r="BA88" s="80"/>
      <c r="BB88" s="80"/>
      <c r="BC88" s="80"/>
      <c r="BD88" s="80"/>
      <c r="BE88" s="80"/>
      <c r="BF88" s="80"/>
      <c r="BG88" s="80"/>
      <c r="BH88" s="80"/>
      <c r="BI88" s="80"/>
      <c r="BJ88" s="80"/>
      <c r="BK88" s="80"/>
      <c r="BL88" s="80"/>
      <c r="BM88" s="80"/>
      <c r="BN88" s="80"/>
      <c r="BO88" s="80"/>
      <c r="BP88" s="80"/>
      <c r="BQ88" s="80"/>
      <c r="BR88" s="80"/>
      <c r="BS88" s="80"/>
      <c r="BT88" s="80"/>
    </row>
    <row r="89" spans="1:72" ht="15" x14ac:dyDescent="0.3">
      <c r="A89" s="6">
        <v>82</v>
      </c>
      <c r="B89" s="60" t="str">
        <f>IF($C89="","",IFERROR(_xlfn.XLOOKUP($C89,tblPersonal[CUIL],tblPersonal[HUB]),""))</f>
        <v/>
      </c>
      <c r="C89" s="79"/>
      <c r="D89" s="43" t="str">
        <f>IF($C89="","",IFERROR(_xlfn.XLOOKUP($C89,tblPersonal[CUIL],tblPersonal[AP]),""))</f>
        <v/>
      </c>
      <c r="E89" s="79"/>
      <c r="F89" s="79"/>
      <c r="G89" s="7" t="str">
        <f>IF(F89="","",IFERROR(VLOOKUP(TRIM(F89),FID!$A:$C,2,FALSE),""))</f>
        <v/>
      </c>
      <c r="H89" s="7" t="str">
        <f>IF(F89="","",IFERROR(VLOOKUP(TRIM(F89),FID!$A:$C,3,FALSE),""))</f>
        <v/>
      </c>
      <c r="I89" s="82" t="str" cm="1">
        <f t="array" aca="1" ref="I89" ca="1">IF(COUNTA($J89:$M89)=0,"",_xlfn.LET(
_xlpm.enc,$N$7:$CH$7,
_xlpm.tipo,$N$4:$CH$4,
_xlpm.vig,$N$5:$CH$5,
_xlpm.fec,$N89:$CH89,
_xlpm.req,(
--(UPPER(IFERROR(INDEX('Requisito x Tarea'!$C$2:$BK$101,MATCH(TRIM($J89),'Requisito x Tarea'!$B$2:$B$101,0),MATCH(_xlpm.enc,'Requisito x Tarea'!$C$1:$BK$1,0)),""))="X")
+--(UPPER(IFERROR(INDEX('Requisito x Tarea'!$C$2:$BK$101,MATCH(TRIM($K89),'Requisito x Tarea'!$B$2:$B$101,0),MATCH(_xlpm.enc,'Requisito x Tarea'!$C$1:$BK$1,0)),""))="X")
+--(UPPER(IFERROR(INDEX('Requisito x Tarea'!$C$2:$BK$101,MATCH(TRIM($L89),'Requisito x Tarea'!$B$2:$B$101,0),MATCH(_xlpm.enc,'Requisito x Tarea'!$C$1:$BK$1,0)),""))="X")
+--(UPPER(IFERROR(INDEX('Requisito x Tarea'!$C$2:$BK$101,MATCH(TRIM($M89),'Requisito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89" s="78"/>
      <c r="K89" s="78"/>
      <c r="L89" s="78"/>
      <c r="M89" s="78"/>
      <c r="N89" s="80"/>
      <c r="O89" s="80"/>
      <c r="P89" s="80"/>
      <c r="Q89" s="80"/>
      <c r="R89" s="80"/>
      <c r="S89" s="80"/>
      <c r="T89" s="80"/>
      <c r="U89" s="80"/>
      <c r="V89" s="80"/>
      <c r="W89" s="80"/>
      <c r="X89" s="80"/>
      <c r="Y89" s="80"/>
      <c r="Z89" s="80"/>
      <c r="AA89" s="80"/>
      <c r="AB89" s="80"/>
      <c r="AC89" s="80"/>
      <c r="AD89" s="80"/>
      <c r="AE89" s="80"/>
      <c r="AF89" s="80"/>
      <c r="AG89" s="80"/>
      <c r="AH89" s="80"/>
      <c r="AI89" s="80"/>
      <c r="AJ89" s="80"/>
      <c r="AK89" s="80"/>
      <c r="AL89" s="80"/>
      <c r="AM89" s="80"/>
      <c r="AN89" s="80"/>
      <c r="AO89" s="80"/>
      <c r="AP89" s="80"/>
      <c r="AQ89" s="80"/>
      <c r="AR89" s="80"/>
      <c r="AS89" s="80"/>
      <c r="AT89" s="80"/>
      <c r="AU89" s="80"/>
      <c r="AV89" s="80"/>
      <c r="AW89" s="80"/>
      <c r="AX89" s="80"/>
      <c r="AY89" s="80"/>
      <c r="AZ89" s="80"/>
      <c r="BA89" s="80"/>
      <c r="BB89" s="80"/>
      <c r="BC89" s="80"/>
      <c r="BD89" s="80"/>
      <c r="BE89" s="80"/>
      <c r="BF89" s="80"/>
      <c r="BG89" s="80"/>
      <c r="BH89" s="80"/>
      <c r="BI89" s="80"/>
      <c r="BJ89" s="80"/>
      <c r="BK89" s="80"/>
      <c r="BL89" s="80"/>
      <c r="BM89" s="80"/>
      <c r="BN89" s="80"/>
      <c r="BO89" s="80"/>
      <c r="BP89" s="80"/>
      <c r="BQ89" s="80"/>
      <c r="BR89" s="80"/>
      <c r="BS89" s="80"/>
      <c r="BT89" s="80"/>
    </row>
    <row r="90" spans="1:72" ht="15" x14ac:dyDescent="0.3">
      <c r="A90" s="6">
        <v>83</v>
      </c>
      <c r="B90" s="60" t="str">
        <f>IF($C90="","",IFERROR(_xlfn.XLOOKUP($C90,tblPersonal[CUIL],tblPersonal[HUB]),""))</f>
        <v/>
      </c>
      <c r="C90" s="79"/>
      <c r="D90" s="43" t="str">
        <f>IF($C90="","",IFERROR(_xlfn.XLOOKUP($C90,tblPersonal[CUIL],tblPersonal[AP]),""))</f>
        <v/>
      </c>
      <c r="E90" s="79"/>
      <c r="F90" s="79"/>
      <c r="G90" s="7" t="str">
        <f>IF(F90="","",IFERROR(VLOOKUP(TRIM(F90),FID!$A:$C,2,FALSE),""))</f>
        <v/>
      </c>
      <c r="H90" s="7" t="str">
        <f>IF(F90="","",IFERROR(VLOOKUP(TRIM(F90),FID!$A:$C,3,FALSE),""))</f>
        <v/>
      </c>
      <c r="I90" s="82" t="str" cm="1">
        <f t="array" aca="1" ref="I90" ca="1">IF(COUNTA($J90:$M90)=0,"",_xlfn.LET(
_xlpm.enc,$N$7:$CH$7,
_xlpm.tipo,$N$4:$CH$4,
_xlpm.vig,$N$5:$CH$5,
_xlpm.fec,$N90:$CH90,
_xlpm.req,(
--(UPPER(IFERROR(INDEX('Requisito x Tarea'!$C$2:$BK$101,MATCH(TRIM($J90),'Requisito x Tarea'!$B$2:$B$101,0),MATCH(_xlpm.enc,'Requisito x Tarea'!$C$1:$BK$1,0)),""))="X")
+--(UPPER(IFERROR(INDEX('Requisito x Tarea'!$C$2:$BK$101,MATCH(TRIM($K90),'Requisito x Tarea'!$B$2:$B$101,0),MATCH(_xlpm.enc,'Requisito x Tarea'!$C$1:$BK$1,0)),""))="X")
+--(UPPER(IFERROR(INDEX('Requisito x Tarea'!$C$2:$BK$101,MATCH(TRIM($L90),'Requisito x Tarea'!$B$2:$B$101,0),MATCH(_xlpm.enc,'Requisito x Tarea'!$C$1:$BK$1,0)),""))="X")
+--(UPPER(IFERROR(INDEX('Requisito x Tarea'!$C$2:$BK$101,MATCH(TRIM($M90),'Requisito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90" s="78"/>
      <c r="K90" s="78"/>
      <c r="L90" s="78"/>
      <c r="M90" s="78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0"/>
      <c r="AA90" s="80"/>
      <c r="AB90" s="80"/>
      <c r="AC90" s="80"/>
      <c r="AD90" s="80"/>
      <c r="AE90" s="80"/>
      <c r="AF90" s="80"/>
      <c r="AG90" s="80"/>
      <c r="AH90" s="80"/>
      <c r="AI90" s="80"/>
      <c r="AJ90" s="80"/>
      <c r="AK90" s="80"/>
      <c r="AL90" s="80"/>
      <c r="AM90" s="80"/>
      <c r="AN90" s="80"/>
      <c r="AO90" s="80"/>
      <c r="AP90" s="80"/>
      <c r="AQ90" s="80"/>
      <c r="AR90" s="80"/>
      <c r="AS90" s="80"/>
      <c r="AT90" s="80"/>
      <c r="AU90" s="80"/>
      <c r="AV90" s="80"/>
      <c r="AW90" s="80"/>
      <c r="AX90" s="80"/>
      <c r="AY90" s="80"/>
      <c r="AZ90" s="80"/>
      <c r="BA90" s="80"/>
      <c r="BB90" s="80"/>
      <c r="BC90" s="80"/>
      <c r="BD90" s="80"/>
      <c r="BE90" s="80"/>
      <c r="BF90" s="80"/>
      <c r="BG90" s="80"/>
      <c r="BH90" s="80"/>
      <c r="BI90" s="80"/>
      <c r="BJ90" s="80"/>
      <c r="BK90" s="80"/>
      <c r="BL90" s="80"/>
      <c r="BM90" s="80"/>
      <c r="BN90" s="80"/>
      <c r="BO90" s="80"/>
      <c r="BP90" s="80"/>
      <c r="BQ90" s="80"/>
      <c r="BR90" s="80"/>
      <c r="BS90" s="80"/>
      <c r="BT90" s="80"/>
    </row>
    <row r="91" spans="1:72" ht="15" x14ac:dyDescent="0.3">
      <c r="A91" s="6">
        <v>84</v>
      </c>
      <c r="B91" s="60" t="str">
        <f>IF($C91="","",IFERROR(_xlfn.XLOOKUP($C91,tblPersonal[CUIL],tblPersonal[HUB]),""))</f>
        <v/>
      </c>
      <c r="C91" s="79"/>
      <c r="D91" s="43" t="str">
        <f>IF($C91="","",IFERROR(_xlfn.XLOOKUP($C91,tblPersonal[CUIL],tblPersonal[AP]),""))</f>
        <v/>
      </c>
      <c r="E91" s="79"/>
      <c r="F91" s="79"/>
      <c r="G91" s="7" t="str">
        <f>IF(F91="","",IFERROR(VLOOKUP(TRIM(F91),FID!$A:$C,2,FALSE),""))</f>
        <v/>
      </c>
      <c r="H91" s="7" t="str">
        <f>IF(F91="","",IFERROR(VLOOKUP(TRIM(F91),FID!$A:$C,3,FALSE),""))</f>
        <v/>
      </c>
      <c r="I91" s="82" t="str" cm="1">
        <f t="array" aca="1" ref="I91" ca="1">IF(COUNTA($J91:$M91)=0,"",_xlfn.LET(
_xlpm.enc,$N$7:$CH$7,
_xlpm.tipo,$N$4:$CH$4,
_xlpm.vig,$N$5:$CH$5,
_xlpm.fec,$N91:$CH91,
_xlpm.req,(
--(UPPER(IFERROR(INDEX('Requisito x Tarea'!$C$2:$BK$101,MATCH(TRIM($J91),'Requisito x Tarea'!$B$2:$B$101,0),MATCH(_xlpm.enc,'Requisito x Tarea'!$C$1:$BK$1,0)),""))="X")
+--(UPPER(IFERROR(INDEX('Requisito x Tarea'!$C$2:$BK$101,MATCH(TRIM($K91),'Requisito x Tarea'!$B$2:$B$101,0),MATCH(_xlpm.enc,'Requisito x Tarea'!$C$1:$BK$1,0)),""))="X")
+--(UPPER(IFERROR(INDEX('Requisito x Tarea'!$C$2:$BK$101,MATCH(TRIM($L91),'Requisito x Tarea'!$B$2:$B$101,0),MATCH(_xlpm.enc,'Requisito x Tarea'!$C$1:$BK$1,0)),""))="X")
+--(UPPER(IFERROR(INDEX('Requisito x Tarea'!$C$2:$BK$101,MATCH(TRIM($M91),'Requisito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91" s="78"/>
      <c r="K91" s="78"/>
      <c r="L91" s="78"/>
      <c r="M91" s="78"/>
      <c r="N91" s="80"/>
      <c r="O91" s="80"/>
      <c r="P91" s="80"/>
      <c r="Q91" s="80"/>
      <c r="R91" s="80"/>
      <c r="S91" s="80"/>
      <c r="T91" s="80"/>
      <c r="U91" s="80"/>
      <c r="V91" s="80"/>
      <c r="W91" s="80"/>
      <c r="X91" s="80"/>
      <c r="Y91" s="80"/>
      <c r="Z91" s="80"/>
      <c r="AA91" s="80"/>
      <c r="AB91" s="80"/>
      <c r="AC91" s="80"/>
      <c r="AD91" s="80"/>
      <c r="AE91" s="80"/>
      <c r="AF91" s="80"/>
      <c r="AG91" s="80"/>
      <c r="AH91" s="80"/>
      <c r="AI91" s="80"/>
      <c r="AJ91" s="80"/>
      <c r="AK91" s="80"/>
      <c r="AL91" s="80"/>
      <c r="AM91" s="80"/>
      <c r="AN91" s="80"/>
      <c r="AO91" s="80"/>
      <c r="AP91" s="80"/>
      <c r="AQ91" s="80"/>
      <c r="AR91" s="80"/>
      <c r="AS91" s="80"/>
      <c r="AT91" s="80"/>
      <c r="AU91" s="80"/>
      <c r="AV91" s="80"/>
      <c r="AW91" s="80"/>
      <c r="AX91" s="80"/>
      <c r="AY91" s="80"/>
      <c r="AZ91" s="80"/>
      <c r="BA91" s="80"/>
      <c r="BB91" s="80"/>
      <c r="BC91" s="80"/>
      <c r="BD91" s="80"/>
      <c r="BE91" s="80"/>
      <c r="BF91" s="80"/>
      <c r="BG91" s="80"/>
      <c r="BH91" s="80"/>
      <c r="BI91" s="80"/>
      <c r="BJ91" s="80"/>
      <c r="BK91" s="80"/>
      <c r="BL91" s="80"/>
      <c r="BM91" s="80"/>
      <c r="BN91" s="80"/>
      <c r="BO91" s="80"/>
      <c r="BP91" s="80"/>
      <c r="BQ91" s="80"/>
      <c r="BR91" s="80"/>
      <c r="BS91" s="80"/>
      <c r="BT91" s="80"/>
    </row>
    <row r="92" spans="1:72" ht="15" x14ac:dyDescent="0.3">
      <c r="A92" s="6">
        <v>85</v>
      </c>
      <c r="B92" s="60" t="str">
        <f>IF($C92="","",IFERROR(_xlfn.XLOOKUP($C92,tblPersonal[CUIL],tblPersonal[HUB]),""))</f>
        <v/>
      </c>
      <c r="C92" s="79"/>
      <c r="D92" s="43" t="str">
        <f>IF($C92="","",IFERROR(_xlfn.XLOOKUP($C92,tblPersonal[CUIL],tblPersonal[AP]),""))</f>
        <v/>
      </c>
      <c r="E92" s="79"/>
      <c r="F92" s="79"/>
      <c r="G92" s="7" t="str">
        <f>IF(F92="","",IFERROR(VLOOKUP(TRIM(F92),FID!$A:$C,2,FALSE),""))</f>
        <v/>
      </c>
      <c r="H92" s="7" t="str">
        <f>IF(F92="","",IFERROR(VLOOKUP(TRIM(F92),FID!$A:$C,3,FALSE),""))</f>
        <v/>
      </c>
      <c r="I92" s="82" t="str" cm="1">
        <f t="array" aca="1" ref="I92" ca="1">IF(COUNTA($J92:$M92)=0,"",_xlfn.LET(
_xlpm.enc,$N$7:$CH$7,
_xlpm.tipo,$N$4:$CH$4,
_xlpm.vig,$N$5:$CH$5,
_xlpm.fec,$N92:$CH92,
_xlpm.req,(
--(UPPER(IFERROR(INDEX('Requisito x Tarea'!$C$2:$BK$101,MATCH(TRIM($J92),'Requisito x Tarea'!$B$2:$B$101,0),MATCH(_xlpm.enc,'Requisito x Tarea'!$C$1:$BK$1,0)),""))="X")
+--(UPPER(IFERROR(INDEX('Requisito x Tarea'!$C$2:$BK$101,MATCH(TRIM($K92),'Requisito x Tarea'!$B$2:$B$101,0),MATCH(_xlpm.enc,'Requisito x Tarea'!$C$1:$BK$1,0)),""))="X")
+--(UPPER(IFERROR(INDEX('Requisito x Tarea'!$C$2:$BK$101,MATCH(TRIM($L92),'Requisito x Tarea'!$B$2:$B$101,0),MATCH(_xlpm.enc,'Requisito x Tarea'!$C$1:$BK$1,0)),""))="X")
+--(UPPER(IFERROR(INDEX('Requisito x Tarea'!$C$2:$BK$101,MATCH(TRIM($M92),'Requisito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92" s="78"/>
      <c r="K92" s="78"/>
      <c r="L92" s="78"/>
      <c r="M92" s="78"/>
      <c r="N92" s="80"/>
      <c r="O92" s="80"/>
      <c r="P92" s="80"/>
      <c r="Q92" s="80"/>
      <c r="R92" s="80"/>
      <c r="S92" s="80"/>
      <c r="T92" s="80"/>
      <c r="U92" s="80"/>
      <c r="V92" s="80"/>
      <c r="W92" s="80"/>
      <c r="X92" s="80"/>
      <c r="Y92" s="80"/>
      <c r="Z92" s="80"/>
      <c r="AA92" s="80"/>
      <c r="AB92" s="80"/>
      <c r="AC92" s="80"/>
      <c r="AD92" s="80"/>
      <c r="AE92" s="80"/>
      <c r="AF92" s="80"/>
      <c r="AG92" s="80"/>
      <c r="AH92" s="80"/>
      <c r="AI92" s="80"/>
      <c r="AJ92" s="80"/>
      <c r="AK92" s="80"/>
      <c r="AL92" s="80"/>
      <c r="AM92" s="80"/>
      <c r="AN92" s="80"/>
      <c r="AO92" s="80"/>
      <c r="AP92" s="80"/>
      <c r="AQ92" s="80"/>
      <c r="AR92" s="80"/>
      <c r="AS92" s="80"/>
      <c r="AT92" s="80"/>
      <c r="AU92" s="80"/>
      <c r="AV92" s="80"/>
      <c r="AW92" s="80"/>
      <c r="AX92" s="80"/>
      <c r="AY92" s="80"/>
      <c r="AZ92" s="80"/>
      <c r="BA92" s="80"/>
      <c r="BB92" s="80"/>
      <c r="BC92" s="80"/>
      <c r="BD92" s="80"/>
      <c r="BE92" s="80"/>
      <c r="BF92" s="80"/>
      <c r="BG92" s="80"/>
      <c r="BH92" s="80"/>
      <c r="BI92" s="80"/>
      <c r="BJ92" s="80"/>
      <c r="BK92" s="80"/>
      <c r="BL92" s="80"/>
      <c r="BM92" s="80"/>
      <c r="BN92" s="80"/>
      <c r="BO92" s="80"/>
      <c r="BP92" s="80"/>
      <c r="BQ92" s="80"/>
      <c r="BR92" s="80"/>
      <c r="BS92" s="80"/>
      <c r="BT92" s="80"/>
    </row>
    <row r="93" spans="1:72" ht="15" x14ac:dyDescent="0.3">
      <c r="A93" s="6">
        <v>86</v>
      </c>
      <c r="B93" s="60" t="str">
        <f>IF($C93="","",IFERROR(_xlfn.XLOOKUP($C93,tblPersonal[CUIL],tblPersonal[HUB]),""))</f>
        <v/>
      </c>
      <c r="C93" s="79"/>
      <c r="D93" s="43" t="str">
        <f>IF($C93="","",IFERROR(_xlfn.XLOOKUP($C93,tblPersonal[CUIL],tblPersonal[AP]),""))</f>
        <v/>
      </c>
      <c r="E93" s="79"/>
      <c r="F93" s="79"/>
      <c r="G93" s="7" t="str">
        <f>IF(F93="","",IFERROR(VLOOKUP(TRIM(F93),FID!$A:$C,2,FALSE),""))</f>
        <v/>
      </c>
      <c r="H93" s="7" t="str">
        <f>IF(F93="","",IFERROR(VLOOKUP(TRIM(F93),FID!$A:$C,3,FALSE),""))</f>
        <v/>
      </c>
      <c r="I93" s="82" t="str" cm="1">
        <f t="array" aca="1" ref="I93" ca="1">IF(COUNTA($J93:$M93)=0,"",_xlfn.LET(
_xlpm.enc,$N$7:$CH$7,
_xlpm.tipo,$N$4:$CH$4,
_xlpm.vig,$N$5:$CH$5,
_xlpm.fec,$N93:$CH93,
_xlpm.req,(
--(UPPER(IFERROR(INDEX('Requisito x Tarea'!$C$2:$BK$101,MATCH(TRIM($J93),'Requisito x Tarea'!$B$2:$B$101,0),MATCH(_xlpm.enc,'Requisito x Tarea'!$C$1:$BK$1,0)),""))="X")
+--(UPPER(IFERROR(INDEX('Requisito x Tarea'!$C$2:$BK$101,MATCH(TRIM($K93),'Requisito x Tarea'!$B$2:$B$101,0),MATCH(_xlpm.enc,'Requisito x Tarea'!$C$1:$BK$1,0)),""))="X")
+--(UPPER(IFERROR(INDEX('Requisito x Tarea'!$C$2:$BK$101,MATCH(TRIM($L93),'Requisito x Tarea'!$B$2:$B$101,0),MATCH(_xlpm.enc,'Requisito x Tarea'!$C$1:$BK$1,0)),""))="X")
+--(UPPER(IFERROR(INDEX('Requisito x Tarea'!$C$2:$BK$101,MATCH(TRIM($M93),'Requisito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93" s="78"/>
      <c r="K93" s="78"/>
      <c r="L93" s="78"/>
      <c r="M93" s="78"/>
      <c r="N93" s="80"/>
      <c r="O93" s="80"/>
      <c r="P93" s="80"/>
      <c r="Q93" s="80"/>
      <c r="R93" s="80"/>
      <c r="S93" s="80"/>
      <c r="T93" s="80"/>
      <c r="U93" s="80"/>
      <c r="V93" s="80"/>
      <c r="W93" s="80"/>
      <c r="X93" s="80"/>
      <c r="Y93" s="80"/>
      <c r="Z93" s="80"/>
      <c r="AA93" s="80"/>
      <c r="AB93" s="80"/>
      <c r="AC93" s="80"/>
      <c r="AD93" s="80"/>
      <c r="AE93" s="80"/>
      <c r="AF93" s="80"/>
      <c r="AG93" s="80"/>
      <c r="AH93" s="80"/>
      <c r="AI93" s="80"/>
      <c r="AJ93" s="80"/>
      <c r="AK93" s="80"/>
      <c r="AL93" s="80"/>
      <c r="AM93" s="80"/>
      <c r="AN93" s="80"/>
      <c r="AO93" s="80"/>
      <c r="AP93" s="80"/>
      <c r="AQ93" s="80"/>
      <c r="AR93" s="80"/>
      <c r="AS93" s="80"/>
      <c r="AT93" s="80"/>
      <c r="AU93" s="80"/>
      <c r="AV93" s="80"/>
      <c r="AW93" s="80"/>
      <c r="AX93" s="80"/>
      <c r="AY93" s="80"/>
      <c r="AZ93" s="80"/>
      <c r="BA93" s="80"/>
      <c r="BB93" s="80"/>
      <c r="BC93" s="80"/>
      <c r="BD93" s="80"/>
      <c r="BE93" s="80"/>
      <c r="BF93" s="80"/>
      <c r="BG93" s="80"/>
      <c r="BH93" s="80"/>
      <c r="BI93" s="80"/>
      <c r="BJ93" s="80"/>
      <c r="BK93" s="80"/>
      <c r="BL93" s="80"/>
      <c r="BM93" s="80"/>
      <c r="BN93" s="80"/>
      <c r="BO93" s="80"/>
      <c r="BP93" s="80"/>
      <c r="BQ93" s="80"/>
      <c r="BR93" s="80"/>
      <c r="BS93" s="80"/>
      <c r="BT93" s="80"/>
    </row>
    <row r="94" spans="1:72" ht="15" x14ac:dyDescent="0.3">
      <c r="A94" s="6">
        <v>87</v>
      </c>
      <c r="B94" s="60" t="str">
        <f>IF($C94="","",IFERROR(_xlfn.XLOOKUP($C94,tblPersonal[CUIL],tblPersonal[HUB]),""))</f>
        <v/>
      </c>
      <c r="C94" s="79"/>
      <c r="D94" s="43" t="str">
        <f>IF($C94="","",IFERROR(_xlfn.XLOOKUP($C94,tblPersonal[CUIL],tblPersonal[AP]),""))</f>
        <v/>
      </c>
      <c r="E94" s="79"/>
      <c r="F94" s="79"/>
      <c r="G94" s="7" t="str">
        <f>IF(F94="","",IFERROR(VLOOKUP(TRIM(F94),FID!$A:$C,2,FALSE),""))</f>
        <v/>
      </c>
      <c r="H94" s="7" t="str">
        <f>IF(F94="","",IFERROR(VLOOKUP(TRIM(F94),FID!$A:$C,3,FALSE),""))</f>
        <v/>
      </c>
      <c r="I94" s="82" t="str" cm="1">
        <f t="array" aca="1" ref="I94" ca="1">IF(COUNTA($J94:$M94)=0,"",_xlfn.LET(
_xlpm.enc,$N$7:$CH$7,
_xlpm.tipo,$N$4:$CH$4,
_xlpm.vig,$N$5:$CH$5,
_xlpm.fec,$N94:$CH94,
_xlpm.req,(
--(UPPER(IFERROR(INDEX('Requisito x Tarea'!$C$2:$BK$101,MATCH(TRIM($J94),'Requisito x Tarea'!$B$2:$B$101,0),MATCH(_xlpm.enc,'Requisito x Tarea'!$C$1:$BK$1,0)),""))="X")
+--(UPPER(IFERROR(INDEX('Requisito x Tarea'!$C$2:$BK$101,MATCH(TRIM($K94),'Requisito x Tarea'!$B$2:$B$101,0),MATCH(_xlpm.enc,'Requisito x Tarea'!$C$1:$BK$1,0)),""))="X")
+--(UPPER(IFERROR(INDEX('Requisito x Tarea'!$C$2:$BK$101,MATCH(TRIM($L94),'Requisito x Tarea'!$B$2:$B$101,0),MATCH(_xlpm.enc,'Requisito x Tarea'!$C$1:$BK$1,0)),""))="X")
+--(UPPER(IFERROR(INDEX('Requisito x Tarea'!$C$2:$BK$101,MATCH(TRIM($M94),'Requisito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94" s="78"/>
      <c r="K94" s="78"/>
      <c r="L94" s="78"/>
      <c r="M94" s="78"/>
      <c r="N94" s="80"/>
      <c r="O94" s="80"/>
      <c r="P94" s="80"/>
      <c r="Q94" s="80"/>
      <c r="R94" s="80"/>
      <c r="S94" s="80"/>
      <c r="T94" s="80"/>
      <c r="U94" s="80"/>
      <c r="V94" s="80"/>
      <c r="W94" s="80"/>
      <c r="X94" s="80"/>
      <c r="Y94" s="80"/>
      <c r="Z94" s="80"/>
      <c r="AA94" s="80"/>
      <c r="AB94" s="80"/>
      <c r="AC94" s="80"/>
      <c r="AD94" s="80"/>
      <c r="AE94" s="80"/>
      <c r="AF94" s="80"/>
      <c r="AG94" s="80"/>
      <c r="AH94" s="80"/>
      <c r="AI94" s="80"/>
      <c r="AJ94" s="80"/>
      <c r="AK94" s="80"/>
      <c r="AL94" s="80"/>
      <c r="AM94" s="80"/>
      <c r="AN94" s="80"/>
      <c r="AO94" s="80"/>
      <c r="AP94" s="80"/>
      <c r="AQ94" s="80"/>
      <c r="AR94" s="80"/>
      <c r="AS94" s="80"/>
      <c r="AT94" s="80"/>
      <c r="AU94" s="80"/>
      <c r="AV94" s="80"/>
      <c r="AW94" s="80"/>
      <c r="AX94" s="80"/>
      <c r="AY94" s="80"/>
      <c r="AZ94" s="80"/>
      <c r="BA94" s="80"/>
      <c r="BB94" s="80"/>
      <c r="BC94" s="80"/>
      <c r="BD94" s="80"/>
      <c r="BE94" s="80"/>
      <c r="BF94" s="80"/>
      <c r="BG94" s="80"/>
      <c r="BH94" s="80"/>
      <c r="BI94" s="80"/>
      <c r="BJ94" s="80"/>
      <c r="BK94" s="80"/>
      <c r="BL94" s="80"/>
      <c r="BM94" s="80"/>
      <c r="BN94" s="80"/>
      <c r="BO94" s="80"/>
      <c r="BP94" s="80"/>
      <c r="BQ94" s="80"/>
      <c r="BR94" s="80"/>
      <c r="BS94" s="80"/>
      <c r="BT94" s="80"/>
    </row>
    <row r="95" spans="1:72" ht="15" x14ac:dyDescent="0.3">
      <c r="A95" s="6">
        <v>88</v>
      </c>
      <c r="B95" s="60" t="str">
        <f>IF($C95="","",IFERROR(_xlfn.XLOOKUP($C95,tblPersonal[CUIL],tblPersonal[HUB]),""))</f>
        <v/>
      </c>
      <c r="C95" s="79"/>
      <c r="D95" s="43" t="str">
        <f>IF($C95="","",IFERROR(_xlfn.XLOOKUP($C95,tblPersonal[CUIL],tblPersonal[AP]),""))</f>
        <v/>
      </c>
      <c r="E95" s="79"/>
      <c r="F95" s="79"/>
      <c r="G95" s="7" t="str">
        <f>IF(F95="","",IFERROR(VLOOKUP(TRIM(F95),FID!$A:$C,2,FALSE),""))</f>
        <v/>
      </c>
      <c r="H95" s="7" t="str">
        <f>IF(F95="","",IFERROR(VLOOKUP(TRIM(F95),FID!$A:$C,3,FALSE),""))</f>
        <v/>
      </c>
      <c r="I95" s="82" t="str" cm="1">
        <f t="array" aca="1" ref="I95" ca="1">IF(COUNTA($J95:$M95)=0,"",_xlfn.LET(
_xlpm.enc,$N$7:$CH$7,
_xlpm.tipo,$N$4:$CH$4,
_xlpm.vig,$N$5:$CH$5,
_xlpm.fec,$N95:$CH95,
_xlpm.req,(
--(UPPER(IFERROR(INDEX('Requisito x Tarea'!$C$2:$BK$101,MATCH(TRIM($J95),'Requisito x Tarea'!$B$2:$B$101,0),MATCH(_xlpm.enc,'Requisito x Tarea'!$C$1:$BK$1,0)),""))="X")
+--(UPPER(IFERROR(INDEX('Requisito x Tarea'!$C$2:$BK$101,MATCH(TRIM($K95),'Requisito x Tarea'!$B$2:$B$101,0),MATCH(_xlpm.enc,'Requisito x Tarea'!$C$1:$BK$1,0)),""))="X")
+--(UPPER(IFERROR(INDEX('Requisito x Tarea'!$C$2:$BK$101,MATCH(TRIM($L95),'Requisito x Tarea'!$B$2:$B$101,0),MATCH(_xlpm.enc,'Requisito x Tarea'!$C$1:$BK$1,0)),""))="X")
+--(UPPER(IFERROR(INDEX('Requisito x Tarea'!$C$2:$BK$101,MATCH(TRIM($M95),'Requisito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95" s="78"/>
      <c r="K95" s="78"/>
      <c r="L95" s="78"/>
      <c r="M95" s="78"/>
      <c r="N95" s="80"/>
      <c r="O95" s="80"/>
      <c r="P95" s="80"/>
      <c r="Q95" s="80"/>
      <c r="R95" s="80"/>
      <c r="S95" s="80"/>
      <c r="T95" s="80"/>
      <c r="U95" s="80"/>
      <c r="V95" s="80"/>
      <c r="W95" s="80"/>
      <c r="X95" s="80"/>
      <c r="Y95" s="80"/>
      <c r="Z95" s="80"/>
      <c r="AA95" s="80"/>
      <c r="AB95" s="80"/>
      <c r="AC95" s="80"/>
      <c r="AD95" s="80"/>
      <c r="AE95" s="80"/>
      <c r="AF95" s="80"/>
      <c r="AG95" s="80"/>
      <c r="AH95" s="80"/>
      <c r="AI95" s="80"/>
      <c r="AJ95" s="80"/>
      <c r="AK95" s="80"/>
      <c r="AL95" s="80"/>
      <c r="AM95" s="80"/>
      <c r="AN95" s="80"/>
      <c r="AO95" s="80"/>
      <c r="AP95" s="80"/>
      <c r="AQ95" s="80"/>
      <c r="AR95" s="80"/>
      <c r="AS95" s="80"/>
      <c r="AT95" s="80"/>
      <c r="AU95" s="80"/>
      <c r="AV95" s="80"/>
      <c r="AW95" s="80"/>
      <c r="AX95" s="80"/>
      <c r="AY95" s="80"/>
      <c r="AZ95" s="80"/>
      <c r="BA95" s="80"/>
      <c r="BB95" s="80"/>
      <c r="BC95" s="80"/>
      <c r="BD95" s="80"/>
      <c r="BE95" s="80"/>
      <c r="BF95" s="80"/>
      <c r="BG95" s="80"/>
      <c r="BH95" s="80"/>
      <c r="BI95" s="80"/>
      <c r="BJ95" s="80"/>
      <c r="BK95" s="80"/>
      <c r="BL95" s="80"/>
      <c r="BM95" s="80"/>
      <c r="BN95" s="80"/>
      <c r="BO95" s="80"/>
      <c r="BP95" s="80"/>
      <c r="BQ95" s="80"/>
      <c r="BR95" s="80"/>
      <c r="BS95" s="80"/>
      <c r="BT95" s="80"/>
    </row>
    <row r="96" spans="1:72" ht="15" x14ac:dyDescent="0.3">
      <c r="A96" s="6">
        <v>89</v>
      </c>
      <c r="B96" s="60" t="str">
        <f>IF($C96="","",IFERROR(_xlfn.XLOOKUP($C96,tblPersonal[CUIL],tblPersonal[HUB]),""))</f>
        <v/>
      </c>
      <c r="C96" s="79"/>
      <c r="D96" s="43" t="str">
        <f>IF($C96="","",IFERROR(_xlfn.XLOOKUP($C96,tblPersonal[CUIL],tblPersonal[AP]),""))</f>
        <v/>
      </c>
      <c r="E96" s="79"/>
      <c r="F96" s="79"/>
      <c r="G96" s="7" t="str">
        <f>IF(F96="","",IFERROR(VLOOKUP(TRIM(F96),FID!$A:$C,2,FALSE),""))</f>
        <v/>
      </c>
      <c r="H96" s="7" t="str">
        <f>IF(F96="","",IFERROR(VLOOKUP(TRIM(F96),FID!$A:$C,3,FALSE),""))</f>
        <v/>
      </c>
      <c r="I96" s="82" t="str" cm="1">
        <f t="array" aca="1" ref="I96" ca="1">IF(COUNTA($J96:$M96)=0,"",_xlfn.LET(
_xlpm.enc,$N$7:$CH$7,
_xlpm.tipo,$N$4:$CH$4,
_xlpm.vig,$N$5:$CH$5,
_xlpm.fec,$N96:$CH96,
_xlpm.req,(
--(UPPER(IFERROR(INDEX('Requisito x Tarea'!$C$2:$BK$101,MATCH(TRIM($J96),'Requisito x Tarea'!$B$2:$B$101,0),MATCH(_xlpm.enc,'Requisito x Tarea'!$C$1:$BK$1,0)),""))="X")
+--(UPPER(IFERROR(INDEX('Requisito x Tarea'!$C$2:$BK$101,MATCH(TRIM($K96),'Requisito x Tarea'!$B$2:$B$101,0),MATCH(_xlpm.enc,'Requisito x Tarea'!$C$1:$BK$1,0)),""))="X")
+--(UPPER(IFERROR(INDEX('Requisito x Tarea'!$C$2:$BK$101,MATCH(TRIM($L96),'Requisito x Tarea'!$B$2:$B$101,0),MATCH(_xlpm.enc,'Requisito x Tarea'!$C$1:$BK$1,0)),""))="X")
+--(UPPER(IFERROR(INDEX('Requisito x Tarea'!$C$2:$BK$101,MATCH(TRIM($M96),'Requisito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96" s="78"/>
      <c r="K96" s="78"/>
      <c r="L96" s="78"/>
      <c r="M96" s="78"/>
      <c r="N96" s="80"/>
      <c r="O96" s="80"/>
      <c r="P96" s="80"/>
      <c r="Q96" s="80"/>
      <c r="R96" s="80"/>
      <c r="S96" s="80"/>
      <c r="T96" s="80"/>
      <c r="U96" s="80"/>
      <c r="V96" s="80"/>
      <c r="W96" s="80"/>
      <c r="X96" s="80"/>
      <c r="Y96" s="80"/>
      <c r="Z96" s="80"/>
      <c r="AA96" s="80"/>
      <c r="AB96" s="80"/>
      <c r="AC96" s="80"/>
      <c r="AD96" s="80"/>
      <c r="AE96" s="80"/>
      <c r="AF96" s="80"/>
      <c r="AG96" s="80"/>
      <c r="AH96" s="80"/>
      <c r="AI96" s="80"/>
      <c r="AJ96" s="80"/>
      <c r="AK96" s="80"/>
      <c r="AL96" s="80"/>
      <c r="AM96" s="80"/>
      <c r="AN96" s="80"/>
      <c r="AO96" s="80"/>
      <c r="AP96" s="80"/>
      <c r="AQ96" s="80"/>
      <c r="AR96" s="80"/>
      <c r="AS96" s="80"/>
      <c r="AT96" s="80"/>
      <c r="AU96" s="80"/>
      <c r="AV96" s="80"/>
      <c r="AW96" s="80"/>
      <c r="AX96" s="80"/>
      <c r="AY96" s="80"/>
      <c r="AZ96" s="80"/>
      <c r="BA96" s="80"/>
      <c r="BB96" s="80"/>
      <c r="BC96" s="80"/>
      <c r="BD96" s="80"/>
      <c r="BE96" s="80"/>
      <c r="BF96" s="80"/>
      <c r="BG96" s="80"/>
      <c r="BH96" s="80"/>
      <c r="BI96" s="80"/>
      <c r="BJ96" s="80"/>
      <c r="BK96" s="80"/>
      <c r="BL96" s="80"/>
      <c r="BM96" s="80"/>
      <c r="BN96" s="80"/>
      <c r="BO96" s="80"/>
      <c r="BP96" s="80"/>
      <c r="BQ96" s="80"/>
      <c r="BR96" s="80"/>
      <c r="BS96" s="80"/>
      <c r="BT96" s="80"/>
    </row>
    <row r="97" spans="1:74" ht="15" x14ac:dyDescent="0.3">
      <c r="A97" s="6">
        <v>90</v>
      </c>
      <c r="B97" s="60" t="str">
        <f>IF($C97="","",IFERROR(_xlfn.XLOOKUP($C97,tblPersonal[CUIL],tblPersonal[HUB]),""))</f>
        <v/>
      </c>
      <c r="C97" s="79"/>
      <c r="D97" s="43" t="str">
        <f>IF($C97="","",IFERROR(_xlfn.XLOOKUP($C97,tblPersonal[CUIL],tblPersonal[AP]),""))</f>
        <v/>
      </c>
      <c r="E97" s="79"/>
      <c r="F97" s="79"/>
      <c r="G97" s="7" t="str">
        <f>IF(F97="","",IFERROR(VLOOKUP(TRIM(F97),FID!$A:$C,2,FALSE),""))</f>
        <v/>
      </c>
      <c r="H97" s="7" t="str">
        <f>IF(F97="","",IFERROR(VLOOKUP(TRIM(F97),FID!$A:$C,3,FALSE),""))</f>
        <v/>
      </c>
      <c r="I97" s="82" t="str" cm="1">
        <f t="array" aca="1" ref="I97" ca="1">IF(COUNTA($J97:$M97)=0,"",_xlfn.LET(
_xlpm.enc,$N$7:$CH$7,
_xlpm.tipo,$N$4:$CH$4,
_xlpm.vig,$N$5:$CH$5,
_xlpm.fec,$N97:$CH97,
_xlpm.req,(
--(UPPER(IFERROR(INDEX('Requisito x Tarea'!$C$2:$BK$101,MATCH(TRIM($J97),'Requisito x Tarea'!$B$2:$B$101,0),MATCH(_xlpm.enc,'Requisito x Tarea'!$C$1:$BK$1,0)),""))="X")
+--(UPPER(IFERROR(INDEX('Requisito x Tarea'!$C$2:$BK$101,MATCH(TRIM($K97),'Requisito x Tarea'!$B$2:$B$101,0),MATCH(_xlpm.enc,'Requisito x Tarea'!$C$1:$BK$1,0)),""))="X")
+--(UPPER(IFERROR(INDEX('Requisito x Tarea'!$C$2:$BK$101,MATCH(TRIM($L97),'Requisito x Tarea'!$B$2:$B$101,0),MATCH(_xlpm.enc,'Requisito x Tarea'!$C$1:$BK$1,0)),""))="X")
+--(UPPER(IFERROR(INDEX('Requisito x Tarea'!$C$2:$BK$101,MATCH(TRIM($M97),'Requisito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97" s="78"/>
      <c r="K97" s="78"/>
      <c r="L97" s="78"/>
      <c r="M97" s="78"/>
      <c r="N97" s="80"/>
      <c r="O97" s="80"/>
      <c r="P97" s="80"/>
      <c r="Q97" s="80"/>
      <c r="R97" s="80"/>
      <c r="S97" s="80"/>
      <c r="T97" s="80"/>
      <c r="U97" s="80"/>
      <c r="V97" s="80"/>
      <c r="W97" s="80"/>
      <c r="X97" s="80"/>
      <c r="Y97" s="80"/>
      <c r="Z97" s="80"/>
      <c r="AA97" s="80"/>
      <c r="AB97" s="80"/>
      <c r="AC97" s="80"/>
      <c r="AD97" s="80"/>
      <c r="AE97" s="80"/>
      <c r="AF97" s="80"/>
      <c r="AG97" s="80"/>
      <c r="AH97" s="80"/>
      <c r="AI97" s="80"/>
      <c r="AJ97" s="80"/>
      <c r="AK97" s="80"/>
      <c r="AL97" s="80"/>
      <c r="AM97" s="80"/>
      <c r="AN97" s="80"/>
      <c r="AO97" s="80"/>
      <c r="AP97" s="80"/>
      <c r="AQ97" s="80"/>
      <c r="AR97" s="80"/>
      <c r="AS97" s="80"/>
      <c r="AT97" s="80"/>
      <c r="AU97" s="80"/>
      <c r="AV97" s="80"/>
      <c r="AW97" s="80"/>
      <c r="AX97" s="80"/>
      <c r="AY97" s="80"/>
      <c r="AZ97" s="80"/>
      <c r="BA97" s="80"/>
      <c r="BB97" s="80"/>
      <c r="BC97" s="80"/>
      <c r="BD97" s="80"/>
      <c r="BE97" s="80"/>
      <c r="BF97" s="80"/>
      <c r="BG97" s="80"/>
      <c r="BH97" s="80"/>
      <c r="BI97" s="80"/>
      <c r="BJ97" s="80"/>
      <c r="BK97" s="80"/>
      <c r="BL97" s="80"/>
      <c r="BM97" s="80"/>
      <c r="BN97" s="80"/>
      <c r="BO97" s="80"/>
      <c r="BP97" s="80"/>
      <c r="BQ97" s="80"/>
      <c r="BR97" s="80"/>
      <c r="BS97" s="80"/>
      <c r="BT97" s="80"/>
    </row>
    <row r="98" spans="1:74" ht="15" x14ac:dyDescent="0.3">
      <c r="A98" s="6">
        <v>91</v>
      </c>
      <c r="B98" s="60" t="str">
        <f>IF($C98="","",IFERROR(_xlfn.XLOOKUP($C98,tblPersonal[CUIL],tblPersonal[HUB]),""))</f>
        <v/>
      </c>
      <c r="C98" s="79"/>
      <c r="D98" s="43" t="str">
        <f>IF($C98="","",IFERROR(_xlfn.XLOOKUP($C98,tblPersonal[CUIL],tblPersonal[AP]),""))</f>
        <v/>
      </c>
      <c r="E98" s="79"/>
      <c r="F98" s="79"/>
      <c r="G98" s="7" t="str">
        <f>IF(F98="","",IFERROR(VLOOKUP(TRIM(F98),FID!$A:$C,2,FALSE),""))</f>
        <v/>
      </c>
      <c r="H98" s="7" t="str">
        <f>IF(F98="","",IFERROR(VLOOKUP(TRIM(F98),FID!$A:$C,3,FALSE),""))</f>
        <v/>
      </c>
      <c r="I98" s="82" t="str" cm="1">
        <f t="array" aca="1" ref="I98" ca="1">IF(COUNTA($J98:$M98)=0,"",_xlfn.LET(
_xlpm.enc,$N$7:$CH$7,
_xlpm.tipo,$N$4:$CH$4,
_xlpm.vig,$N$5:$CH$5,
_xlpm.fec,$N98:$CH98,
_xlpm.req,(
--(UPPER(IFERROR(INDEX('Requisito x Tarea'!$C$2:$BK$101,MATCH(TRIM($J98),'Requisito x Tarea'!$B$2:$B$101,0),MATCH(_xlpm.enc,'Requisito x Tarea'!$C$1:$BK$1,0)),""))="X")
+--(UPPER(IFERROR(INDEX('Requisito x Tarea'!$C$2:$BK$101,MATCH(TRIM($K98),'Requisito x Tarea'!$B$2:$B$101,0),MATCH(_xlpm.enc,'Requisito x Tarea'!$C$1:$BK$1,0)),""))="X")
+--(UPPER(IFERROR(INDEX('Requisito x Tarea'!$C$2:$BK$101,MATCH(TRIM($L98),'Requisito x Tarea'!$B$2:$B$101,0),MATCH(_xlpm.enc,'Requisito x Tarea'!$C$1:$BK$1,0)),""))="X")
+--(UPPER(IFERROR(INDEX('Requisito x Tarea'!$C$2:$BK$101,MATCH(TRIM($M98),'Requisito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98" s="78"/>
      <c r="K98" s="78"/>
      <c r="L98" s="78"/>
      <c r="M98" s="78"/>
      <c r="N98" s="80"/>
      <c r="O98" s="80"/>
      <c r="P98" s="80"/>
      <c r="Q98" s="80"/>
      <c r="R98" s="80"/>
      <c r="S98" s="80"/>
      <c r="T98" s="80"/>
      <c r="U98" s="80"/>
      <c r="V98" s="80"/>
      <c r="W98" s="80"/>
      <c r="X98" s="80"/>
      <c r="Y98" s="80"/>
      <c r="Z98" s="80"/>
      <c r="AA98" s="80"/>
      <c r="AB98" s="80"/>
      <c r="AC98" s="80"/>
      <c r="AD98" s="80"/>
      <c r="AE98" s="80"/>
      <c r="AF98" s="80"/>
      <c r="AG98" s="80"/>
      <c r="AH98" s="80"/>
      <c r="AI98" s="80"/>
      <c r="AJ98" s="80"/>
      <c r="AK98" s="80"/>
      <c r="AL98" s="80"/>
      <c r="AM98" s="80"/>
      <c r="AN98" s="80"/>
      <c r="AO98" s="80"/>
      <c r="AP98" s="80"/>
      <c r="AQ98" s="80"/>
      <c r="AR98" s="80"/>
      <c r="AS98" s="80"/>
      <c r="AT98" s="80"/>
      <c r="AU98" s="80"/>
      <c r="AV98" s="80"/>
      <c r="AW98" s="80"/>
      <c r="AX98" s="80"/>
      <c r="AY98" s="80"/>
      <c r="AZ98" s="80"/>
      <c r="BA98" s="80"/>
      <c r="BB98" s="80"/>
      <c r="BC98" s="80"/>
      <c r="BD98" s="80"/>
      <c r="BE98" s="80"/>
      <c r="BF98" s="80"/>
      <c r="BG98" s="80"/>
      <c r="BH98" s="80"/>
      <c r="BI98" s="80"/>
      <c r="BJ98" s="80"/>
      <c r="BK98" s="80"/>
      <c r="BL98" s="80"/>
      <c r="BM98" s="80"/>
      <c r="BN98" s="80"/>
      <c r="BO98" s="80"/>
      <c r="BP98" s="80"/>
      <c r="BQ98" s="80"/>
      <c r="BR98" s="80"/>
      <c r="BS98" s="80"/>
      <c r="BT98" s="80"/>
    </row>
    <row r="99" spans="1:74" ht="15" x14ac:dyDescent="0.3">
      <c r="A99" s="6">
        <v>92</v>
      </c>
      <c r="B99" s="60" t="str">
        <f>IF($C99="","",IFERROR(_xlfn.XLOOKUP($C99,tblPersonal[CUIL],tblPersonal[HUB]),""))</f>
        <v/>
      </c>
      <c r="C99" s="79"/>
      <c r="D99" s="43" t="str">
        <f>IF($C99="","",IFERROR(_xlfn.XLOOKUP($C99,tblPersonal[CUIL],tblPersonal[AP]),""))</f>
        <v/>
      </c>
      <c r="E99" s="79"/>
      <c r="F99" s="79"/>
      <c r="G99" s="7" t="str">
        <f>IF(F99="","",IFERROR(VLOOKUP(TRIM(F99),FID!$A:$C,2,FALSE),""))</f>
        <v/>
      </c>
      <c r="H99" s="7" t="str">
        <f>IF(F99="","",IFERROR(VLOOKUP(TRIM(F99),FID!$A:$C,3,FALSE),""))</f>
        <v/>
      </c>
      <c r="I99" s="82" t="str" cm="1">
        <f t="array" aca="1" ref="I99" ca="1">IF(COUNTA($J99:$M99)=0,"",_xlfn.LET(
_xlpm.enc,$N$7:$CH$7,
_xlpm.tipo,$N$4:$CH$4,
_xlpm.vig,$N$5:$CH$5,
_xlpm.fec,$N99:$CH99,
_xlpm.req,(
--(UPPER(IFERROR(INDEX('Requisito x Tarea'!$C$2:$BK$101,MATCH(TRIM($J99),'Requisito x Tarea'!$B$2:$B$101,0),MATCH(_xlpm.enc,'Requisito x Tarea'!$C$1:$BK$1,0)),""))="X")
+--(UPPER(IFERROR(INDEX('Requisito x Tarea'!$C$2:$BK$101,MATCH(TRIM($K99),'Requisito x Tarea'!$B$2:$B$101,0),MATCH(_xlpm.enc,'Requisito x Tarea'!$C$1:$BK$1,0)),""))="X")
+--(UPPER(IFERROR(INDEX('Requisito x Tarea'!$C$2:$BK$101,MATCH(TRIM($L99),'Requisito x Tarea'!$B$2:$B$101,0),MATCH(_xlpm.enc,'Requisito x Tarea'!$C$1:$BK$1,0)),""))="X")
+--(UPPER(IFERROR(INDEX('Requisito x Tarea'!$C$2:$BK$101,MATCH(TRIM($M99),'Requisito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99" s="78"/>
      <c r="K99" s="78"/>
      <c r="L99" s="78"/>
      <c r="M99" s="78"/>
      <c r="N99" s="80"/>
      <c r="O99" s="80"/>
      <c r="P99" s="80"/>
      <c r="Q99" s="80"/>
      <c r="R99" s="80"/>
      <c r="S99" s="80"/>
      <c r="T99" s="80"/>
      <c r="U99" s="80"/>
      <c r="V99" s="80"/>
      <c r="W99" s="80"/>
      <c r="X99" s="80"/>
      <c r="Y99" s="80"/>
      <c r="Z99" s="80"/>
      <c r="AA99" s="80"/>
      <c r="AB99" s="80"/>
      <c r="AC99" s="80"/>
      <c r="AD99" s="80"/>
      <c r="AE99" s="80"/>
      <c r="AF99" s="80"/>
      <c r="AG99" s="80"/>
      <c r="AH99" s="80"/>
      <c r="AI99" s="80"/>
      <c r="AJ99" s="80"/>
      <c r="AK99" s="80"/>
      <c r="AL99" s="80"/>
      <c r="AM99" s="80"/>
      <c r="AN99" s="80"/>
      <c r="AO99" s="80"/>
      <c r="AP99" s="80"/>
      <c r="AQ99" s="80"/>
      <c r="AR99" s="80"/>
      <c r="AS99" s="80"/>
      <c r="AT99" s="80"/>
      <c r="AU99" s="80"/>
      <c r="AV99" s="80"/>
      <c r="AW99" s="80"/>
      <c r="AX99" s="80"/>
      <c r="AY99" s="80"/>
      <c r="AZ99" s="80"/>
      <c r="BA99" s="80"/>
      <c r="BB99" s="80"/>
      <c r="BC99" s="80"/>
      <c r="BD99" s="80"/>
      <c r="BE99" s="80"/>
      <c r="BF99" s="80"/>
      <c r="BG99" s="80"/>
      <c r="BH99" s="80"/>
      <c r="BI99" s="80"/>
      <c r="BJ99" s="80"/>
      <c r="BK99" s="80"/>
      <c r="BL99" s="80"/>
      <c r="BM99" s="80"/>
      <c r="BN99" s="80"/>
      <c r="BO99" s="80"/>
      <c r="BP99" s="80"/>
      <c r="BQ99" s="80"/>
      <c r="BR99" s="80"/>
      <c r="BS99" s="80"/>
      <c r="BT99" s="80"/>
    </row>
    <row r="100" spans="1:74" ht="15" x14ac:dyDescent="0.3">
      <c r="A100" s="6">
        <v>93</v>
      </c>
      <c r="B100" s="60" t="str">
        <f>IF($C100="","",IFERROR(_xlfn.XLOOKUP($C100,tblPersonal[CUIL],tblPersonal[HUB]),""))</f>
        <v/>
      </c>
      <c r="C100" s="79"/>
      <c r="D100" s="43" t="str">
        <f>IF($C100="","",IFERROR(_xlfn.XLOOKUP($C100,tblPersonal[CUIL],tblPersonal[AP]),""))</f>
        <v/>
      </c>
      <c r="E100" s="79"/>
      <c r="F100" s="79"/>
      <c r="G100" s="7" t="str">
        <f>IF(F100="","",IFERROR(VLOOKUP(TRIM(F100),FID!$A:$C,2,FALSE),""))</f>
        <v/>
      </c>
      <c r="H100" s="7" t="str">
        <f>IF(F100="","",IFERROR(VLOOKUP(TRIM(F100),FID!$A:$C,3,FALSE),""))</f>
        <v/>
      </c>
      <c r="I100" s="82" t="str" cm="1">
        <f t="array" aca="1" ref="I100" ca="1">IF(COUNTA($J100:$M100)=0,"",_xlfn.LET(
_xlpm.enc,$N$7:$CH$7,
_xlpm.tipo,$N$4:$CH$4,
_xlpm.vig,$N$5:$CH$5,
_xlpm.fec,$N100:$CH100,
_xlpm.req,(
--(UPPER(IFERROR(INDEX('Requisito x Tarea'!$C$2:$BK$101,MATCH(TRIM($J100),'Requisito x Tarea'!$B$2:$B$101,0),MATCH(_xlpm.enc,'Requisito x Tarea'!$C$1:$BK$1,0)),""))="X")
+--(UPPER(IFERROR(INDEX('Requisito x Tarea'!$C$2:$BK$101,MATCH(TRIM($K100),'Requisito x Tarea'!$B$2:$B$101,0),MATCH(_xlpm.enc,'Requisito x Tarea'!$C$1:$BK$1,0)),""))="X")
+--(UPPER(IFERROR(INDEX('Requisito x Tarea'!$C$2:$BK$101,MATCH(TRIM($L100),'Requisito x Tarea'!$B$2:$B$101,0),MATCH(_xlpm.enc,'Requisito x Tarea'!$C$1:$BK$1,0)),""))="X")
+--(UPPER(IFERROR(INDEX('Requisito x Tarea'!$C$2:$BK$101,MATCH(TRIM($M100),'Requisito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100" s="78"/>
      <c r="K100" s="78"/>
      <c r="L100" s="78"/>
      <c r="M100" s="78"/>
      <c r="N100" s="80"/>
      <c r="O100" s="80"/>
      <c r="P100" s="80"/>
      <c r="Q100" s="80"/>
      <c r="R100" s="80"/>
      <c r="S100" s="80"/>
      <c r="T100" s="80"/>
      <c r="U100" s="80"/>
      <c r="V100" s="80"/>
      <c r="W100" s="80"/>
      <c r="X100" s="80"/>
      <c r="Y100" s="80"/>
      <c r="Z100" s="80"/>
      <c r="AA100" s="80"/>
      <c r="AB100" s="80"/>
      <c r="AC100" s="80"/>
      <c r="AD100" s="80"/>
      <c r="AE100" s="80"/>
      <c r="AF100" s="80"/>
      <c r="AG100" s="80"/>
      <c r="AH100" s="80"/>
      <c r="AI100" s="80"/>
      <c r="AJ100" s="80"/>
      <c r="AK100" s="80"/>
      <c r="AL100" s="80"/>
      <c r="AM100" s="80"/>
      <c r="AN100" s="80"/>
      <c r="AO100" s="80"/>
      <c r="AP100" s="80"/>
      <c r="AQ100" s="80"/>
      <c r="AR100" s="80"/>
      <c r="AS100" s="80"/>
      <c r="AT100" s="80"/>
      <c r="AU100" s="80"/>
      <c r="AV100" s="80"/>
      <c r="AW100" s="80"/>
      <c r="AX100" s="80"/>
      <c r="AY100" s="80"/>
      <c r="AZ100" s="80"/>
      <c r="BA100" s="80"/>
      <c r="BB100" s="80"/>
      <c r="BC100" s="80"/>
      <c r="BD100" s="80"/>
      <c r="BE100" s="80"/>
      <c r="BF100" s="80"/>
      <c r="BG100" s="80"/>
      <c r="BH100" s="80"/>
      <c r="BI100" s="80"/>
      <c r="BJ100" s="80"/>
      <c r="BK100" s="80"/>
      <c r="BL100" s="80"/>
      <c r="BM100" s="80"/>
      <c r="BN100" s="80"/>
      <c r="BO100" s="80"/>
      <c r="BP100" s="80"/>
      <c r="BQ100" s="80"/>
      <c r="BR100" s="80"/>
      <c r="BS100" s="80"/>
      <c r="BT100" s="80"/>
    </row>
    <row r="101" spans="1:74" ht="15" x14ac:dyDescent="0.3">
      <c r="A101" s="6">
        <v>94</v>
      </c>
      <c r="B101" s="60" t="str">
        <f>IF($C101="","",IFERROR(_xlfn.XLOOKUP($C101,tblPersonal[CUIL],tblPersonal[HUB]),""))</f>
        <v/>
      </c>
      <c r="C101" s="79"/>
      <c r="D101" s="43" t="str">
        <f>IF($C101="","",IFERROR(_xlfn.XLOOKUP($C101,tblPersonal[CUIL],tblPersonal[AP]),""))</f>
        <v/>
      </c>
      <c r="E101" s="79"/>
      <c r="F101" s="79"/>
      <c r="G101" s="7" t="str">
        <f>IF(F101="","",IFERROR(VLOOKUP(TRIM(F101),FID!$A:$C,2,FALSE),""))</f>
        <v/>
      </c>
      <c r="H101" s="7" t="str">
        <f>IF(F101="","",IFERROR(VLOOKUP(TRIM(F101),FID!$A:$C,3,FALSE),""))</f>
        <v/>
      </c>
      <c r="I101" s="82" t="str" cm="1">
        <f t="array" aca="1" ref="I101" ca="1">IF(COUNTA($J101:$M101)=0,"",_xlfn.LET(
_xlpm.enc,$N$7:$CH$7,
_xlpm.tipo,$N$4:$CH$4,
_xlpm.vig,$N$5:$CH$5,
_xlpm.fec,$N101:$CH101,
_xlpm.req,(
--(UPPER(IFERROR(INDEX('Requisito x Tarea'!$C$2:$BK$101,MATCH(TRIM($J101),'Requisito x Tarea'!$B$2:$B$101,0),MATCH(_xlpm.enc,'Requisito x Tarea'!$C$1:$BK$1,0)),""))="X")
+--(UPPER(IFERROR(INDEX('Requisito x Tarea'!$C$2:$BK$101,MATCH(TRIM($K101),'Requisito x Tarea'!$B$2:$B$101,0),MATCH(_xlpm.enc,'Requisito x Tarea'!$C$1:$BK$1,0)),""))="X")
+--(UPPER(IFERROR(INDEX('Requisito x Tarea'!$C$2:$BK$101,MATCH(TRIM($L101),'Requisito x Tarea'!$B$2:$B$101,0),MATCH(_xlpm.enc,'Requisito x Tarea'!$C$1:$BK$1,0)),""))="X")
+--(UPPER(IFERROR(INDEX('Requisito x Tarea'!$C$2:$BK$101,MATCH(TRIM($M101),'Requisito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101" s="78"/>
      <c r="K101" s="78"/>
      <c r="L101" s="78"/>
      <c r="M101" s="78"/>
      <c r="N101" s="80"/>
      <c r="O101" s="80"/>
      <c r="P101" s="80"/>
      <c r="Q101" s="80"/>
      <c r="R101" s="80"/>
      <c r="S101" s="80"/>
      <c r="T101" s="80"/>
      <c r="U101" s="80"/>
      <c r="V101" s="80"/>
      <c r="W101" s="80"/>
      <c r="X101" s="80"/>
      <c r="Y101" s="80"/>
      <c r="Z101" s="80"/>
      <c r="AA101" s="80"/>
      <c r="AB101" s="80"/>
      <c r="AC101" s="80"/>
      <c r="AD101" s="80"/>
      <c r="AE101" s="80"/>
      <c r="AF101" s="80"/>
      <c r="AG101" s="80"/>
      <c r="AH101" s="80"/>
      <c r="AI101" s="80"/>
      <c r="AJ101" s="80"/>
      <c r="AK101" s="80"/>
      <c r="AL101" s="80"/>
      <c r="AM101" s="80"/>
      <c r="AN101" s="80"/>
      <c r="AO101" s="80"/>
      <c r="AP101" s="80"/>
      <c r="AQ101" s="80"/>
      <c r="AR101" s="80"/>
      <c r="AS101" s="80"/>
      <c r="AT101" s="80"/>
      <c r="AU101" s="80"/>
      <c r="AV101" s="80"/>
      <c r="AW101" s="80"/>
      <c r="AX101" s="80"/>
      <c r="AY101" s="80"/>
      <c r="AZ101" s="80"/>
      <c r="BA101" s="80"/>
      <c r="BB101" s="80"/>
      <c r="BC101" s="80"/>
      <c r="BD101" s="80"/>
      <c r="BE101" s="80"/>
      <c r="BF101" s="80"/>
      <c r="BG101" s="80"/>
      <c r="BH101" s="80"/>
      <c r="BI101" s="80"/>
      <c r="BJ101" s="80"/>
      <c r="BK101" s="80"/>
      <c r="BL101" s="80"/>
      <c r="BM101" s="80"/>
      <c r="BN101" s="80"/>
      <c r="BO101" s="80"/>
      <c r="BP101" s="80"/>
      <c r="BQ101" s="80"/>
      <c r="BR101" s="80"/>
      <c r="BS101" s="80"/>
      <c r="BT101" s="80"/>
    </row>
    <row r="102" spans="1:74" ht="15" x14ac:dyDescent="0.3">
      <c r="A102" s="6">
        <v>95</v>
      </c>
      <c r="B102" s="60" t="str">
        <f>IF($C102="","",IFERROR(_xlfn.XLOOKUP($C102,tblPersonal[CUIL],tblPersonal[HUB]),""))</f>
        <v/>
      </c>
      <c r="C102" s="79"/>
      <c r="D102" s="43" t="str">
        <f>IF($C102="","",IFERROR(_xlfn.XLOOKUP($C102,tblPersonal[CUIL],tblPersonal[AP]),""))</f>
        <v/>
      </c>
      <c r="E102" s="79"/>
      <c r="F102" s="79"/>
      <c r="G102" s="7" t="str">
        <f>IF(F102="","",IFERROR(VLOOKUP(TRIM(F102),FID!$A:$C,2,FALSE),""))</f>
        <v/>
      </c>
      <c r="H102" s="7" t="str">
        <f>IF(F102="","",IFERROR(VLOOKUP(TRIM(F102),FID!$A:$C,3,FALSE),""))</f>
        <v/>
      </c>
      <c r="I102" s="82" t="str" cm="1">
        <f t="array" aca="1" ref="I102" ca="1">IF(COUNTA($J102:$M102)=0,"",_xlfn.LET(
_xlpm.enc,$N$7:$CH$7,
_xlpm.tipo,$N$4:$CH$4,
_xlpm.vig,$N$5:$CH$5,
_xlpm.fec,$N102:$CH102,
_xlpm.req,(
--(UPPER(IFERROR(INDEX('Requisito x Tarea'!$C$2:$BK$101,MATCH(TRIM($J102),'Requisito x Tarea'!$B$2:$B$101,0),MATCH(_xlpm.enc,'Requisito x Tarea'!$C$1:$BK$1,0)),""))="X")
+--(UPPER(IFERROR(INDEX('Requisito x Tarea'!$C$2:$BK$101,MATCH(TRIM($K102),'Requisito x Tarea'!$B$2:$B$101,0),MATCH(_xlpm.enc,'Requisito x Tarea'!$C$1:$BK$1,0)),""))="X")
+--(UPPER(IFERROR(INDEX('Requisito x Tarea'!$C$2:$BK$101,MATCH(TRIM($L102),'Requisito x Tarea'!$B$2:$B$101,0),MATCH(_xlpm.enc,'Requisito x Tarea'!$C$1:$BK$1,0)),""))="X")
+--(UPPER(IFERROR(INDEX('Requisito x Tarea'!$C$2:$BK$101,MATCH(TRIM($M102),'Requisito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102" s="78"/>
      <c r="K102" s="78"/>
      <c r="L102" s="78"/>
      <c r="M102" s="78"/>
      <c r="N102" s="80"/>
      <c r="O102" s="80"/>
      <c r="P102" s="80"/>
      <c r="Q102" s="80"/>
      <c r="R102" s="80"/>
      <c r="S102" s="80"/>
      <c r="T102" s="80"/>
      <c r="U102" s="80"/>
      <c r="V102" s="80"/>
      <c r="W102" s="80"/>
      <c r="X102" s="80"/>
      <c r="Y102" s="80"/>
      <c r="Z102" s="80"/>
      <c r="AA102" s="80"/>
      <c r="AB102" s="80"/>
      <c r="AC102" s="80"/>
      <c r="AD102" s="80"/>
      <c r="AE102" s="80"/>
      <c r="AF102" s="80"/>
      <c r="AG102" s="80"/>
      <c r="AH102" s="80"/>
      <c r="AI102" s="80"/>
      <c r="AJ102" s="80"/>
      <c r="AK102" s="80"/>
      <c r="AL102" s="80"/>
      <c r="AM102" s="80"/>
      <c r="AN102" s="80"/>
      <c r="AO102" s="80"/>
      <c r="AP102" s="80"/>
      <c r="AQ102" s="80"/>
      <c r="AR102" s="80"/>
      <c r="AS102" s="80"/>
      <c r="AT102" s="80"/>
      <c r="AU102" s="80"/>
      <c r="AV102" s="80"/>
      <c r="AW102" s="80"/>
      <c r="AX102" s="80"/>
      <c r="AY102" s="80"/>
      <c r="AZ102" s="80"/>
      <c r="BA102" s="80"/>
      <c r="BB102" s="80"/>
      <c r="BC102" s="80"/>
      <c r="BD102" s="80"/>
      <c r="BE102" s="80"/>
      <c r="BF102" s="80"/>
      <c r="BG102" s="80"/>
      <c r="BH102" s="80"/>
      <c r="BI102" s="80"/>
      <c r="BJ102" s="80"/>
      <c r="BK102" s="80"/>
      <c r="BL102" s="80"/>
      <c r="BM102" s="80"/>
      <c r="BN102" s="80"/>
      <c r="BO102" s="80"/>
      <c r="BP102" s="80"/>
      <c r="BQ102" s="80"/>
      <c r="BR102" s="80"/>
      <c r="BS102" s="80"/>
      <c r="BT102" s="80"/>
    </row>
    <row r="103" spans="1:74" ht="15" x14ac:dyDescent="0.3">
      <c r="A103" s="6">
        <v>96</v>
      </c>
      <c r="B103" s="60" t="str">
        <f>IF($C103="","",IFERROR(_xlfn.XLOOKUP($C103,tblPersonal[CUIL],tblPersonal[HUB]),""))</f>
        <v/>
      </c>
      <c r="C103" s="79"/>
      <c r="D103" s="43" t="str">
        <f>IF($C103="","",IFERROR(_xlfn.XLOOKUP($C103,tblPersonal[CUIL],tblPersonal[AP]),""))</f>
        <v/>
      </c>
      <c r="E103" s="79"/>
      <c r="F103" s="79"/>
      <c r="G103" s="7" t="str">
        <f>IF(F103="","",IFERROR(VLOOKUP(TRIM(F103),FID!$A:$C,2,FALSE),""))</f>
        <v/>
      </c>
      <c r="H103" s="7" t="str">
        <f>IF(F103="","",IFERROR(VLOOKUP(TRIM(F103),FID!$A:$C,3,FALSE),""))</f>
        <v/>
      </c>
      <c r="I103" s="82" t="str" cm="1">
        <f t="array" aca="1" ref="I103" ca="1">IF(COUNTA($J103:$M103)=0,"",_xlfn.LET(
_xlpm.enc,$N$7:$CH$7,
_xlpm.tipo,$N$4:$CH$4,
_xlpm.vig,$N$5:$CH$5,
_xlpm.fec,$N103:$CH103,
_xlpm.req,(
--(UPPER(IFERROR(INDEX('Requisito x Tarea'!$C$2:$BK$101,MATCH(TRIM($J103),'Requisito x Tarea'!$B$2:$B$101,0),MATCH(_xlpm.enc,'Requisito x Tarea'!$C$1:$BK$1,0)),""))="X")
+--(UPPER(IFERROR(INDEX('Requisito x Tarea'!$C$2:$BK$101,MATCH(TRIM($K103),'Requisito x Tarea'!$B$2:$B$101,0),MATCH(_xlpm.enc,'Requisito x Tarea'!$C$1:$BK$1,0)),""))="X")
+--(UPPER(IFERROR(INDEX('Requisito x Tarea'!$C$2:$BK$101,MATCH(TRIM($L103),'Requisito x Tarea'!$B$2:$B$101,0),MATCH(_xlpm.enc,'Requisito x Tarea'!$C$1:$BK$1,0)),""))="X")
+--(UPPER(IFERROR(INDEX('Requisito x Tarea'!$C$2:$BK$101,MATCH(TRIM($M103),'Requisito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103" s="78"/>
      <c r="K103" s="78"/>
      <c r="L103" s="78"/>
      <c r="M103" s="78"/>
      <c r="N103" s="80"/>
      <c r="O103" s="80"/>
      <c r="P103" s="80"/>
      <c r="Q103" s="80"/>
      <c r="R103" s="80"/>
      <c r="S103" s="80"/>
      <c r="T103" s="80"/>
      <c r="U103" s="80"/>
      <c r="V103" s="80"/>
      <c r="W103" s="80"/>
      <c r="X103" s="80"/>
      <c r="Y103" s="80"/>
      <c r="Z103" s="80"/>
      <c r="AA103" s="80"/>
      <c r="AB103" s="80"/>
      <c r="AC103" s="80"/>
      <c r="AD103" s="80"/>
      <c r="AE103" s="80"/>
      <c r="AF103" s="80"/>
      <c r="AG103" s="80"/>
      <c r="AH103" s="80"/>
      <c r="AI103" s="80"/>
      <c r="AJ103" s="80"/>
      <c r="AK103" s="80"/>
      <c r="AL103" s="80"/>
      <c r="AM103" s="80"/>
      <c r="AN103" s="80"/>
      <c r="AO103" s="80"/>
      <c r="AP103" s="80"/>
      <c r="AQ103" s="80"/>
      <c r="AR103" s="80"/>
      <c r="AS103" s="80"/>
      <c r="AT103" s="80"/>
      <c r="AU103" s="80"/>
      <c r="AV103" s="80"/>
      <c r="AW103" s="80"/>
      <c r="AX103" s="80"/>
      <c r="AY103" s="80"/>
      <c r="AZ103" s="80"/>
      <c r="BA103" s="80"/>
      <c r="BB103" s="80"/>
      <c r="BC103" s="80"/>
      <c r="BD103" s="80"/>
      <c r="BE103" s="80"/>
      <c r="BF103" s="80"/>
      <c r="BG103" s="80"/>
      <c r="BH103" s="80"/>
      <c r="BI103" s="80"/>
      <c r="BJ103" s="80"/>
      <c r="BK103" s="80"/>
      <c r="BL103" s="80"/>
      <c r="BM103" s="80"/>
      <c r="BN103" s="80"/>
      <c r="BO103" s="80"/>
      <c r="BP103" s="80"/>
      <c r="BQ103" s="80"/>
      <c r="BR103" s="80"/>
      <c r="BS103" s="80"/>
      <c r="BT103" s="80"/>
    </row>
    <row r="104" spans="1:74" ht="15" x14ac:dyDescent="0.3">
      <c r="A104" s="6">
        <v>97</v>
      </c>
      <c r="B104" s="60" t="str">
        <f>IF($C104="","",IFERROR(_xlfn.XLOOKUP($C104,tblPersonal[CUIL],tblPersonal[HUB]),""))</f>
        <v/>
      </c>
      <c r="C104" s="79"/>
      <c r="D104" s="43" t="str">
        <f>IF($C104="","",IFERROR(_xlfn.XLOOKUP($C104,tblPersonal[CUIL],tblPersonal[AP]),""))</f>
        <v/>
      </c>
      <c r="E104" s="79"/>
      <c r="F104" s="79"/>
      <c r="G104" s="7" t="str">
        <f>IF(F104="","",IFERROR(VLOOKUP(TRIM(F104),FID!$A:$C,2,FALSE),""))</f>
        <v/>
      </c>
      <c r="H104" s="7" t="str">
        <f>IF(F104="","",IFERROR(VLOOKUP(TRIM(F104),FID!$A:$C,3,FALSE),""))</f>
        <v/>
      </c>
      <c r="I104" s="82" t="str" cm="1">
        <f t="array" aca="1" ref="I104" ca="1">IF(COUNTA($J104:$M104)=0,"",_xlfn.LET(
_xlpm.enc,$N$7:$CH$7,
_xlpm.tipo,$N$4:$CH$4,
_xlpm.vig,$N$5:$CH$5,
_xlpm.fec,$N104:$CH104,
_xlpm.req,(
--(UPPER(IFERROR(INDEX('Requisito x Tarea'!$C$2:$BK$101,MATCH(TRIM($J104),'Requisito x Tarea'!$B$2:$B$101,0),MATCH(_xlpm.enc,'Requisito x Tarea'!$C$1:$BK$1,0)),""))="X")
+--(UPPER(IFERROR(INDEX('Requisito x Tarea'!$C$2:$BK$101,MATCH(TRIM($K104),'Requisito x Tarea'!$B$2:$B$101,0),MATCH(_xlpm.enc,'Requisito x Tarea'!$C$1:$BK$1,0)),""))="X")
+--(UPPER(IFERROR(INDEX('Requisito x Tarea'!$C$2:$BK$101,MATCH(TRIM($L104),'Requisito x Tarea'!$B$2:$B$101,0),MATCH(_xlpm.enc,'Requisito x Tarea'!$C$1:$BK$1,0)),""))="X")
+--(UPPER(IFERROR(INDEX('Requisito x Tarea'!$C$2:$BK$101,MATCH(TRIM($M104),'Requisito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104" s="78"/>
      <c r="K104" s="78"/>
      <c r="L104" s="78"/>
      <c r="M104" s="78"/>
      <c r="N104" s="80"/>
      <c r="O104" s="80"/>
      <c r="P104" s="80"/>
      <c r="Q104" s="80"/>
      <c r="R104" s="80"/>
      <c r="S104" s="80"/>
      <c r="T104" s="80"/>
      <c r="U104" s="80"/>
      <c r="V104" s="80"/>
      <c r="W104" s="80"/>
      <c r="X104" s="80"/>
      <c r="Y104" s="80"/>
      <c r="Z104" s="80"/>
      <c r="AA104" s="80"/>
      <c r="AB104" s="80"/>
      <c r="AC104" s="80"/>
      <c r="AD104" s="80"/>
      <c r="AE104" s="80"/>
      <c r="AF104" s="80"/>
      <c r="AG104" s="80"/>
      <c r="AH104" s="80"/>
      <c r="AI104" s="80"/>
      <c r="AJ104" s="80"/>
      <c r="AK104" s="80"/>
      <c r="AL104" s="80"/>
      <c r="AM104" s="80"/>
      <c r="AN104" s="80"/>
      <c r="AO104" s="80"/>
      <c r="AP104" s="80"/>
      <c r="AQ104" s="80"/>
      <c r="AR104" s="80"/>
      <c r="AS104" s="80"/>
      <c r="AT104" s="80"/>
      <c r="AU104" s="80"/>
      <c r="AV104" s="80"/>
      <c r="AW104" s="80"/>
      <c r="AX104" s="80"/>
      <c r="AY104" s="80"/>
      <c r="AZ104" s="80"/>
      <c r="BA104" s="80"/>
      <c r="BB104" s="80"/>
      <c r="BC104" s="80"/>
      <c r="BD104" s="80"/>
      <c r="BE104" s="80"/>
      <c r="BF104" s="80"/>
      <c r="BG104" s="80"/>
      <c r="BH104" s="80"/>
      <c r="BI104" s="80"/>
      <c r="BJ104" s="80"/>
      <c r="BK104" s="80"/>
      <c r="BL104" s="80"/>
      <c r="BM104" s="80"/>
      <c r="BN104" s="80"/>
      <c r="BO104" s="80"/>
      <c r="BP104" s="80"/>
      <c r="BQ104" s="80"/>
      <c r="BR104" s="80"/>
      <c r="BS104" s="80"/>
      <c r="BT104" s="80"/>
    </row>
    <row r="105" spans="1:74" ht="15" x14ac:dyDescent="0.3">
      <c r="A105" s="6">
        <v>98</v>
      </c>
      <c r="B105" s="60" t="str">
        <f>IF($C105="","",IFERROR(_xlfn.XLOOKUP($C105,tblPersonal[CUIL],tblPersonal[HUB]),""))</f>
        <v/>
      </c>
      <c r="C105" s="79"/>
      <c r="D105" s="43" t="str">
        <f>IF($C105="","",IFERROR(_xlfn.XLOOKUP($C105,tblPersonal[CUIL],tblPersonal[AP]),""))</f>
        <v/>
      </c>
      <c r="E105" s="79"/>
      <c r="F105" s="79"/>
      <c r="G105" s="7" t="str">
        <f>IF(F105="","",IFERROR(VLOOKUP(TRIM(F105),FID!$A:$C,2,FALSE),""))</f>
        <v/>
      </c>
      <c r="H105" s="7" t="str">
        <f>IF(F105="","",IFERROR(VLOOKUP(TRIM(F105),FID!$A:$C,3,FALSE),""))</f>
        <v/>
      </c>
      <c r="I105" s="82" t="str" cm="1">
        <f t="array" aca="1" ref="I105" ca="1">IF(COUNTA($J105:$M105)=0,"",_xlfn.LET(
_xlpm.enc,$N$7:$CH$7,
_xlpm.tipo,$N$4:$CH$4,
_xlpm.vig,$N$5:$CH$5,
_xlpm.fec,$N105:$CH105,
_xlpm.req,(
--(UPPER(IFERROR(INDEX('Requisito x Tarea'!$C$2:$BK$101,MATCH(TRIM($J105),'Requisito x Tarea'!$B$2:$B$101,0),MATCH(_xlpm.enc,'Requisito x Tarea'!$C$1:$BK$1,0)),""))="X")
+--(UPPER(IFERROR(INDEX('Requisito x Tarea'!$C$2:$BK$101,MATCH(TRIM($K105),'Requisito x Tarea'!$B$2:$B$101,0),MATCH(_xlpm.enc,'Requisito x Tarea'!$C$1:$BK$1,0)),""))="X")
+--(UPPER(IFERROR(INDEX('Requisito x Tarea'!$C$2:$BK$101,MATCH(TRIM($L105),'Requisito x Tarea'!$B$2:$B$101,0),MATCH(_xlpm.enc,'Requisito x Tarea'!$C$1:$BK$1,0)),""))="X")
+--(UPPER(IFERROR(INDEX('Requisito x Tarea'!$C$2:$BK$101,MATCH(TRIM($M105),'Requisito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105" s="78"/>
      <c r="K105" s="78"/>
      <c r="L105" s="78"/>
      <c r="M105" s="78"/>
      <c r="N105" s="80"/>
      <c r="O105" s="80"/>
      <c r="P105" s="80"/>
      <c r="Q105" s="80"/>
      <c r="R105" s="80"/>
      <c r="S105" s="80"/>
      <c r="T105" s="80"/>
      <c r="U105" s="80"/>
      <c r="V105" s="80"/>
      <c r="W105" s="80"/>
      <c r="X105" s="80"/>
      <c r="Y105" s="80"/>
      <c r="Z105" s="80"/>
      <c r="AA105" s="80"/>
      <c r="AB105" s="80"/>
      <c r="AC105" s="80"/>
      <c r="AD105" s="80"/>
      <c r="AE105" s="80"/>
      <c r="AF105" s="80"/>
      <c r="AG105" s="80"/>
      <c r="AH105" s="80"/>
      <c r="AI105" s="80"/>
      <c r="AJ105" s="80"/>
      <c r="AK105" s="80"/>
      <c r="AL105" s="80"/>
      <c r="AM105" s="80"/>
      <c r="AN105" s="80"/>
      <c r="AO105" s="80"/>
      <c r="AP105" s="80"/>
      <c r="AQ105" s="80"/>
      <c r="AR105" s="80"/>
      <c r="AS105" s="80"/>
      <c r="AT105" s="80"/>
      <c r="AU105" s="80"/>
      <c r="AV105" s="80"/>
      <c r="AW105" s="80"/>
      <c r="AX105" s="80"/>
      <c r="AY105" s="80"/>
      <c r="AZ105" s="80"/>
      <c r="BA105" s="80"/>
      <c r="BB105" s="80"/>
      <c r="BC105" s="80"/>
      <c r="BD105" s="80"/>
      <c r="BE105" s="80"/>
      <c r="BF105" s="80"/>
      <c r="BG105" s="80"/>
      <c r="BH105" s="80"/>
      <c r="BI105" s="80"/>
      <c r="BJ105" s="80"/>
      <c r="BK105" s="80"/>
      <c r="BL105" s="80"/>
      <c r="BM105" s="80"/>
      <c r="BN105" s="80"/>
      <c r="BO105" s="80"/>
      <c r="BP105" s="80"/>
      <c r="BQ105" s="80"/>
      <c r="BR105" s="80"/>
      <c r="BS105" s="80"/>
      <c r="BT105" s="80"/>
    </row>
    <row r="106" spans="1:74" ht="15" x14ac:dyDescent="0.3">
      <c r="A106" s="6">
        <v>99</v>
      </c>
      <c r="B106" s="60" t="str">
        <f>IF($C106="","",IFERROR(_xlfn.XLOOKUP($C106,tblPersonal[CUIL],tblPersonal[HUB]),""))</f>
        <v/>
      </c>
      <c r="C106" s="79"/>
      <c r="D106" s="43" t="str">
        <f>IF($C106="","",IFERROR(_xlfn.XLOOKUP($C106,tblPersonal[CUIL],tblPersonal[AP]),""))</f>
        <v/>
      </c>
      <c r="E106" s="79"/>
      <c r="F106" s="79"/>
      <c r="G106" s="7" t="str">
        <f>IF(F106="","",IFERROR(VLOOKUP(TRIM(F106),FID!$A:$C,2,FALSE),""))</f>
        <v/>
      </c>
      <c r="H106" s="7" t="str">
        <f>IF(F106="","",IFERROR(VLOOKUP(TRIM(F106),FID!$A:$C,3,FALSE),""))</f>
        <v/>
      </c>
      <c r="I106" s="82" t="str" cm="1">
        <f t="array" aca="1" ref="I106" ca="1">IF(COUNTA($J106:$M106)=0,"",_xlfn.LET(
_xlpm.enc,$N$7:$CH$7,
_xlpm.tipo,$N$4:$CH$4,
_xlpm.vig,$N$5:$CH$5,
_xlpm.fec,$N106:$CH106,
_xlpm.req,(
--(UPPER(IFERROR(INDEX('Requisito x Tarea'!$C$2:$BK$101,MATCH(TRIM($J106),'Requisito x Tarea'!$B$2:$B$101,0),MATCH(_xlpm.enc,'Requisito x Tarea'!$C$1:$BK$1,0)),""))="X")
+--(UPPER(IFERROR(INDEX('Requisito x Tarea'!$C$2:$BK$101,MATCH(TRIM($K106),'Requisito x Tarea'!$B$2:$B$101,0),MATCH(_xlpm.enc,'Requisito x Tarea'!$C$1:$BK$1,0)),""))="X")
+--(UPPER(IFERROR(INDEX('Requisito x Tarea'!$C$2:$BK$101,MATCH(TRIM($L106),'Requisito x Tarea'!$B$2:$B$101,0),MATCH(_xlpm.enc,'Requisito x Tarea'!$C$1:$BK$1,0)),""))="X")
+--(UPPER(IFERROR(INDEX('Requisito x Tarea'!$C$2:$BK$101,MATCH(TRIM($M106),'Requisito x Tarea'!$B$2:$B$101,0),MATCH(_xlpm.enc,'Requisito x Tarea'!$C$1:$BK$1,0)),""))="X")
)&gt;0,
_xlpm.falt,IF(TRIM(_xlpm.tipo)="Periódica",
(_xlpm.fec="")+(_xlpm.fec&lt;=0)+(ISNUMBER(_xlpm.fec)*(TODAY()&gt;_xlpm.fec+_xlpm.vig)),
(_xlpm.fec="")+(_xlpm.fec&lt;=0)
),
_xlpm.resultado,IF(SUMPRODUCT(--_xlpm.req,--_xlpm.falt)&gt;0,"NO APTO","APTO"),
_xlpm.resultado
))</f>
        <v/>
      </c>
      <c r="J106" s="78"/>
      <c r="K106" s="78"/>
      <c r="L106" s="78"/>
      <c r="M106" s="78"/>
      <c r="N106" s="80"/>
      <c r="O106" s="80"/>
      <c r="P106" s="80"/>
      <c r="Q106" s="80"/>
      <c r="R106" s="80"/>
      <c r="S106" s="80"/>
      <c r="T106" s="80"/>
      <c r="U106" s="80"/>
      <c r="V106" s="80"/>
      <c r="W106" s="80"/>
      <c r="X106" s="80"/>
      <c r="Y106" s="80"/>
      <c r="Z106" s="80"/>
      <c r="AA106" s="80"/>
      <c r="AB106" s="80"/>
      <c r="AC106" s="80"/>
      <c r="AD106" s="80"/>
      <c r="AE106" s="80"/>
      <c r="AF106" s="80"/>
      <c r="AG106" s="80"/>
      <c r="AH106" s="80"/>
      <c r="AI106" s="80"/>
      <c r="AJ106" s="80"/>
      <c r="AK106" s="80"/>
      <c r="AL106" s="80"/>
      <c r="AM106" s="80"/>
      <c r="AN106" s="80"/>
      <c r="AO106" s="80"/>
      <c r="AP106" s="80"/>
      <c r="AQ106" s="80"/>
      <c r="AR106" s="80"/>
      <c r="AS106" s="80"/>
      <c r="AT106" s="80"/>
      <c r="AU106" s="80"/>
      <c r="AV106" s="80"/>
      <c r="AW106" s="80"/>
      <c r="AX106" s="80"/>
      <c r="AY106" s="80"/>
      <c r="AZ106" s="80"/>
      <c r="BA106" s="80"/>
      <c r="BB106" s="80"/>
      <c r="BC106" s="80"/>
      <c r="BD106" s="80"/>
      <c r="BE106" s="80"/>
      <c r="BF106" s="80"/>
      <c r="BG106" s="80"/>
      <c r="BH106" s="80"/>
      <c r="BI106" s="80"/>
      <c r="BJ106" s="80"/>
      <c r="BK106" s="80"/>
      <c r="BL106" s="80"/>
      <c r="BM106" s="80"/>
      <c r="BN106" s="80"/>
      <c r="BO106" s="80"/>
      <c r="BP106" s="80"/>
      <c r="BQ106" s="80"/>
      <c r="BR106" s="80"/>
      <c r="BS106" s="80"/>
      <c r="BT106" s="80"/>
    </row>
    <row r="107" spans="1:74" ht="15" thickBot="1" x14ac:dyDescent="0.35">
      <c r="C107" s="6"/>
      <c r="E107" s="41"/>
      <c r="F107" s="41"/>
      <c r="G107" s="63" t="s">
        <v>41</v>
      </c>
      <c r="H107" s="64"/>
      <c r="I107" s="74" cm="1">
        <f t="array" aca="1" ref="I107" ca="1">IFERROR(SUMPRODUCT(--(TRIM($I$8:$I$106)="APTO"))/(SUMPRODUCT(--(TRIM($I$8:$I$106)="APTO"))+SUMPRODUCT(--(TRIM($I$8:$I$106)="NO APTO"))),0)</f>
        <v>0</v>
      </c>
      <c r="J107" s="26"/>
      <c r="K107" s="26"/>
      <c r="L107" s="26"/>
      <c r="M107" s="26"/>
      <c r="N107" s="41"/>
      <c r="O107" s="41"/>
      <c r="P107" s="41"/>
      <c r="Q107" s="41"/>
      <c r="R107" s="9"/>
      <c r="S107" s="9"/>
      <c r="T107" s="9"/>
      <c r="U107" s="9"/>
      <c r="V107" s="9"/>
      <c r="W107" s="10"/>
      <c r="X107" s="10"/>
      <c r="Y107" s="10"/>
      <c r="Z107" s="10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  <c r="AL107" s="9"/>
      <c r="AM107" s="9"/>
      <c r="AN107" s="9"/>
      <c r="AO107" s="9"/>
      <c r="AP107" s="9"/>
      <c r="AQ107" s="9"/>
      <c r="AR107" s="9"/>
      <c r="AS107" s="9"/>
      <c r="AT107" s="9"/>
      <c r="AU107" s="9"/>
      <c r="AV107" s="9"/>
      <c r="AW107" s="9"/>
      <c r="AX107" s="9"/>
      <c r="AY107" s="9"/>
      <c r="AZ107" s="9"/>
      <c r="BA107" s="9"/>
      <c r="BB107" s="9"/>
      <c r="BC107" s="9"/>
      <c r="BD107" s="9"/>
      <c r="BE107" s="9"/>
      <c r="BF107" s="9"/>
      <c r="BG107" s="9"/>
      <c r="BH107" s="9"/>
      <c r="BI107" s="9"/>
      <c r="BJ107" s="9"/>
      <c r="BK107" s="9"/>
      <c r="BL107" s="9"/>
      <c r="BM107" s="9"/>
      <c r="BN107" s="9"/>
      <c r="BO107" s="9"/>
      <c r="BP107" s="9"/>
      <c r="BQ107" s="9"/>
      <c r="BR107" s="9"/>
      <c r="BS107" s="9"/>
      <c r="BT107" s="9"/>
      <c r="BU107" s="9"/>
      <c r="BV107" s="9"/>
    </row>
    <row r="108" spans="1:74" ht="18.600000000000001" x14ac:dyDescent="0.45">
      <c r="C108" s="6"/>
      <c r="D108" s="40"/>
      <c r="E108" s="40"/>
      <c r="F108" s="40"/>
      <c r="G108" s="40"/>
      <c r="H108" s="17"/>
      <c r="I108" s="75"/>
      <c r="J108" s="17"/>
      <c r="K108" s="17"/>
      <c r="L108" s="17"/>
      <c r="M108" s="17"/>
      <c r="N108" s="62" t="s">
        <v>42</v>
      </c>
      <c r="O108" s="62"/>
      <c r="P108" s="62"/>
      <c r="Q108" s="40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  <c r="BL108" s="11"/>
      <c r="BM108" s="11"/>
      <c r="BN108" s="11"/>
      <c r="BO108" s="11"/>
      <c r="BP108" s="11"/>
      <c r="BQ108" s="11"/>
      <c r="BR108" s="11"/>
      <c r="BS108" s="11"/>
      <c r="BT108" s="11"/>
    </row>
    <row r="109" spans="1:74" ht="15.6" x14ac:dyDescent="0.3">
      <c r="C109" s="6"/>
      <c r="D109" s="37"/>
      <c r="E109" s="37"/>
      <c r="F109" s="37"/>
      <c r="G109" s="42"/>
      <c r="H109" s="42"/>
      <c r="I109" s="76"/>
      <c r="J109" s="52"/>
      <c r="K109" s="52"/>
      <c r="L109" s="52"/>
      <c r="M109" s="52"/>
      <c r="N109" s="69"/>
      <c r="O109" s="67" t="s">
        <v>43</v>
      </c>
      <c r="P109" s="71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70" t="s">
        <v>14</v>
      </c>
      <c r="AP109" s="70"/>
      <c r="AQ109" s="70"/>
      <c r="AR109" s="70"/>
      <c r="AS109" s="70"/>
      <c r="AT109" s="70"/>
      <c r="AU109" s="70"/>
      <c r="AV109" s="70"/>
      <c r="AW109" s="70"/>
      <c r="AX109" s="70"/>
      <c r="AY109" s="70"/>
      <c r="AZ109" s="70"/>
      <c r="BA109" s="70"/>
      <c r="BB109" s="70"/>
      <c r="BC109" s="70"/>
      <c r="BD109" s="70"/>
      <c r="BE109" s="70"/>
      <c r="BF109" s="70"/>
      <c r="BG109" s="70"/>
      <c r="BH109" s="70"/>
      <c r="BI109" s="70"/>
      <c r="BJ109" s="70"/>
      <c r="BK109" s="70"/>
      <c r="BL109" s="70"/>
      <c r="BM109" s="70"/>
      <c r="BN109" s="70"/>
      <c r="BO109" s="70"/>
      <c r="BP109" s="70"/>
      <c r="BQ109" s="70"/>
      <c r="BR109" s="70"/>
      <c r="BS109" s="70"/>
      <c r="BT109" s="70"/>
    </row>
    <row r="110" spans="1:74" ht="15.6" x14ac:dyDescent="0.3">
      <c r="C110" s="6"/>
      <c r="D110" s="37"/>
      <c r="E110" s="37"/>
      <c r="F110" s="37"/>
      <c r="G110" s="42"/>
      <c r="H110" s="42"/>
      <c r="I110" s="76"/>
      <c r="J110" s="52"/>
      <c r="K110" s="52"/>
      <c r="L110" s="52"/>
      <c r="M110" s="52"/>
      <c r="N110" s="50"/>
      <c r="O110" s="67" t="s">
        <v>44</v>
      </c>
      <c r="P110" s="71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8"/>
      <c r="AP110" s="18"/>
      <c r="AQ110" s="18"/>
      <c r="AR110" s="18"/>
      <c r="AS110" s="18"/>
      <c r="AT110" s="18"/>
      <c r="AU110" s="18"/>
      <c r="AV110" s="18"/>
      <c r="AW110" s="18"/>
      <c r="AX110" s="18"/>
      <c r="AY110" s="18"/>
      <c r="AZ110" s="18"/>
      <c r="BA110" s="18"/>
      <c r="BB110" s="18"/>
      <c r="BC110" s="18"/>
      <c r="BD110" s="18"/>
      <c r="BE110" s="18"/>
      <c r="BF110" s="18"/>
      <c r="BG110" s="18"/>
      <c r="BH110" s="18"/>
      <c r="BI110" s="18"/>
      <c r="BJ110" s="18"/>
      <c r="BK110" s="18"/>
      <c r="BL110" s="18"/>
      <c r="BM110" s="18"/>
      <c r="BN110" s="18"/>
      <c r="BO110" s="18"/>
      <c r="BP110" s="18"/>
      <c r="BQ110" s="18"/>
      <c r="BR110" s="18"/>
      <c r="BS110" s="18"/>
      <c r="BT110" s="18"/>
    </row>
    <row r="111" spans="1:74" ht="15.6" x14ac:dyDescent="0.3">
      <c r="C111" s="6"/>
      <c r="D111" s="38"/>
      <c r="E111" s="38"/>
      <c r="F111" s="38"/>
      <c r="G111" s="42"/>
      <c r="H111" s="42"/>
      <c r="I111" s="76"/>
      <c r="J111" s="52"/>
      <c r="K111" s="52"/>
      <c r="L111" s="52"/>
      <c r="M111" s="52"/>
      <c r="N111" s="66"/>
      <c r="O111" s="67" t="s">
        <v>45</v>
      </c>
      <c r="P111" s="71"/>
      <c r="S111" s="16"/>
      <c r="T111" s="16"/>
      <c r="U111" s="16"/>
      <c r="V111" s="16"/>
      <c r="W111" s="16"/>
      <c r="X111" s="16"/>
      <c r="Y111" s="16"/>
      <c r="Z111" s="16"/>
      <c r="AA111" s="16"/>
      <c r="AB111" s="16"/>
      <c r="AC111" s="16"/>
      <c r="AD111" s="16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68" t="s">
        <v>46</v>
      </c>
      <c r="AP111" s="68"/>
      <c r="AQ111" s="68"/>
      <c r="AR111" s="68"/>
      <c r="AS111" s="68"/>
      <c r="AT111" s="68"/>
      <c r="AU111" s="68"/>
      <c r="AV111" s="68"/>
      <c r="AW111" s="68"/>
      <c r="AX111" s="68"/>
      <c r="AY111" s="68"/>
      <c r="AZ111" s="68"/>
      <c r="BA111" s="68"/>
      <c r="BB111" s="68"/>
      <c r="BC111" s="68"/>
      <c r="BD111" s="68"/>
      <c r="BE111" s="68"/>
      <c r="BF111" s="68"/>
      <c r="BG111" s="68"/>
      <c r="BH111" s="68"/>
      <c r="BI111" s="68"/>
      <c r="BJ111" s="68"/>
      <c r="BK111" s="68"/>
      <c r="BL111" s="68"/>
      <c r="BM111" s="68"/>
      <c r="BN111" s="68"/>
      <c r="BO111" s="68"/>
      <c r="BP111" s="68"/>
      <c r="BQ111" s="68"/>
      <c r="BR111" s="68"/>
      <c r="BS111" s="68"/>
      <c r="BT111" s="68"/>
    </row>
    <row r="112" spans="1:74" ht="15.6" x14ac:dyDescent="0.3">
      <c r="C112" s="6"/>
      <c r="D112" s="39"/>
      <c r="E112" s="39"/>
      <c r="F112" s="39"/>
      <c r="G112" s="65"/>
      <c r="H112" s="65"/>
      <c r="I112" s="77"/>
      <c r="J112" s="53"/>
      <c r="K112" s="53"/>
      <c r="L112" s="53"/>
      <c r="M112" s="53"/>
      <c r="N112" s="51"/>
      <c r="O112" s="72" t="s">
        <v>47</v>
      </c>
      <c r="P112" s="73"/>
    </row>
    <row r="113" spans="3:3" x14ac:dyDescent="0.3">
      <c r="C113" s="6"/>
    </row>
  </sheetData>
  <sheetProtection algorithmName="SHA-512" hashValue="LiiiMXAmd4uUgfPPAVGW8qwdRKd6NsrVw+IPO+L9kwPAK0TdN9Au8KCV0CNzVE8Y+aOxkVhubxrhtcPPIB8NmQ==" saltValue="xk/fxu0dTVC86pzpQfswvA==" spinCount="100000" sheet="1" objects="1" scenarios="1"/>
  <mergeCells count="1">
    <mergeCell ref="D1:BU2"/>
  </mergeCells>
  <conditionalFormatting sqref="B8:BT106">
    <cfRule type="expression" dxfId="35" priority="22">
      <formula>MOD(ROW(),2)=0</formula>
    </cfRule>
  </conditionalFormatting>
  <conditionalFormatting sqref="I8:I106">
    <cfRule type="expression" dxfId="34" priority="4">
      <formula>TRIM($I8)="NO APTO"</formula>
    </cfRule>
    <cfRule type="expression" dxfId="33" priority="5">
      <formula>TRIM($I8)="APTO"</formula>
    </cfRule>
  </conditionalFormatting>
  <conditionalFormatting sqref="N8:BT106">
    <cfRule type="expression" dxfId="32" priority="16">
      <formula>AND(ISNUMBER(N8),N$4="Evento")</formula>
    </cfRule>
    <cfRule type="expression" dxfId="31" priority="18">
      <formula>AND(ISNUMBER(N8),N$4="Periódica",TODAY()&lt;N8+N$5-60)</formula>
    </cfRule>
    <cfRule type="expression" dxfId="30" priority="19">
      <formula>AND(ISNUMBER(N8),N$4="Periódica",TODAY()&gt;=N8+N$5-60,TODAY()&lt;=N8+N$5)</formula>
    </cfRule>
    <cfRule type="expression" dxfId="29" priority="20">
      <formula>AND(ISNUMBER(N8),N$4="Periódica",TODAY()&gt;N8+N$5)</formula>
    </cfRule>
  </conditionalFormatting>
  <conditionalFormatting sqref="N7:BT7">
    <cfRule type="cellIs" dxfId="28" priority="1" stopIfTrue="1" operator="equal">
      <formula>"Y"</formula>
    </cfRule>
    <cfRule type="cellIs" dxfId="27" priority="2" stopIfTrue="1" operator="equal">
      <formula>"N"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1" id="{A8400E2E-F013-43E7-9605-54A30EAB2A46}">
            <xm:f>AND(COUNTA($J8:$M8)&gt;0, SUM( --(UPPER(IFERROR(INDEX('Requisito x Tarea'!$C$2:$BK$101,MATCH(TRIM($J8),'Requisito x Tarea'!$B$2:$B$101,0),MATCH(N$7,'Requisito x Tarea'!$C$1:$BK$1,0)),""))="X"), --(UPPER(IFERROR(INDEX('Requisito x Tarea'!$C$2:$BK$101,MATCH(TRIM($K8),'Requisito x Tarea'!$B$2:$B$101,0),MATCH(N$7,'Requisito x Tarea'!$C$1:$BK$1,0)),""))="X"), --(UPPER(IFERROR(INDEX('Requisito x Tarea'!$C$2:$BK$101,MATCH(TRIM($L8),'Requisito x Tarea'!$B$2:$B$101,0),MATCH(N$7,'Requisito x Tarea'!$C$1:$BK$1,0)),""))="X"), --(UPPER(IFERROR(INDEX('Requisito x Tarea'!$C$2:$BK$101,MATCH(TRIM($M8),'Requisito x Tarea'!$B$2:$B$101,0),MATCH(N$7,'Requisito x Tarea'!$C$1:$BK$1,0)),""))="X") )&gt;0)</xm:f>
            <x14:dxf>
              <fill>
                <patternFill>
                  <bgColor rgb="FFFF0000"/>
                </patternFill>
              </fill>
            </x14:dxf>
          </x14:cfRule>
          <xm:sqref>N8:BT106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62800F3-5AE3-4651-ABE3-1DB35410282A}">
          <x14:formula1>
            <xm:f>'LISTADO_PERFILES PUESTO'!$C$2:$C$50</xm:f>
          </x14:formula1>
          <xm:sqref>E9:E106</xm:sqref>
        </x14:dataValidation>
        <x14:dataValidation type="list" allowBlank="1" showInputMessage="1" showErrorMessage="1" xr:uid="{43442D81-2B3A-487B-9D13-13C48E38F220}">
          <x14:formula1>
            <xm:f>FID!$A$2:$A$9</xm:f>
          </x14:formula1>
          <xm:sqref>F8:F106</xm:sqref>
        </x14:dataValidation>
        <x14:dataValidation type="list" allowBlank="1" showInputMessage="1" showErrorMessage="1" xr:uid="{55602942-7572-42E4-A902-8048C58E33B0}">
          <x14:formula1>
            <xm:f>'LISTADO_PERFILES PUESTO'!$C$2:$C$46</xm:f>
          </x14:formula1>
          <xm:sqref>E8</xm:sqref>
        </x14:dataValidation>
        <x14:dataValidation type="list" allowBlank="1" showInputMessage="1" showErrorMessage="1" xr:uid="{1BEF324B-29B4-4BB6-9D81-1FBE2CD9E89B}">
          <x14:formula1>
            <xm:f>LISTADO_TAREAS!$A$2:$A$100</xm:f>
          </x14:formula1>
          <xm:sqref>J8:M106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11038-D3ED-4B0C-8FE8-C3FADAFBC44B}">
  <sheetPr codeName="Hoja3"/>
  <dimension ref="A1:BJ100"/>
  <sheetViews>
    <sheetView zoomScale="110" zoomScaleNormal="110" workbookViewId="0">
      <pane xSplit="2" ySplit="1" topLeftCell="AF2" activePane="bottomRight" state="frozen"/>
      <selection pane="topRight" activeCell="C1" sqref="C1"/>
      <selection pane="bottomLeft" activeCell="A2" sqref="A2"/>
      <selection pane="bottomRight" activeCell="AT2" sqref="AT2"/>
    </sheetView>
  </sheetViews>
  <sheetFormatPr baseColWidth="10" defaultColWidth="8.88671875" defaultRowHeight="14.4" x14ac:dyDescent="0.3"/>
  <cols>
    <col min="1" max="1" width="11.44140625" style="136" customWidth="1"/>
    <col min="2" max="2" width="23.6640625" style="136" bestFit="1" customWidth="1"/>
    <col min="3" max="8" width="8.88671875" style="137"/>
    <col min="9" max="9" width="11.33203125" style="137" bestFit="1" customWidth="1"/>
    <col min="10" max="46" width="8.88671875" style="137"/>
    <col min="47" max="16384" width="8.88671875" style="135"/>
  </cols>
  <sheetData>
    <row r="1" spans="1:62" s="138" customFormat="1" ht="205.5" customHeight="1" x14ac:dyDescent="0.3">
      <c r="A1" s="153" t="s">
        <v>48</v>
      </c>
      <c r="B1" s="153" t="s">
        <v>30</v>
      </c>
      <c r="C1" s="138" t="str" cm="1">
        <f t="array" ref="C1">IFERROR(INDEX('Criterio de matriz competencias'!$A$2:$A$354,COLUMN(A1)),"")</f>
        <v>Programa de Aire</v>
      </c>
      <c r="D1" s="138" t="str" cm="1">
        <f t="array" ref="D1">IFERROR(INDEX('Criterio de matriz competencias'!$A$2:$A$354,COLUMN(B1)),"")</f>
        <v>Conciencia Ambiental</v>
      </c>
      <c r="E1" s="138" t="str" cm="1">
        <f t="array" ref="E1">IFERROR(INDEX('Criterio de matriz competencias'!$A$2:$A$354,COLUMN(C1)),"")</f>
        <v xml:space="preserve">Control de Documentos e Informacion de HSE </v>
      </c>
      <c r="F1" s="138" t="str" cm="1">
        <f t="array" ref="F1">IFERROR(INDEX('Criterio de matriz competencias'!$A$2:$A$354,COLUMN(D1)),"")</f>
        <v xml:space="preserve"> Acciones Correctivas y Preventivas (CAPA)</v>
      </c>
      <c r="G1" s="138" t="str" cm="1">
        <f t="array" ref="G1">IFERROR(INDEX('Criterio de matriz competencias'!$A$2:$A$354,COLUMN(E1)),"")</f>
        <v>Seguridad Basada en el Comportamiento (Observation Program) // HSMS.043 / Autoridad de Detener el Trabajo</v>
      </c>
      <c r="H1" s="138" t="str" cm="1">
        <f t="array" ref="H1">IFERROR(INDEX('Criterio de matriz competencias'!$A$2:$A$354,COLUMN(F1)),"")</f>
        <v>Identificacion de Peligros y Evaluacion de Riesgos</v>
      </c>
      <c r="I1" s="138" t="str" cm="1">
        <f t="array" ref="I1">IFERROR(INDEX('Criterio de matriz competencias'!$A$2:$A$354,COLUMN(G1)),"")</f>
        <v xml:space="preserve"> Plan de Respuesta ante Eemergencias / HSMS.010 /Primeros Axulios &amp; RCP/DEA / HSMSWT-002 / Patogenos Trasnmitidos por la Sangre</v>
      </c>
      <c r="J1" s="138" t="str" cm="1">
        <f t="array" ref="J1">IFERROR(INDEX('Criterio de matriz competencias'!$A$2:$A$354,COLUMN(H1)),"")</f>
        <v>Reporte y Gestion de Incidentes HSE (Todos)</v>
      </c>
      <c r="K1" s="138" t="str" cm="1">
        <f t="array" ref="K1">IFERROR(INDEX('Criterio de matriz competencias'!$A$2:$A$354,COLUMN(I1)),"")</f>
        <v>Reporte, Gestion e Investigacion de Incidentes HSE (supervisores / investigadores (rol))</v>
      </c>
      <c r="L1" s="138" t="str" cm="1">
        <f t="array" ref="L1">IFERROR(INDEX('Criterio de matriz competencias'!$A$2:$A$354,COLUMN(J1)),"")</f>
        <v>Gruas y Equipos de Izaje (Todos)</v>
      </c>
      <c r="M1" s="138" t="str" cm="1">
        <f t="array" ref="M1">IFERROR(INDEX('Criterio de matriz competencias'!$A$2:$A$354,COLUMN(K1)),"")</f>
        <v>HSMS.007 / Gruas y Equipos de Izaje (Operadores)</v>
      </c>
      <c r="N1" s="138" t="str" cm="1">
        <f t="array" ref="N1">IFERROR(INDEX('Criterio de matriz competencias'!$A$2:$A$354,COLUMN(L1)),"")</f>
        <v>Proteccion Contra Incendios (Todos)</v>
      </c>
      <c r="O1" s="138" t="str" cm="1">
        <f t="array" ref="O1">IFERROR(INDEX('Criterio de matriz competencias'!$A$2:$A$354,COLUMN(M1)),"")</f>
        <v>Proteccion Contra Incendios (Brigadistas)</v>
      </c>
      <c r="P1" s="138" t="str" cm="1">
        <f t="array" ref="P1">IFERROR(INDEX('Criterio de matriz competencias'!$A$2:$A$354,COLUMN(N1)),"")</f>
        <v>Primeros Auxilios (Brigadistas)</v>
      </c>
      <c r="Q1" s="138" t="str" cm="1">
        <f t="array" ref="Q1">IFERROR(INDEX('Criterio de matriz competencias'!$A$2:$A$354,COLUMN(O1)),"")</f>
        <v>Seguridad Electrica (Todos)</v>
      </c>
      <c r="R1" s="138" t="str" cm="1">
        <f t="array" ref="R1">IFERROR(INDEX('Criterio de matriz competencias'!$A$2:$A$354,COLUMN(P1)),"")</f>
        <v>Seguridad Electrica (Personal Autorizado)</v>
      </c>
      <c r="S1" s="138" t="str" cm="1">
        <f t="array" ref="S1">IFERROR(INDEX('Criterio de matriz competencias'!$A$2:$A$354,COLUMN(Q1)),"")</f>
        <v>Camiones Industriales Motorizados (PIT) (Todos)</v>
      </c>
      <c r="T1" s="138" t="str" cm="1">
        <f t="array" ref="T1">IFERROR(INDEX('Criterio de matriz competencias'!$A$2:$A$354,COLUMN(R1)),"")</f>
        <v>Camiones Industriales Motorizados (PIT) (Op. Montacargas)</v>
      </c>
      <c r="U1" s="138" t="str" cm="1">
        <f t="array" ref="U1">IFERROR(INDEX('Criterio de matriz competencias'!$A$2:$A$354,COLUMN(S1)),"")</f>
        <v>Control de Energias Peligrosas (LOTO) (Todos)</v>
      </c>
      <c r="V1" s="138" t="str" cm="1">
        <f t="array" ref="V1">IFERROR(INDEX('Criterio de matriz competencias'!$A$2:$A$354,COLUMN(T1)),"")</f>
        <v>Control de Energias Peligrosas (LOTO) (Empleados Autorizados)</v>
      </c>
      <c r="W1" s="138" t="str" cm="1">
        <f t="array" ref="W1">IFERROR(INDEX('Criterio de matriz competencias'!$A$2:$A$354,COLUMN(U1)),"")</f>
        <v>Seguridad aplicada al Pozo &amp; Yacimiento</v>
      </c>
      <c r="X1" s="138" t="str" cm="1">
        <f t="array" ref="X1">IFERROR(INDEX('Criterio de matriz competencias'!$A$2:$A$354,COLUMN(V1)),"")</f>
        <v>Las Reglas que Salvan Vidas</v>
      </c>
      <c r="Y1" s="138" t="str" cm="1">
        <f t="array" ref="Y1">IFERROR(INDEX('Criterio de matriz competencias'!$A$2:$A$354,COLUMN(W1)),"")</f>
        <v xml:space="preserve">Resguardo de Maquinas &amp; Equipos </v>
      </c>
      <c r="Z1" s="138" t="str" cm="1">
        <f t="array" ref="Z1">IFERROR(INDEX('Criterio de matriz competencias'!$A$2:$A$354,COLUMN(X1)),"")</f>
        <v>Conduccion y Gestion de Viajes (Todos)</v>
      </c>
      <c r="AA1" s="138" t="str" cm="1">
        <f t="array" ref="AA1">IFERROR(INDEX('Criterio de matriz competencias'!$A$2:$A$354,COLUMN(Y1)),"")</f>
        <v>Conduccion y Gestion de Viajes (Conductores)</v>
      </c>
      <c r="AB1" s="138" t="str" cm="1">
        <f t="array" ref="AB1">IFERROR(INDEX('Criterio de matriz competencias'!$A$2:$A$354,COLUMN(Z1)),"")</f>
        <v>Patogenos Transmitidos por la Sangre</v>
      </c>
      <c r="AC1" s="138" t="str" cm="1">
        <f t="array" ref="AC1">IFERROR(INDEX('Criterio de matriz competencias'!$A$2:$A$354,COLUMN(AA1)),"")</f>
        <v>Conservacion Auditiva</v>
      </c>
      <c r="AD1" s="138" t="str" cm="1">
        <f t="array" ref="AD1">IFERROR(INDEX('Criterio de matriz competencias'!$A$2:$A$354,COLUMN(AB1)),"")</f>
        <v xml:space="preserve">Ergonomia //  / Levantamiento &amp; Seguridad en la Espalda </v>
      </c>
      <c r="AE1" s="138" t="str" cm="1">
        <f t="array" ref="AE1">IFERROR(INDEX('Criterio de matriz competencias'!$A$2:$A$354,COLUMN(AC1)),"")</f>
        <v>Superficies Elevadas (Todos)</v>
      </c>
      <c r="AF1" s="138" t="str" cm="1">
        <f t="array" ref="AF1">IFERROR(INDEX('Criterio de matriz competencias'!$A$2:$A$354,COLUMN(AD1)),"")</f>
        <v>Superficies Elevadas (Personal Habilitado)</v>
      </c>
      <c r="AG1" s="138" t="str" cm="1">
        <f t="array" ref="AG1">IFERROR(INDEX('Criterio de matriz competencias'!$A$2:$A$354,COLUMN(AE1)),"")</f>
        <v>Seguridad Quimica (Todos)</v>
      </c>
      <c r="AH1" s="138" t="str" cm="1">
        <f t="array" ref="AH1">IFERROR(INDEX('Criterio de matriz competencias'!$A$2:$A$354,COLUMN(AF1)),"")</f>
        <v>Seguridad Quimica (Mantenimiento)</v>
      </c>
      <c r="AI1" s="138" t="str" cm="1">
        <f t="array" ref="AI1">IFERROR(INDEX('Criterio de matriz competencias'!$A$2:$A$354,COLUMN(AG1)),"")</f>
        <v>Seguridad Quimica (Contratistas)</v>
      </c>
      <c r="AJ1" s="138" t="str" cm="1">
        <f t="array" ref="AJ1">IFERROR(INDEX('Criterio de matriz competencias'!$A$2:$A$354,COLUMN(AH1)),"")</f>
        <v>Seguridad para Trabajos en Caliente</v>
      </c>
      <c r="AK1" s="138" t="str" cm="1">
        <f t="array" ref="AK1">IFERROR(INDEX('Criterio de matriz competencias'!$A$2:$A$354,COLUMN(AI1)),"")</f>
        <v>Seguridad con la Radiacion</v>
      </c>
      <c r="AL1" s="138" t="str" cm="1">
        <f t="array" ref="AL1">IFERROR(INDEX('Criterio de matriz competencias'!$A$2:$A$354,COLUMN(AJ1)),"")</f>
        <v>Equipo de Proteccion Personal (PPE)</v>
      </c>
      <c r="AM1" s="138" t="str" cm="1">
        <f t="array" ref="AM1">IFERROR(INDEX('Criterio de matriz competencias'!$A$2:$A$354,COLUMN(AK1)),"")</f>
        <v>Proteccion Respiratoria</v>
      </c>
      <c r="AN1" s="138" t="str" cm="1">
        <f t="array" ref="AN1">IFERROR(INDEX('Criterio de matriz competencias'!$A$2:$A$354,COLUMN(AL1)),"")</f>
        <v xml:space="preserve">Seguridad con Escaleras </v>
      </c>
      <c r="AO1" s="138" t="str" cm="1">
        <f t="array" ref="AO1">IFERROR(INDEX('Criterio de matriz competencias'!$A$2:$A$354,COLUMN(AM1)),"")</f>
        <v>Seguridad con Escaleras // Estantes de Almacenamiento</v>
      </c>
      <c r="AP1" s="138" t="str" cm="1">
        <f t="array" ref="AP1">IFERROR(INDEX('Criterio de matriz competencias'!$A$2:$A$354,COLUMN(AN1)),"")</f>
        <v>Responsabilidades del Supervisor</v>
      </c>
      <c r="AQ1" s="138" t="str" cm="1">
        <f t="array" ref="AQ1">IFERROR(INDEX('Criterio de matriz competencias'!$A$2:$A$354,COLUMN(AO1)),"")</f>
        <v>Espacios Confinados (Todos)</v>
      </c>
      <c r="AR1" s="138" t="str" cm="1">
        <f t="array" ref="AR1">IFERROR(INDEX('Criterio de matriz competencias'!$A$2:$A$354,COLUMN(AP1)),"")</f>
        <v>HSMS.017 / Espacios Confinados (Entrantes)</v>
      </c>
      <c r="AS1" s="138" t="str" cm="1">
        <f t="array" ref="AS1">IFERROR(INDEX('Criterio de matriz competencias'!$A$2:$A$354,COLUMN(AQ1)),"")</f>
        <v>Programa de Agua (Todos)</v>
      </c>
      <c r="AT1" s="138" t="str" cm="1">
        <f t="array" ref="AT1">IFERROR(INDEX('Criterio de matriz competencias'!$A$2:$A$354,COLUMN(AR1)),"")</f>
        <v>Programa de Agua (HSE)</v>
      </c>
      <c r="AU1" s="138" t="str" cm="1">
        <f t="array" ref="AU1">IFERROR(INDEX('Criterio de matriz competencias'!$A$2:$A$354,COLUMN(AS1)),"")</f>
        <v>HIV/SIDA y otras enfermedades de transmisión sexual (ETS)</v>
      </c>
      <c r="AV1" s="138" t="str" cm="1">
        <f t="array" ref="AV1">IFERROR(INDEX('Criterio de matriz competencias'!$A$2:$A$354,COLUMN(AT1)),"")</f>
        <v>Drogas de abuso (concientización y prevención)</v>
      </c>
      <c r="AW1" s="138" t="str" cm="1">
        <f t="array" ref="AW1">IFERROR(INDEX('Criterio de matriz competencias'!$A$2:$A$354,COLUMN(AU1)),"")</f>
        <v>Vida saludable (hábitos, autocuidado y bienestar)</v>
      </c>
      <c r="AX1" s="138" t="str" cm="1">
        <f t="array" ref="AX1">IFERROR(INDEX('Criterio de matriz competencias'!$A$2:$A$354,COLUMN(AV1)),"")</f>
        <v>Primeros auxilios y Reanimación Cardio Pulmonar (RCP)</v>
      </c>
      <c r="AY1" s="138" t="str" cm="1">
        <f t="array" ref="AY1">IFERROR(INDEX('Criterio de matriz competencias'!$A$2:$A$354,COLUMN(AW1)),"")</f>
        <v>Prevención cardiovascular (factores de riesgo y señales de alarma)</v>
      </c>
      <c r="AZ1" s="138" t="str" cm="1">
        <f t="array" ref="AZ1">IFERROR(INDEX('Criterio de matriz competencias'!$A$2:$A$354,COLUMN(AX1)),"")</f>
        <v>Efectos del tabaco sobre la salud</v>
      </c>
      <c r="BA1" s="138" t="str" cm="1">
        <f t="array" ref="BA1">IFERROR(INDEX('Criterio de matriz competencias'!$A$2:$A$354,COLUMN(AY1)),"")</f>
        <v>Cargadora (Op. Montacargas)</v>
      </c>
      <c r="BB1" s="138" cm="1">
        <f t="array" ref="BB1">IFERROR(INDEX('Criterio de matriz competencias'!$A$2:$A$354,COLUMN(AZ1)),"")</f>
        <v>0</v>
      </c>
      <c r="BC1" s="138" cm="1">
        <f t="array" ref="BC1">IFERROR(INDEX('Criterio de matriz competencias'!$A$2:$A$354,COLUMN(BA1)),"")</f>
        <v>0</v>
      </c>
      <c r="BD1" s="138" cm="1">
        <f t="array" ref="BD1">IFERROR(INDEX('Criterio de matriz competencias'!$A$2:$A$354,COLUMN(BB1)),"")</f>
        <v>0</v>
      </c>
      <c r="BE1" s="138" cm="1">
        <f t="array" ref="BE1">IFERROR(INDEX('Criterio de matriz competencias'!$A$2:$A$354,COLUMN(BC1)),"")</f>
        <v>0</v>
      </c>
      <c r="BF1" s="138" cm="1">
        <f t="array" ref="BF1">IFERROR(INDEX('Criterio de matriz competencias'!$A$2:$A$354,COLUMN(BD1)),"")</f>
        <v>0</v>
      </c>
      <c r="BG1" s="138" cm="1">
        <f t="array" ref="BG1">IFERROR(INDEX('Criterio de matriz competencias'!$A$2:$A$354,COLUMN(BE1)),"")</f>
        <v>0</v>
      </c>
      <c r="BH1" s="138" cm="1">
        <f t="array" ref="BH1">IFERROR(INDEX('Criterio de matriz competencias'!$A$2:$A$354,COLUMN(BF1)),"")</f>
        <v>0</v>
      </c>
      <c r="BI1" s="138" cm="1">
        <f t="array" ref="BI1">IFERROR(INDEX('Criterio de matriz competencias'!$A$2:$A$354,COLUMN(BG1)),"")</f>
        <v>0</v>
      </c>
      <c r="BJ1" s="138" cm="1">
        <f t="array" ref="BJ1">IFERROR(INDEX('Criterio de matriz competencias'!$A$2:$A$354,COLUMN(BH1)),"")</f>
        <v>0</v>
      </c>
    </row>
    <row r="2" spans="1:62" ht="21.6" x14ac:dyDescent="0.3">
      <c r="A2" s="133" t="s">
        <v>32</v>
      </c>
      <c r="B2" s="133" t="s">
        <v>35</v>
      </c>
      <c r="C2" s="85" t="s">
        <v>49</v>
      </c>
      <c r="D2" s="85" t="str">
        <f>IFERROR(IF(INDEX('Criterio de matriz competencias'!$F:$F,MATCH(D$1,'Criterio de matriz competencias'!$A:$A,0))="Todos","X",""),"")</f>
        <v>X</v>
      </c>
      <c r="E2" s="85" t="s">
        <v>49</v>
      </c>
      <c r="F2" s="85" t="s">
        <v>49</v>
      </c>
      <c r="G2" s="85" t="s">
        <v>49</v>
      </c>
      <c r="H2" s="85" t="str">
        <f>IFERROR(IF(INDEX('Criterio de matriz competencias'!$F:$F,MATCH(H$1,'Criterio de matriz competencias'!$A:$A,0))="Todos","X",""),"")</f>
        <v>X</v>
      </c>
      <c r="I2" s="85" t="str">
        <f>IFERROR(IF(INDEX('Criterio de matriz competencias'!$F:$F,MATCH(I$1,'Criterio de matriz competencias'!$A:$A,0))="Todos","X",""),"")</f>
        <v>X</v>
      </c>
      <c r="J2" s="85" t="str">
        <f>IFERROR(IF(INDEX('Criterio de matriz competencias'!$F:$F,MATCH(J$1,'Criterio de matriz competencias'!$A:$A,0))="Todos","X",""),"")</f>
        <v>X</v>
      </c>
      <c r="K2" s="85" t="s">
        <v>49</v>
      </c>
      <c r="L2" s="85" t="s">
        <v>49</v>
      </c>
      <c r="M2" s="85" t="s">
        <v>49</v>
      </c>
      <c r="N2" s="85" t="str">
        <f>IFERROR(IF(INDEX('Criterio de matriz competencias'!$F:$F,MATCH(N$1,'Criterio de matriz competencias'!$A:$A,0))="Todos","X",""),"")</f>
        <v>X</v>
      </c>
      <c r="O2" s="85"/>
      <c r="P2" s="85" t="str">
        <f>IFERROR(IF(INDEX('Criterio de matriz competencias'!$F:$F,MATCH(P$1,'Criterio de matriz competencias'!$A:$A,0))="Todos","X",""),"")</f>
        <v/>
      </c>
      <c r="Q2" s="85" t="s">
        <v>49</v>
      </c>
      <c r="R2" s="85" t="str">
        <f>IFERROR(IF(INDEX('Criterio de matriz competencias'!$F:$F,MATCH(R$1,'Criterio de matriz competencias'!$A:$A,0))="Todos","X",""),"")</f>
        <v/>
      </c>
      <c r="S2" s="85" t="str">
        <f>IFERROR(IF(INDEX('Criterio de matriz competencias'!$F:$F,MATCH(S$1,'Criterio de matriz competencias'!$A:$A,0))="Todos","X",""),"")</f>
        <v>X</v>
      </c>
      <c r="T2" s="85" t="str">
        <f>IFERROR(IF(INDEX('Criterio de matriz competencias'!$F:$F,MATCH(T$1,'Criterio de matriz competencias'!$A:$A,0))="Todos","X",""),"")</f>
        <v/>
      </c>
      <c r="U2" s="85" t="s">
        <v>49</v>
      </c>
      <c r="V2" s="85" t="s">
        <v>49</v>
      </c>
      <c r="W2" s="85" t="s">
        <v>49</v>
      </c>
      <c r="X2" s="85" t="str">
        <f>IFERROR(IF(INDEX('Criterio de matriz competencias'!$F:$F,MATCH(X$1,'Criterio de matriz competencias'!$A:$A,0))="Todos","X",""),"")</f>
        <v>X</v>
      </c>
      <c r="Y2" s="85" t="str">
        <f>IFERROR(IF(INDEX('Criterio de matriz competencias'!$F:$F,MATCH(Y$1,'Criterio de matriz competencias'!$A:$A,0))="Todos","X",""),"")</f>
        <v>X</v>
      </c>
      <c r="Z2" s="85" t="s">
        <v>49</v>
      </c>
      <c r="AA2" s="85" t="s">
        <v>49</v>
      </c>
      <c r="AB2" s="85" t="s">
        <v>49</v>
      </c>
      <c r="AC2" s="85" t="s">
        <v>49</v>
      </c>
      <c r="AD2" s="85" t="str">
        <f>IFERROR(IF(INDEX('Criterio de matriz competencias'!$F:$F,MATCH(AD$1,'Criterio de matriz competencias'!$A:$A,0))="Todos","X",""),"")</f>
        <v>X</v>
      </c>
      <c r="AE2" s="85" t="s">
        <v>49</v>
      </c>
      <c r="AF2" s="85" t="str">
        <f>IFERROR(IF(INDEX('Criterio de matriz competencias'!$F:$F,MATCH(AF$1,'Criterio de matriz competencias'!$A:$A,0))="Todos","X",""),"")</f>
        <v/>
      </c>
      <c r="AG2" s="85" t="s">
        <v>49</v>
      </c>
      <c r="AH2" s="85" t="str">
        <f>IFERROR(IF(INDEX('Criterio de matriz competencias'!$F:$F,MATCH(AH$1,'Criterio de matriz competencias'!$A:$A,0))="Todos","X",""),"")</f>
        <v/>
      </c>
      <c r="AI2" s="85" t="str">
        <f>IFERROR(IF(INDEX('Criterio de matriz competencias'!$F:$F,MATCH(AI$1,'Criterio de matriz competencias'!$A:$A,0))="Todos","X",""),"")</f>
        <v/>
      </c>
      <c r="AJ2" s="85" t="str">
        <f>IFERROR(IF(INDEX('Criterio de matriz competencias'!$F:$F,MATCH(AJ$1,'Criterio de matriz competencias'!$A:$A,0))="Todos","X",""),"")</f>
        <v>X</v>
      </c>
      <c r="AK2" s="85" t="s">
        <v>49</v>
      </c>
      <c r="AL2" s="85" t="str">
        <f>IFERROR(IF(INDEX('Criterio de matriz competencias'!$F:$F,MATCH(AL$1,'Criterio de matriz competencias'!$A:$A,0))="Todos","X",""),"")</f>
        <v>X</v>
      </c>
      <c r="AM2" s="85" t="str">
        <f>IFERROR(IF(INDEX('Criterio de matriz competencias'!$F:$F,MATCH(AM$1,'Criterio de matriz competencias'!$A:$A,0))="Todos","X",""),"")</f>
        <v/>
      </c>
      <c r="AN2" s="85" t="s">
        <v>49</v>
      </c>
      <c r="AO2" s="85" t="s">
        <v>49</v>
      </c>
      <c r="AP2" s="85" t="s">
        <v>49</v>
      </c>
      <c r="AQ2" s="85" t="s">
        <v>49</v>
      </c>
      <c r="AR2" s="85" t="str">
        <f>IFERROR(IF(INDEX('Criterio de matriz competencias'!$F:$F,MATCH(AR$1,'Criterio de matriz competencias'!$A:$A,0))="Todos","X",""),"")</f>
        <v/>
      </c>
      <c r="AS2" s="85" t="s">
        <v>49</v>
      </c>
      <c r="AT2" s="85" t="str">
        <f>IFERROR(IF(INDEX('Criterio de matriz competencias'!$F:$F,MATCH(AT$1,'Criterio de matriz competencias'!$A:$A,0))="Todos","X",""),"")</f>
        <v/>
      </c>
      <c r="AU2" s="85" t="str">
        <f>IFERROR(IF(INDEX('Criterio de matriz competencias'!$F:$F,MATCH(AU$1,'Criterio de matriz competencias'!$A:$A,0))="Todos","X",""),"")</f>
        <v>X</v>
      </c>
      <c r="AV2" s="85" t="str">
        <f>IFERROR(IF(INDEX('Criterio de matriz competencias'!$F:$F,MATCH(AV$1,'Criterio de matriz competencias'!$A:$A,0))="Todos","X",""),"")</f>
        <v>X</v>
      </c>
      <c r="AW2" s="85" t="str">
        <f>IFERROR(IF(INDEX('Criterio de matriz competencias'!$F:$F,MATCH(AW$1,'Criterio de matriz competencias'!$A:$A,0))="Todos","X",""),"")</f>
        <v>X</v>
      </c>
      <c r="AX2" s="85" t="str">
        <f>IFERROR(IF(INDEX('Criterio de matriz competencias'!$F:$F,MATCH(AX$1,'Criterio de matriz competencias'!$A:$A,0))="Todos","X",""),"")</f>
        <v>X</v>
      </c>
      <c r="AY2" s="85" t="s">
        <v>49</v>
      </c>
      <c r="AZ2" s="85" t="str">
        <f>IFERROR(IF(INDEX('Criterio de matriz competencias'!$F:$F,MATCH(AZ$1,'Criterio de matriz competencias'!$A:$A,0))="Todos","X",""),"")</f>
        <v>X</v>
      </c>
      <c r="BA2" s="85" t="str">
        <f>IFERROR(IF(INDEX('Criterio de matriz competencias'!$F:$F,MATCH(BA$1,'Criterio de matriz competencias'!$A:$A,0))="Todos","X",""),"")</f>
        <v/>
      </c>
      <c r="BB2" s="85" t="str">
        <f>IFERROR(IF(INDEX('Criterio de matriz competencias'!$F:$F,MATCH(BB$1,'Criterio de matriz competencias'!$A:$A,0))="Todos","X",""),"")</f>
        <v/>
      </c>
      <c r="BC2" s="85" t="str">
        <f>IFERROR(IF(INDEX('Criterio de matriz competencias'!$F:$F,MATCH(BC$1,'Criterio de matriz competencias'!$A:$A,0))="Todos","X",""),"")</f>
        <v/>
      </c>
      <c r="BD2" s="85" t="str">
        <f>IFERROR(IF(INDEX('Criterio de matriz competencias'!$F:$F,MATCH(BD$1,'Criterio de matriz competencias'!$A:$A,0))="Todos","X",""),"")</f>
        <v/>
      </c>
      <c r="BE2" s="85" t="str">
        <f>IFERROR(IF(INDEX('Criterio de matriz competencias'!$F:$F,MATCH(BE$1,'Criterio de matriz competencias'!$A:$A,0))="Todos","X",""),"")</f>
        <v/>
      </c>
      <c r="BF2" s="85" t="str">
        <f>IFERROR(IF(INDEX('Criterio de matriz competencias'!$F:$F,MATCH(BF$1,'Criterio de matriz competencias'!$A:$A,0))="Todos","X",""),"")</f>
        <v/>
      </c>
      <c r="BG2" s="85" t="str">
        <f>IFERROR(IF(INDEX('Criterio de matriz competencias'!$F:$F,MATCH(BG$1,'Criterio de matriz competencias'!$A:$A,0))="Todos","X",""),"")</f>
        <v/>
      </c>
      <c r="BH2" s="85" t="str">
        <f>IFERROR(IF(INDEX('Criterio de matriz competencias'!$F:$F,MATCH(BH$1,'Criterio de matriz competencias'!$A:$A,0))="Todos","X",""),"")</f>
        <v/>
      </c>
      <c r="BI2" s="85" t="str">
        <f>IFERROR(IF(INDEX('Criterio de matriz competencias'!$F:$F,MATCH(BI$1,'Criterio de matriz competencias'!$A:$A,0))="Todos","X",""),"")</f>
        <v/>
      </c>
      <c r="BJ2" s="85" t="str">
        <f>IFERROR(IF(INDEX('Criterio de matriz competencias'!$F:$F,MATCH(BJ$1,'Criterio de matriz competencias'!$A:$A,0))="Todos","X",""),"")</f>
        <v/>
      </c>
    </row>
    <row r="3" spans="1:62" ht="21.6" x14ac:dyDescent="0.3">
      <c r="A3" s="133" t="s">
        <v>32</v>
      </c>
      <c r="B3" s="133" t="s">
        <v>33</v>
      </c>
      <c r="C3" s="85" t="str">
        <f>IFERROR(IF(INDEX('Criterio de matriz competencias'!$F:$F,MATCH(C$1,'Criterio de matriz competencias'!$A:$A,0))="Todos","X",""),"")</f>
        <v/>
      </c>
      <c r="D3" s="85" t="str">
        <f>IFERROR(IF(INDEX('Criterio de matriz competencias'!$F:$F,MATCH(D$1,'Criterio de matriz competencias'!$A:$A,0))="Todos","X",""),"")</f>
        <v>X</v>
      </c>
      <c r="E3" s="85" t="str">
        <f>IFERROR(IF(INDEX('Criterio de matriz competencias'!$F:$F,MATCH(E$1,'Criterio de matriz competencias'!$A:$A,0))="Todos","X",""),"")</f>
        <v/>
      </c>
      <c r="F3" s="85" t="str">
        <f>IFERROR(IF(INDEX('Criterio de matriz competencias'!$F:$F,MATCH(F$1,'Criterio de matriz competencias'!$A:$A,0))="Todos","X",""),"")</f>
        <v/>
      </c>
      <c r="G3" s="85" t="s">
        <v>49</v>
      </c>
      <c r="H3" s="85" t="str">
        <f>IFERROR(IF(INDEX('Criterio de matriz competencias'!$F:$F,MATCH(H$1,'Criterio de matriz competencias'!$A:$A,0))="Todos","X",""),"")</f>
        <v>X</v>
      </c>
      <c r="I3" s="85" t="str">
        <f>IFERROR(IF(INDEX('Criterio de matriz competencias'!$F:$F,MATCH(I$1,'Criterio de matriz competencias'!$A:$A,0))="Todos","X",""),"")</f>
        <v>X</v>
      </c>
      <c r="J3" s="85" t="str">
        <f>IFERROR(IF(INDEX('Criterio de matriz competencias'!$F:$F,MATCH(J$1,'Criterio de matriz competencias'!$A:$A,0))="Todos","X",""),"")</f>
        <v>X</v>
      </c>
      <c r="K3" s="85"/>
      <c r="L3" s="85" t="s">
        <v>49</v>
      </c>
      <c r="M3" s="85" t="s">
        <v>49</v>
      </c>
      <c r="N3" s="85" t="str">
        <f>IFERROR(IF(INDEX('Criterio de matriz competencias'!$F:$F,MATCH(N$1,'Criterio de matriz competencias'!$A:$A,0))="Todos","X",""),"")</f>
        <v>X</v>
      </c>
      <c r="O3" s="85" t="str">
        <f>IFERROR(IF(INDEX('Criterio de matriz competencias'!$F:$F,MATCH(O$1,'Criterio de matriz competencias'!$A:$A,0))="Todos","X",""),"")</f>
        <v/>
      </c>
      <c r="P3" s="85" t="str">
        <f>IFERROR(IF(INDEX('Criterio de matriz competencias'!$F:$F,MATCH(P$1,'Criterio de matriz competencias'!$A:$A,0))="Todos","X",""),"")</f>
        <v/>
      </c>
      <c r="Q3" s="85" t="s">
        <v>49</v>
      </c>
      <c r="R3" s="85" t="str">
        <f>IFERROR(IF(INDEX('Criterio de matriz competencias'!$F:$F,MATCH(R$1,'Criterio de matriz competencias'!$A:$A,0))="Todos","X",""),"")</f>
        <v/>
      </c>
      <c r="S3" s="85" t="str">
        <f>IFERROR(IF(INDEX('Criterio de matriz competencias'!$F:$F,MATCH(S$1,'Criterio de matriz competencias'!$A:$A,0))="Todos","X",""),"")</f>
        <v>X</v>
      </c>
      <c r="T3" s="85" t="str">
        <f>IFERROR(IF(INDEX('Criterio de matriz competencias'!$F:$F,MATCH(T$1,'Criterio de matriz competencias'!$A:$A,0))="Todos","X",""),"")</f>
        <v/>
      </c>
      <c r="U3" s="85" t="s">
        <v>49</v>
      </c>
      <c r="V3" s="85" t="s">
        <v>49</v>
      </c>
      <c r="W3" s="85" t="s">
        <v>49</v>
      </c>
      <c r="X3" s="85" t="str">
        <f>IFERROR(IF(INDEX('Criterio de matriz competencias'!$F:$F,MATCH(X$1,'Criterio de matriz competencias'!$A:$A,0))="Todos","X",""),"")</f>
        <v>X</v>
      </c>
      <c r="Y3" s="85" t="str">
        <f>IFERROR(IF(INDEX('Criterio de matriz competencias'!$F:$F,MATCH(Y$1,'Criterio de matriz competencias'!$A:$A,0))="Todos","X",""),"")</f>
        <v>X</v>
      </c>
      <c r="Z3" s="85" t="s">
        <v>49</v>
      </c>
      <c r="AA3" s="85" t="s">
        <v>49</v>
      </c>
      <c r="AB3" s="85" t="s">
        <v>49</v>
      </c>
      <c r="AC3" s="85"/>
      <c r="AD3" s="85" t="str">
        <f>IFERROR(IF(INDEX('Criterio de matriz competencias'!$F:$F,MATCH(AD$1,'Criterio de matriz competencias'!$A:$A,0))="Todos","X",""),"")</f>
        <v>X</v>
      </c>
      <c r="AE3" s="85" t="s">
        <v>49</v>
      </c>
      <c r="AF3" s="85" t="str">
        <f>IFERROR(IF(INDEX('Criterio de matriz competencias'!$F:$F,MATCH(AF$1,'Criterio de matriz competencias'!$A:$A,0))="Todos","X",""),"")</f>
        <v/>
      </c>
      <c r="AG3" s="85" t="s">
        <v>49</v>
      </c>
      <c r="AH3" s="85" t="str">
        <f>IFERROR(IF(INDEX('Criterio de matriz competencias'!$F:$F,MATCH(AH$1,'Criterio de matriz competencias'!$A:$A,0))="Todos","X",""),"")</f>
        <v/>
      </c>
      <c r="AI3" s="85" t="str">
        <f>IFERROR(IF(INDEX('Criterio de matriz competencias'!$F:$F,MATCH(AI$1,'Criterio de matriz competencias'!$A:$A,0))="Todos","X",""),"")</f>
        <v/>
      </c>
      <c r="AJ3" s="85" t="str">
        <f>IFERROR(IF(INDEX('Criterio de matriz competencias'!$F:$F,MATCH(AJ$1,'Criterio de matriz competencias'!$A:$A,0))="Todos","X",""),"")</f>
        <v>X</v>
      </c>
      <c r="AK3" s="85" t="s">
        <v>49</v>
      </c>
      <c r="AL3" s="85" t="str">
        <f>IFERROR(IF(INDEX('Criterio de matriz competencias'!$F:$F,MATCH(AL$1,'Criterio de matriz competencias'!$A:$A,0))="Todos","X",""),"")</f>
        <v>X</v>
      </c>
      <c r="AM3" s="85" t="str">
        <f>IFERROR(IF(INDEX('Criterio de matriz competencias'!$F:$F,MATCH(AM$1,'Criterio de matriz competencias'!$A:$A,0))="Todos","X",""),"")</f>
        <v/>
      </c>
      <c r="AN3" s="85" t="s">
        <v>49</v>
      </c>
      <c r="AO3" s="85" t="s">
        <v>49</v>
      </c>
      <c r="AP3" s="85" t="str">
        <f>IFERROR(IF(INDEX('Criterio de matriz competencias'!$F:$F,MATCH(AP$1,'Criterio de matriz competencias'!$A:$A,0))="Todos","X",""),"")</f>
        <v/>
      </c>
      <c r="AQ3" s="85" t="s">
        <v>49</v>
      </c>
      <c r="AR3" s="85" t="str">
        <f>IFERROR(IF(INDEX('Criterio de matriz competencias'!$F:$F,MATCH(AR$1,'Criterio de matriz competencias'!$A:$A,0))="Todos","X",""),"")</f>
        <v/>
      </c>
      <c r="AS3" s="85" t="s">
        <v>49</v>
      </c>
      <c r="AT3" s="85" t="str">
        <f>IFERROR(IF(INDEX('Criterio de matriz competencias'!$F:$F,MATCH(AT$1,'Criterio de matriz competencias'!$A:$A,0))="Todos","X",""),"")</f>
        <v/>
      </c>
      <c r="AU3" s="85" t="str">
        <f>IFERROR(IF(INDEX('Criterio de matriz competencias'!$F:$F,MATCH(AU$1,'Criterio de matriz competencias'!$A:$A,0))="Todos","X",""),"")</f>
        <v>X</v>
      </c>
      <c r="AV3" s="85" t="str">
        <f>IFERROR(IF(INDEX('Criterio de matriz competencias'!$F:$F,MATCH(AV$1,'Criterio de matriz competencias'!$A:$A,0))="Todos","X",""),"")</f>
        <v>X</v>
      </c>
      <c r="AW3" s="85" t="str">
        <f>IFERROR(IF(INDEX('Criterio de matriz competencias'!$F:$F,MATCH(AW$1,'Criterio de matriz competencias'!$A:$A,0))="Todos","X",""),"")</f>
        <v>X</v>
      </c>
      <c r="AX3" s="85" t="str">
        <f>IFERROR(IF(INDEX('Criterio de matriz competencias'!$F:$F,MATCH(AX$1,'Criterio de matriz competencias'!$A:$A,0))="Todos","X",""),"")</f>
        <v>X</v>
      </c>
      <c r="AY3" s="85" t="str">
        <f>IFERROR(IF(INDEX('Criterio de matriz competencias'!$F:$F,MATCH(AY$1,'Criterio de matriz competencias'!$A:$A,0))="Todos","X",""),"")</f>
        <v>X</v>
      </c>
      <c r="AZ3" s="85" t="str">
        <f>IFERROR(IF(INDEX('Criterio de matriz competencias'!$F:$F,MATCH(AZ$1,'Criterio de matriz competencias'!$A:$A,0))="Todos","X",""),"")</f>
        <v>X</v>
      </c>
      <c r="BA3" s="85" t="str">
        <f>IFERROR(IF(INDEX('Criterio de matriz competencias'!$F:$F,MATCH(BA$1,'Criterio de matriz competencias'!$A:$A,0))="Todos","X",""),"")</f>
        <v/>
      </c>
      <c r="BB3" s="85" t="str">
        <f>IFERROR(IF(INDEX('Criterio de matriz competencias'!$F:$F,MATCH(BB$1,'Criterio de matriz competencias'!$A:$A,0))="Todos","X",""),"")</f>
        <v/>
      </c>
      <c r="BC3" s="85" t="str">
        <f>IFERROR(IF(INDEX('Criterio de matriz competencias'!$F:$F,MATCH(BC$1,'Criterio de matriz competencias'!$A:$A,0))="Todos","X",""),"")</f>
        <v/>
      </c>
      <c r="BD3" s="85" t="str">
        <f>IFERROR(IF(INDEX('Criterio de matriz competencias'!$F:$F,MATCH(BD$1,'Criterio de matriz competencias'!$A:$A,0))="Todos","X",""),"")</f>
        <v/>
      </c>
      <c r="BE3" s="85" t="str">
        <f>IFERROR(IF(INDEX('Criterio de matriz competencias'!$F:$F,MATCH(BE$1,'Criterio de matriz competencias'!$A:$A,0))="Todos","X",""),"")</f>
        <v/>
      </c>
      <c r="BF3" s="85" t="str">
        <f>IFERROR(IF(INDEX('Criterio de matriz competencias'!$F:$F,MATCH(BF$1,'Criterio de matriz competencias'!$A:$A,0))="Todos","X",""),"")</f>
        <v/>
      </c>
      <c r="BG3" s="85" t="str">
        <f>IFERROR(IF(INDEX('Criterio de matriz competencias'!$F:$F,MATCH(BG$1,'Criterio de matriz competencias'!$A:$A,0))="Todos","X",""),"")</f>
        <v/>
      </c>
      <c r="BH3" s="85" t="str">
        <f>IFERROR(IF(INDEX('Criterio de matriz competencias'!$F:$F,MATCH(BH$1,'Criterio de matriz competencias'!$A:$A,0))="Todos","X",""),"")</f>
        <v/>
      </c>
      <c r="BI3" s="85" t="str">
        <f>IFERROR(IF(INDEX('Criterio de matriz competencias'!$F:$F,MATCH(BI$1,'Criterio de matriz competencias'!$A:$A,0))="Todos","X",""),"")</f>
        <v/>
      </c>
      <c r="BJ3" s="85" t="str">
        <f>IFERROR(IF(INDEX('Criterio de matriz competencias'!$F:$F,MATCH(BJ$1,'Criterio de matriz competencias'!$A:$A,0))="Todos","X",""),"")</f>
        <v/>
      </c>
    </row>
    <row r="4" spans="1:62" ht="21.6" x14ac:dyDescent="0.3">
      <c r="A4" s="133" t="s">
        <v>32</v>
      </c>
      <c r="B4" s="133" t="s">
        <v>34</v>
      </c>
      <c r="C4" s="85" t="str">
        <f>IFERROR(IF(INDEX('Criterio de matriz competencias'!$F:$F,MATCH(C$1,'Criterio de matriz competencias'!$A:$A,0))="Todos","X",""),"")</f>
        <v/>
      </c>
      <c r="D4" s="85" t="str">
        <f>IFERROR(IF(INDEX('Criterio de matriz competencias'!$F:$F,MATCH(D$1,'Criterio de matriz competencias'!$A:$A,0))="Todos","X",""),"")</f>
        <v>X</v>
      </c>
      <c r="E4" s="85" t="str">
        <f>IFERROR(IF(INDEX('Criterio de matriz competencias'!$F:$F,MATCH(E$1,'Criterio de matriz competencias'!$A:$A,0))="Todos","X",""),"")</f>
        <v/>
      </c>
      <c r="F4" s="85" t="str">
        <f>IFERROR(IF(INDEX('Criterio de matriz competencias'!$F:$F,MATCH(F$1,'Criterio de matriz competencias'!$A:$A,0))="Todos","X",""),"")</f>
        <v/>
      </c>
      <c r="G4" s="85" t="s">
        <v>49</v>
      </c>
      <c r="H4" s="85" t="str">
        <f>IFERROR(IF(INDEX('Criterio de matriz competencias'!$F:$F,MATCH(H$1,'Criterio de matriz competencias'!$A:$A,0))="Todos","X",""),"")</f>
        <v>X</v>
      </c>
      <c r="I4" s="85" t="str">
        <f>IFERROR(IF(INDEX('Criterio de matriz competencias'!$F:$F,MATCH(I$1,'Criterio de matriz competencias'!$A:$A,0))="Todos","X",""),"")</f>
        <v>X</v>
      </c>
      <c r="J4" s="85" t="str">
        <f>IFERROR(IF(INDEX('Criterio de matriz competencias'!$F:$F,MATCH(J$1,'Criterio de matriz competencias'!$A:$A,0))="Todos","X",""),"")</f>
        <v>X</v>
      </c>
      <c r="K4" s="85"/>
      <c r="L4" s="85" t="s">
        <v>49</v>
      </c>
      <c r="M4" s="85" t="s">
        <v>49</v>
      </c>
      <c r="N4" s="85" t="str">
        <f>IFERROR(IF(INDEX('Criterio de matriz competencias'!$F:$F,MATCH(N$1,'Criterio de matriz competencias'!$A:$A,0))="Todos","X",""),"")</f>
        <v>X</v>
      </c>
      <c r="O4" s="85" t="str">
        <f>IFERROR(IF(INDEX('Criterio de matriz competencias'!$F:$F,MATCH(O$1,'Criterio de matriz competencias'!$A:$A,0))="Todos","X",""),"")</f>
        <v/>
      </c>
      <c r="P4" s="85" t="str">
        <f>IFERROR(IF(INDEX('Criterio de matriz competencias'!$F:$F,MATCH(P$1,'Criterio de matriz competencias'!$A:$A,0))="Todos","X",""),"")</f>
        <v/>
      </c>
      <c r="Q4" s="85" t="s">
        <v>49</v>
      </c>
      <c r="R4" s="85" t="str">
        <f>IFERROR(IF(INDEX('Criterio de matriz competencias'!$F:$F,MATCH(R$1,'Criterio de matriz competencias'!$A:$A,0))="Todos","X",""),"")</f>
        <v/>
      </c>
      <c r="S4" s="85" t="str">
        <f>IFERROR(IF(INDEX('Criterio de matriz competencias'!$F:$F,MATCH(S$1,'Criterio de matriz competencias'!$A:$A,0))="Todos","X",""),"")</f>
        <v>X</v>
      </c>
      <c r="T4" s="85" t="str">
        <f>IFERROR(IF(INDEX('Criterio de matriz competencias'!$F:$F,MATCH(T$1,'Criterio de matriz competencias'!$A:$A,0))="Todos","X",""),"")</f>
        <v/>
      </c>
      <c r="U4" s="85" t="s">
        <v>49</v>
      </c>
      <c r="V4" s="85" t="s">
        <v>49</v>
      </c>
      <c r="W4" s="85" t="s">
        <v>49</v>
      </c>
      <c r="X4" s="85" t="str">
        <f>IFERROR(IF(INDEX('Criterio de matriz competencias'!$F:$F,MATCH(X$1,'Criterio de matriz competencias'!$A:$A,0))="Todos","X",""),"")</f>
        <v>X</v>
      </c>
      <c r="Y4" s="85" t="str">
        <f>IFERROR(IF(INDEX('Criterio de matriz competencias'!$F:$F,MATCH(Y$1,'Criterio de matriz competencias'!$A:$A,0))="Todos","X",""),"")</f>
        <v>X</v>
      </c>
      <c r="Z4" s="85" t="s">
        <v>49</v>
      </c>
      <c r="AA4" s="85" t="s">
        <v>49</v>
      </c>
      <c r="AB4" s="85" t="s">
        <v>49</v>
      </c>
      <c r="AC4" s="85" t="s">
        <v>49</v>
      </c>
      <c r="AD4" s="85" t="str">
        <f>IFERROR(IF(INDEX('Criterio de matriz competencias'!$F:$F,MATCH(AD$1,'Criterio de matriz competencias'!$A:$A,0))="Todos","X",""),"")</f>
        <v>X</v>
      </c>
      <c r="AE4" s="85" t="s">
        <v>49</v>
      </c>
      <c r="AF4" s="85" t="str">
        <f>IFERROR(IF(INDEX('Criterio de matriz competencias'!$F:$F,MATCH(AF$1,'Criterio de matriz competencias'!$A:$A,0))="Todos","X",""),"")</f>
        <v/>
      </c>
      <c r="AG4" s="85" t="s">
        <v>49</v>
      </c>
      <c r="AH4" s="85" t="str">
        <f>IFERROR(IF(INDEX('Criterio de matriz competencias'!$F:$F,MATCH(AH$1,'Criterio de matriz competencias'!$A:$A,0))="Todos","X",""),"")</f>
        <v/>
      </c>
      <c r="AI4" s="85" t="str">
        <f>IFERROR(IF(INDEX('Criterio de matriz competencias'!$F:$F,MATCH(AI$1,'Criterio de matriz competencias'!$A:$A,0))="Todos","X",""),"")</f>
        <v/>
      </c>
      <c r="AJ4" s="85" t="str">
        <f>IFERROR(IF(INDEX('Criterio de matriz competencias'!$F:$F,MATCH(AJ$1,'Criterio de matriz competencias'!$A:$A,0))="Todos","X",""),"")</f>
        <v>X</v>
      </c>
      <c r="AK4" s="85" t="s">
        <v>49</v>
      </c>
      <c r="AL4" s="85" t="str">
        <f>IFERROR(IF(INDEX('Criterio de matriz competencias'!$F:$F,MATCH(AL$1,'Criterio de matriz competencias'!$A:$A,0))="Todos","X",""),"")</f>
        <v>X</v>
      </c>
      <c r="AM4" s="85" t="str">
        <f>IFERROR(IF(INDEX('Criterio de matriz competencias'!$F:$F,MATCH(AM$1,'Criterio de matriz competencias'!$A:$A,0))="Todos","X",""),"")</f>
        <v/>
      </c>
      <c r="AN4" s="85" t="s">
        <v>49</v>
      </c>
      <c r="AO4" s="85" t="s">
        <v>49</v>
      </c>
      <c r="AP4" s="85" t="str">
        <f>IFERROR(IF(INDEX('Criterio de matriz competencias'!$F:$F,MATCH(AP$1,'Criterio de matriz competencias'!$A:$A,0))="Todos","X",""),"")</f>
        <v/>
      </c>
      <c r="AQ4" s="85" t="s">
        <v>49</v>
      </c>
      <c r="AR4" s="85" t="str">
        <f>IFERROR(IF(INDEX('Criterio de matriz competencias'!$F:$F,MATCH(AR$1,'Criterio de matriz competencias'!$A:$A,0))="Todos","X",""),"")</f>
        <v/>
      </c>
      <c r="AS4" s="85" t="s">
        <v>49</v>
      </c>
      <c r="AT4" s="85" t="str">
        <f>IFERROR(IF(INDEX('Criterio de matriz competencias'!$F:$F,MATCH(AT$1,'Criterio de matriz competencias'!$A:$A,0))="Todos","X",""),"")</f>
        <v/>
      </c>
      <c r="AU4" s="85" t="str">
        <f>IFERROR(IF(INDEX('Criterio de matriz competencias'!$F:$F,MATCH(AU$1,'Criterio de matriz competencias'!$A:$A,0))="Todos","X",""),"")</f>
        <v>X</v>
      </c>
      <c r="AV4" s="85" t="str">
        <f>IFERROR(IF(INDEX('Criterio de matriz competencias'!$F:$F,MATCH(AV$1,'Criterio de matriz competencias'!$A:$A,0))="Todos","X",""),"")</f>
        <v>X</v>
      </c>
      <c r="AW4" s="85" t="str">
        <f>IFERROR(IF(INDEX('Criterio de matriz competencias'!$F:$F,MATCH(AW$1,'Criterio de matriz competencias'!$A:$A,0))="Todos","X",""),"")</f>
        <v>X</v>
      </c>
      <c r="AX4" s="85" t="str">
        <f>IFERROR(IF(INDEX('Criterio de matriz competencias'!$F:$F,MATCH(AX$1,'Criterio de matriz competencias'!$A:$A,0))="Todos","X",""),"")</f>
        <v>X</v>
      </c>
      <c r="AY4" s="85" t="str">
        <f>IFERROR(IF(INDEX('Criterio de matriz competencias'!$F:$F,MATCH(AY$1,'Criterio de matriz competencias'!$A:$A,0))="Todos","X",""),"")</f>
        <v>X</v>
      </c>
      <c r="AZ4" s="85" t="str">
        <f>IFERROR(IF(INDEX('Criterio de matriz competencias'!$F:$F,MATCH(AZ$1,'Criterio de matriz competencias'!$A:$A,0))="Todos","X",""),"")</f>
        <v>X</v>
      </c>
      <c r="BA4" s="85" t="str">
        <f>IFERROR(IF(INDEX('Criterio de matriz competencias'!$F:$F,MATCH(BA$1,'Criterio de matriz competencias'!$A:$A,0))="Todos","X",""),"")</f>
        <v/>
      </c>
      <c r="BB4" s="85" t="str">
        <f>IFERROR(IF(INDEX('Criterio de matriz competencias'!$F:$F,MATCH(BB$1,'Criterio de matriz competencias'!$A:$A,0))="Todos","X",""),"")</f>
        <v/>
      </c>
      <c r="BC4" s="85" t="str">
        <f>IFERROR(IF(INDEX('Criterio de matriz competencias'!$F:$F,MATCH(BC$1,'Criterio de matriz competencias'!$A:$A,0))="Todos","X",""),"")</f>
        <v/>
      </c>
      <c r="BD4" s="85" t="str">
        <f>IFERROR(IF(INDEX('Criterio de matriz competencias'!$F:$F,MATCH(BD$1,'Criterio de matriz competencias'!$A:$A,0))="Todos","X",""),"")</f>
        <v/>
      </c>
      <c r="BE4" s="85" t="str">
        <f>IFERROR(IF(INDEX('Criterio de matriz competencias'!$F:$F,MATCH(BE$1,'Criterio de matriz competencias'!$A:$A,0))="Todos","X",""),"")</f>
        <v/>
      </c>
      <c r="BF4" s="85" t="str">
        <f>IFERROR(IF(INDEX('Criterio de matriz competencias'!$F:$F,MATCH(BF$1,'Criterio de matriz competencias'!$A:$A,0))="Todos","X",""),"")</f>
        <v/>
      </c>
      <c r="BG4" s="85" t="str">
        <f>IFERROR(IF(INDEX('Criterio de matriz competencias'!$F:$F,MATCH(BG$1,'Criterio de matriz competencias'!$A:$A,0))="Todos","X",""),"")</f>
        <v/>
      </c>
      <c r="BH4" s="85" t="str">
        <f>IFERROR(IF(INDEX('Criterio de matriz competencias'!$F:$F,MATCH(BH$1,'Criterio de matriz competencias'!$A:$A,0))="Todos","X",""),"")</f>
        <v/>
      </c>
      <c r="BI4" s="85" t="str">
        <f>IFERROR(IF(INDEX('Criterio de matriz competencias'!$F:$F,MATCH(BI$1,'Criterio de matriz competencias'!$A:$A,0))="Todos","X",""),"")</f>
        <v/>
      </c>
      <c r="BJ4" s="85" t="str">
        <f>IFERROR(IF(INDEX('Criterio de matriz competencias'!$F:$F,MATCH(BJ$1,'Criterio de matriz competencias'!$A:$A,0))="Todos","X",""),"")</f>
        <v/>
      </c>
    </row>
    <row r="5" spans="1:62" ht="21.6" x14ac:dyDescent="0.3">
      <c r="A5" s="133" t="s">
        <v>32</v>
      </c>
      <c r="B5" s="133" t="s">
        <v>37</v>
      </c>
      <c r="C5" s="85" t="str">
        <f>IFERROR(IF(INDEX('Criterio de matriz competencias'!$F:$F,MATCH(C$1,'Criterio de matriz competencias'!$A:$A,0))="Todos","X",""),"")</f>
        <v/>
      </c>
      <c r="D5" s="85" t="str">
        <f>IFERROR(IF(INDEX('Criterio de matriz competencias'!$F:$F,MATCH(D$1,'Criterio de matriz competencias'!$A:$A,0))="Todos","X",""),"")</f>
        <v>X</v>
      </c>
      <c r="E5" s="85" t="str">
        <f>IFERROR(IF(INDEX('Criterio de matriz competencias'!$F:$F,MATCH(E$1,'Criterio de matriz competencias'!$A:$A,0))="Todos","X",""),"")</f>
        <v/>
      </c>
      <c r="F5" s="85" t="str">
        <f>IFERROR(IF(INDEX('Criterio de matriz competencias'!$F:$F,MATCH(F$1,'Criterio de matriz competencias'!$A:$A,0))="Todos","X",""),"")</f>
        <v/>
      </c>
      <c r="G5" s="85" t="s">
        <v>49</v>
      </c>
      <c r="H5" s="85" t="str">
        <f>IFERROR(IF(INDEX('Criterio de matriz competencias'!$F:$F,MATCH(H$1,'Criterio de matriz competencias'!$A:$A,0))="Todos","X",""),"")</f>
        <v>X</v>
      </c>
      <c r="I5" s="85" t="str">
        <f>IFERROR(IF(INDEX('Criterio de matriz competencias'!$F:$F,MATCH(I$1,'Criterio de matriz competencias'!$A:$A,0))="Todos","X",""),"")</f>
        <v>X</v>
      </c>
      <c r="J5" s="85" t="str">
        <f>IFERROR(IF(INDEX('Criterio de matriz competencias'!$F:$F,MATCH(J$1,'Criterio de matriz competencias'!$A:$A,0))="Todos","X",""),"")</f>
        <v>X</v>
      </c>
      <c r="K5" s="85"/>
      <c r="L5" s="85" t="s">
        <v>49</v>
      </c>
      <c r="M5" s="85" t="s">
        <v>49</v>
      </c>
      <c r="N5" s="85" t="str">
        <f>IFERROR(IF(INDEX('Criterio de matriz competencias'!$F:$F,MATCH(N$1,'Criterio de matriz competencias'!$A:$A,0))="Todos","X",""),"")</f>
        <v>X</v>
      </c>
      <c r="O5" s="85" t="str">
        <f>IFERROR(IF(INDEX('Criterio de matriz competencias'!$F:$F,MATCH(O$1,'Criterio de matriz competencias'!$A:$A,0))="Todos","X",""),"")</f>
        <v/>
      </c>
      <c r="P5" s="85" t="str">
        <f>IFERROR(IF(INDEX('Criterio de matriz competencias'!$F:$F,MATCH(P$1,'Criterio de matriz competencias'!$A:$A,0))="Todos","X",""),"")</f>
        <v/>
      </c>
      <c r="Q5" s="85" t="s">
        <v>49</v>
      </c>
      <c r="R5" s="85" t="str">
        <f>IFERROR(IF(INDEX('Criterio de matriz competencias'!$F:$F,MATCH(R$1,'Criterio de matriz competencias'!$A:$A,0))="Todos","X",""),"")</f>
        <v/>
      </c>
      <c r="S5" s="85" t="str">
        <f>IFERROR(IF(INDEX('Criterio de matriz competencias'!$F:$F,MATCH(S$1,'Criterio de matriz competencias'!$A:$A,0))="Todos","X",""),"")</f>
        <v>X</v>
      </c>
      <c r="T5" s="85" t="str">
        <f>IFERROR(IF(INDEX('Criterio de matriz competencias'!$F:$F,MATCH(T$1,'Criterio de matriz competencias'!$A:$A,0))="Todos","X",""),"")</f>
        <v/>
      </c>
      <c r="U5" s="85" t="s">
        <v>49</v>
      </c>
      <c r="V5" s="85" t="s">
        <v>49</v>
      </c>
      <c r="W5" s="85" t="s">
        <v>49</v>
      </c>
      <c r="X5" s="85" t="str">
        <f>IFERROR(IF(INDEX('Criterio de matriz competencias'!$F:$F,MATCH(X$1,'Criterio de matriz competencias'!$A:$A,0))="Todos","X",""),"")</f>
        <v>X</v>
      </c>
      <c r="Y5" s="85" t="str">
        <f>IFERROR(IF(INDEX('Criterio de matriz competencias'!$F:$F,MATCH(Y$1,'Criterio de matriz competencias'!$A:$A,0))="Todos","X",""),"")</f>
        <v>X</v>
      </c>
      <c r="Z5" s="85" t="s">
        <v>49</v>
      </c>
      <c r="AA5" s="85" t="s">
        <v>49</v>
      </c>
      <c r="AB5" s="85" t="s">
        <v>49</v>
      </c>
      <c r="AC5" s="85" t="s">
        <v>49</v>
      </c>
      <c r="AD5" s="85" t="str">
        <f>IFERROR(IF(INDEX('Criterio de matriz competencias'!$F:$F,MATCH(AD$1,'Criterio de matriz competencias'!$A:$A,0))="Todos","X",""),"")</f>
        <v>X</v>
      </c>
      <c r="AE5" s="85" t="s">
        <v>49</v>
      </c>
      <c r="AF5" s="85" t="str">
        <f>IFERROR(IF(INDEX('Criterio de matriz competencias'!$F:$F,MATCH(AF$1,'Criterio de matriz competencias'!$A:$A,0))="Todos","X",""),"")</f>
        <v/>
      </c>
      <c r="AG5" s="85" t="s">
        <v>49</v>
      </c>
      <c r="AH5" s="85" t="str">
        <f>IFERROR(IF(INDEX('Criterio de matriz competencias'!$F:$F,MATCH(AH$1,'Criterio de matriz competencias'!$A:$A,0))="Todos","X",""),"")</f>
        <v/>
      </c>
      <c r="AI5" s="85" t="str">
        <f>IFERROR(IF(INDEX('Criterio de matriz competencias'!$F:$F,MATCH(AI$1,'Criterio de matriz competencias'!$A:$A,0))="Todos","X",""),"")</f>
        <v/>
      </c>
      <c r="AJ5" s="85" t="str">
        <f>IFERROR(IF(INDEX('Criterio de matriz competencias'!$F:$F,MATCH(AJ$1,'Criterio de matriz competencias'!$A:$A,0))="Todos","X",""),"")</f>
        <v>X</v>
      </c>
      <c r="AK5" s="85" t="s">
        <v>49</v>
      </c>
      <c r="AL5" s="85" t="str">
        <f>IFERROR(IF(INDEX('Criterio de matriz competencias'!$F:$F,MATCH(AL$1,'Criterio de matriz competencias'!$A:$A,0))="Todos","X",""),"")</f>
        <v>X</v>
      </c>
      <c r="AM5" s="85" t="str">
        <f>IFERROR(IF(INDEX('Criterio de matriz competencias'!$F:$F,MATCH(AM$1,'Criterio de matriz competencias'!$A:$A,0))="Todos","X",""),"")</f>
        <v/>
      </c>
      <c r="AN5" s="85" t="s">
        <v>49</v>
      </c>
      <c r="AO5" s="85" t="s">
        <v>49</v>
      </c>
      <c r="AP5" s="85" t="str">
        <f>IFERROR(IF(INDEX('Criterio de matriz competencias'!$F:$F,MATCH(AP$1,'Criterio de matriz competencias'!$A:$A,0))="Todos","X",""),"")</f>
        <v/>
      </c>
      <c r="AQ5" s="85" t="s">
        <v>49</v>
      </c>
      <c r="AR5" s="85" t="str">
        <f>IFERROR(IF(INDEX('Criterio de matriz competencias'!$F:$F,MATCH(AR$1,'Criterio de matriz competencias'!$A:$A,0))="Todos","X",""),"")</f>
        <v/>
      </c>
      <c r="AS5" s="85" t="s">
        <v>49</v>
      </c>
      <c r="AT5" s="85" t="str">
        <f>IFERROR(IF(INDEX('Criterio de matriz competencias'!$F:$F,MATCH(AT$1,'Criterio de matriz competencias'!$A:$A,0))="Todos","X",""),"")</f>
        <v/>
      </c>
      <c r="AU5" s="85" t="str">
        <f>IFERROR(IF(INDEX('Criterio de matriz competencias'!$F:$F,MATCH(AU$1,'Criterio de matriz competencias'!$A:$A,0))="Todos","X",""),"")</f>
        <v>X</v>
      </c>
      <c r="AV5" s="85" t="str">
        <f>IFERROR(IF(INDEX('Criterio de matriz competencias'!$F:$F,MATCH(AV$1,'Criterio de matriz competencias'!$A:$A,0))="Todos","X",""),"")</f>
        <v>X</v>
      </c>
      <c r="AW5" s="85" t="str">
        <f>IFERROR(IF(INDEX('Criterio de matriz competencias'!$F:$F,MATCH(AW$1,'Criterio de matriz competencias'!$A:$A,0))="Todos","X",""),"")</f>
        <v>X</v>
      </c>
      <c r="AX5" s="85" t="str">
        <f>IFERROR(IF(INDEX('Criterio de matriz competencias'!$F:$F,MATCH(AX$1,'Criterio de matriz competencias'!$A:$A,0))="Todos","X",""),"")</f>
        <v>X</v>
      </c>
      <c r="AY5" s="85" t="str">
        <f>IFERROR(IF(INDEX('Criterio de matriz competencias'!$F:$F,MATCH(AY$1,'Criterio de matriz competencias'!$A:$A,0))="Todos","X",""),"")</f>
        <v>X</v>
      </c>
      <c r="AZ5" s="85" t="str">
        <f>IFERROR(IF(INDEX('Criterio de matriz competencias'!$F:$F,MATCH(AZ$1,'Criterio de matriz competencias'!$A:$A,0))="Todos","X",""),"")</f>
        <v>X</v>
      </c>
      <c r="BA5" s="85" t="str">
        <f>IFERROR(IF(INDEX('Criterio de matriz competencias'!$F:$F,MATCH(BA$1,'Criterio de matriz competencias'!$A:$A,0))="Todos","X",""),"")</f>
        <v/>
      </c>
      <c r="BB5" s="85" t="str">
        <f>IFERROR(IF(INDEX('Criterio de matriz competencias'!$F:$F,MATCH(BB$1,'Criterio de matriz competencias'!$A:$A,0))="Todos","X",""),"")</f>
        <v/>
      </c>
      <c r="BC5" s="85" t="str">
        <f>IFERROR(IF(INDEX('Criterio de matriz competencias'!$F:$F,MATCH(BC$1,'Criterio de matriz competencias'!$A:$A,0))="Todos","X",""),"")</f>
        <v/>
      </c>
      <c r="BD5" s="85" t="str">
        <f>IFERROR(IF(INDEX('Criterio de matriz competencias'!$F:$F,MATCH(BD$1,'Criterio de matriz competencias'!$A:$A,0))="Todos","X",""),"")</f>
        <v/>
      </c>
      <c r="BE5" s="85" t="str">
        <f>IFERROR(IF(INDEX('Criterio de matriz competencias'!$F:$F,MATCH(BE$1,'Criterio de matriz competencias'!$A:$A,0))="Todos","X",""),"")</f>
        <v/>
      </c>
      <c r="BF5" s="85" t="str">
        <f>IFERROR(IF(INDEX('Criterio de matriz competencias'!$F:$F,MATCH(BF$1,'Criterio de matriz competencias'!$A:$A,0))="Todos","X",""),"")</f>
        <v/>
      </c>
      <c r="BG5" s="85" t="str">
        <f>IFERROR(IF(INDEX('Criterio de matriz competencias'!$F:$F,MATCH(BG$1,'Criterio de matriz competencias'!$A:$A,0))="Todos","X",""),"")</f>
        <v/>
      </c>
      <c r="BH5" s="85" t="str">
        <f>IFERROR(IF(INDEX('Criterio de matriz competencias'!$F:$F,MATCH(BH$1,'Criterio de matriz competencias'!$A:$A,0))="Todos","X",""),"")</f>
        <v/>
      </c>
      <c r="BI5" s="85" t="str">
        <f>IFERROR(IF(INDEX('Criterio de matriz competencias'!$F:$F,MATCH(BI$1,'Criterio de matriz competencias'!$A:$A,0))="Todos","X",""),"")</f>
        <v/>
      </c>
      <c r="BJ5" s="85" t="str">
        <f>IFERROR(IF(INDEX('Criterio de matriz competencias'!$F:$F,MATCH(BJ$1,'Criterio de matriz competencias'!$A:$A,0))="Todos","X",""),"")</f>
        <v/>
      </c>
    </row>
    <row r="6" spans="1:62" ht="21.6" x14ac:dyDescent="0.3">
      <c r="A6" s="133" t="s">
        <v>32</v>
      </c>
      <c r="B6" s="133" t="s">
        <v>38</v>
      </c>
      <c r="C6" s="85" t="str">
        <f>IFERROR(IF(INDEX('Criterio de matriz competencias'!$F:$F,MATCH(C$1,'Criterio de matriz competencias'!$A:$A,0))="Todos","X",""),"")</f>
        <v/>
      </c>
      <c r="D6" s="85" t="str">
        <f>IFERROR(IF(INDEX('Criterio de matriz competencias'!$F:$F,MATCH(D$1,'Criterio de matriz competencias'!$A:$A,0))="Todos","X",""),"")</f>
        <v>X</v>
      </c>
      <c r="E6" s="85" t="str">
        <f>IFERROR(IF(INDEX('Criterio de matriz competencias'!$F:$F,MATCH(E$1,'Criterio de matriz competencias'!$A:$A,0))="Todos","X",""),"")</f>
        <v/>
      </c>
      <c r="F6" s="85" t="str">
        <f>IFERROR(IF(INDEX('Criterio de matriz competencias'!$F:$F,MATCH(F$1,'Criterio de matriz competencias'!$A:$A,0))="Todos","X",""),"")</f>
        <v/>
      </c>
      <c r="G6" s="85" t="s">
        <v>49</v>
      </c>
      <c r="H6" s="85" t="str">
        <f>IFERROR(IF(INDEX('Criterio de matriz competencias'!$F:$F,MATCH(H$1,'Criterio de matriz competencias'!$A:$A,0))="Todos","X",""),"")</f>
        <v>X</v>
      </c>
      <c r="I6" s="85" t="str">
        <f>IFERROR(IF(INDEX('Criterio de matriz competencias'!$F:$F,MATCH(I$1,'Criterio de matriz competencias'!$A:$A,0))="Todos","X",""),"")</f>
        <v>X</v>
      </c>
      <c r="J6" s="85" t="str">
        <f>IFERROR(IF(INDEX('Criterio de matriz competencias'!$F:$F,MATCH(J$1,'Criterio de matriz competencias'!$A:$A,0))="Todos","X",""),"")</f>
        <v>X</v>
      </c>
      <c r="K6" s="85" t="str">
        <f>IFERROR(IF(INDEX('Criterio de matriz competencias'!$F:$F,MATCH(K$1,'Criterio de matriz competencias'!$A:$A,0))="Todos","X",""),"")</f>
        <v/>
      </c>
      <c r="L6" s="85" t="s">
        <v>49</v>
      </c>
      <c r="M6" s="85" t="s">
        <v>49</v>
      </c>
      <c r="N6" s="85" t="str">
        <f>IFERROR(IF(INDEX('Criterio de matriz competencias'!$F:$F,MATCH(N$1,'Criterio de matriz competencias'!$A:$A,0))="Todos","X",""),"")</f>
        <v>X</v>
      </c>
      <c r="O6" s="85" t="str">
        <f>IFERROR(IF(INDEX('Criterio de matriz competencias'!$F:$F,MATCH(O$1,'Criterio de matriz competencias'!$A:$A,0))="Todos","X",""),"")</f>
        <v/>
      </c>
      <c r="P6" s="85" t="str">
        <f>IFERROR(IF(INDEX('Criterio de matriz competencias'!$F:$F,MATCH(P$1,'Criterio de matriz competencias'!$A:$A,0))="Todos","X",""),"")</f>
        <v/>
      </c>
      <c r="Q6" s="85" t="s">
        <v>49</v>
      </c>
      <c r="R6" s="85" t="str">
        <f>IFERROR(IF(INDEX('Criterio de matriz competencias'!$F:$F,MATCH(R$1,'Criterio de matriz competencias'!$A:$A,0))="Todos","X",""),"")</f>
        <v/>
      </c>
      <c r="S6" s="85" t="str">
        <f>IFERROR(IF(INDEX('Criterio de matriz competencias'!$F:$F,MATCH(S$1,'Criterio de matriz competencias'!$A:$A,0))="Todos","X",""),"")</f>
        <v>X</v>
      </c>
      <c r="T6" s="85" t="str">
        <f>IFERROR(IF(INDEX('Criterio de matriz competencias'!$F:$F,MATCH(T$1,'Criterio de matriz competencias'!$A:$A,0))="Todos","X",""),"")</f>
        <v/>
      </c>
      <c r="U6" s="85" t="s">
        <v>49</v>
      </c>
      <c r="V6" s="85" t="s">
        <v>49</v>
      </c>
      <c r="W6" s="85" t="s">
        <v>49</v>
      </c>
      <c r="X6" s="85" t="str">
        <f>IFERROR(IF(INDEX('Criterio de matriz competencias'!$F:$F,MATCH(X$1,'Criterio de matriz competencias'!$A:$A,0))="Todos","X",""),"")</f>
        <v>X</v>
      </c>
      <c r="Y6" s="85" t="str">
        <f>IFERROR(IF(INDEX('Criterio de matriz competencias'!$F:$F,MATCH(Y$1,'Criterio de matriz competencias'!$A:$A,0))="Todos","X",""),"")</f>
        <v>X</v>
      </c>
      <c r="Z6" s="85" t="s">
        <v>49</v>
      </c>
      <c r="AA6" s="85" t="s">
        <v>49</v>
      </c>
      <c r="AB6" s="85" t="s">
        <v>49</v>
      </c>
      <c r="AC6" s="85" t="s">
        <v>49</v>
      </c>
      <c r="AD6" s="85" t="str">
        <f>IFERROR(IF(INDEX('Criterio de matriz competencias'!$F:$F,MATCH(AD$1,'Criterio de matriz competencias'!$A:$A,0))="Todos","X",""),"")</f>
        <v>X</v>
      </c>
      <c r="AE6" s="85" t="s">
        <v>49</v>
      </c>
      <c r="AF6" s="85" t="str">
        <f>IFERROR(IF(INDEX('Criterio de matriz competencias'!$F:$F,MATCH(AF$1,'Criterio de matriz competencias'!$A:$A,0))="Todos","X",""),"")</f>
        <v/>
      </c>
      <c r="AG6" s="85" t="s">
        <v>49</v>
      </c>
      <c r="AH6" s="85" t="str">
        <f>IFERROR(IF(INDEX('Criterio de matriz competencias'!$F:$F,MATCH(AH$1,'Criterio de matriz competencias'!$A:$A,0))="Todos","X",""),"")</f>
        <v/>
      </c>
      <c r="AI6" s="85" t="str">
        <f>IFERROR(IF(INDEX('Criterio de matriz competencias'!$F:$F,MATCH(AI$1,'Criterio de matriz competencias'!$A:$A,0))="Todos","X",""),"")</f>
        <v/>
      </c>
      <c r="AJ6" s="85" t="str">
        <f>IFERROR(IF(INDEX('Criterio de matriz competencias'!$F:$F,MATCH(AJ$1,'Criterio de matriz competencias'!$A:$A,0))="Todos","X",""),"")</f>
        <v>X</v>
      </c>
      <c r="AK6" s="85" t="s">
        <v>49</v>
      </c>
      <c r="AL6" s="85" t="str">
        <f>IFERROR(IF(INDEX('Criterio de matriz competencias'!$F:$F,MATCH(AL$1,'Criterio de matriz competencias'!$A:$A,0))="Todos","X",""),"")</f>
        <v>X</v>
      </c>
      <c r="AM6" s="85" t="str">
        <f>IFERROR(IF(INDEX('Criterio de matriz competencias'!$F:$F,MATCH(AM$1,'Criterio de matriz competencias'!$A:$A,0))="Todos","X",""),"")</f>
        <v/>
      </c>
      <c r="AN6" s="85" t="s">
        <v>49</v>
      </c>
      <c r="AO6" s="85" t="s">
        <v>49</v>
      </c>
      <c r="AP6" s="85" t="str">
        <f>IFERROR(IF(INDEX('Criterio de matriz competencias'!$F:$F,MATCH(AP$1,'Criterio de matriz competencias'!$A:$A,0))="Todos","X",""),"")</f>
        <v/>
      </c>
      <c r="AQ6" s="85" t="s">
        <v>49</v>
      </c>
      <c r="AR6" s="85" t="str">
        <f>IFERROR(IF(INDEX('Criterio de matriz competencias'!$F:$F,MATCH(AR$1,'Criterio de matriz competencias'!$A:$A,0))="Todos","X",""),"")</f>
        <v/>
      </c>
      <c r="AS6" s="85" t="s">
        <v>49</v>
      </c>
      <c r="AT6" s="85" t="str">
        <f>IFERROR(IF(INDEX('Criterio de matriz competencias'!$F:$F,MATCH(AT$1,'Criterio de matriz competencias'!$A:$A,0))="Todos","X",""),"")</f>
        <v/>
      </c>
      <c r="AU6" s="85" t="str">
        <f>IFERROR(IF(INDEX('Criterio de matriz competencias'!$F:$F,MATCH(AU$1,'Criterio de matriz competencias'!$A:$A,0))="Todos","X",""),"")</f>
        <v>X</v>
      </c>
      <c r="AV6" s="85" t="str">
        <f>IFERROR(IF(INDEX('Criterio de matriz competencias'!$F:$F,MATCH(AV$1,'Criterio de matriz competencias'!$A:$A,0))="Todos","X",""),"")</f>
        <v>X</v>
      </c>
      <c r="AW6" s="85" t="str">
        <f>IFERROR(IF(INDEX('Criterio de matriz competencias'!$F:$F,MATCH(AW$1,'Criterio de matriz competencias'!$A:$A,0))="Todos","X",""),"")</f>
        <v>X</v>
      </c>
      <c r="AX6" s="85" t="str">
        <f>IFERROR(IF(INDEX('Criterio de matriz competencias'!$F:$F,MATCH(AX$1,'Criterio de matriz competencias'!$A:$A,0))="Todos","X",""),"")</f>
        <v>X</v>
      </c>
      <c r="AY6" s="85" t="str">
        <f>IFERROR(IF(INDEX('Criterio de matriz competencias'!$F:$F,MATCH(AY$1,'Criterio de matriz competencias'!$A:$A,0))="Todos","X",""),"")</f>
        <v>X</v>
      </c>
      <c r="AZ6" s="85" t="str">
        <f>IFERROR(IF(INDEX('Criterio de matriz competencias'!$F:$F,MATCH(AZ$1,'Criterio de matriz competencias'!$A:$A,0))="Todos","X",""),"")</f>
        <v>X</v>
      </c>
      <c r="BA6" s="85" t="str">
        <f>IFERROR(IF(INDEX('Criterio de matriz competencias'!$F:$F,MATCH(BA$1,'Criterio de matriz competencias'!$A:$A,0))="Todos","X",""),"")</f>
        <v/>
      </c>
      <c r="BB6" s="85" t="str">
        <f>IFERROR(IF(INDEX('Criterio de matriz competencias'!$F:$F,MATCH(BB$1,'Criterio de matriz competencias'!$A:$A,0))="Todos","X",""),"")</f>
        <v/>
      </c>
      <c r="BC6" s="85" t="str">
        <f>IFERROR(IF(INDEX('Criterio de matriz competencias'!$F:$F,MATCH(BC$1,'Criterio de matriz competencias'!$A:$A,0))="Todos","X",""),"")</f>
        <v/>
      </c>
      <c r="BD6" s="85" t="str">
        <f>IFERROR(IF(INDEX('Criterio de matriz competencias'!$F:$F,MATCH(BD$1,'Criterio de matriz competencias'!$A:$A,0))="Todos","X",""),"")</f>
        <v/>
      </c>
      <c r="BE6" s="85" t="str">
        <f>IFERROR(IF(INDEX('Criterio de matriz competencias'!$F:$F,MATCH(BE$1,'Criterio de matriz competencias'!$A:$A,0))="Todos","X",""),"")</f>
        <v/>
      </c>
      <c r="BF6" s="85" t="str">
        <f>IFERROR(IF(INDEX('Criterio de matriz competencias'!$F:$F,MATCH(BF$1,'Criterio de matriz competencias'!$A:$A,0))="Todos","X",""),"")</f>
        <v/>
      </c>
      <c r="BG6" s="85" t="str">
        <f>IFERROR(IF(INDEX('Criterio de matriz competencias'!$F:$F,MATCH(BG$1,'Criterio de matriz competencias'!$A:$A,0))="Todos","X",""),"")</f>
        <v/>
      </c>
      <c r="BH6" s="85" t="str">
        <f>IFERROR(IF(INDEX('Criterio de matriz competencias'!$F:$F,MATCH(BH$1,'Criterio de matriz competencias'!$A:$A,0))="Todos","X",""),"")</f>
        <v/>
      </c>
      <c r="BI6" s="85" t="str">
        <f>IFERROR(IF(INDEX('Criterio de matriz competencias'!$F:$F,MATCH(BI$1,'Criterio de matriz competencias'!$A:$A,0))="Todos","X",""),"")</f>
        <v/>
      </c>
      <c r="BJ6" s="85" t="str">
        <f>IFERROR(IF(INDEX('Criterio de matriz competencias'!$F:$F,MATCH(BJ$1,'Criterio de matriz competencias'!$A:$A,0))="Todos","X",""),"")</f>
        <v/>
      </c>
    </row>
    <row r="7" spans="1:62" x14ac:dyDescent="0.3">
      <c r="A7" s="133"/>
      <c r="B7" s="133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 t="str">
        <f>IFERROR(IF(INDEX('Criterio de matriz competencias'!$F:$F,MATCH(BD$1,'Criterio de matriz competencias'!$A:$A,0))="Todos","X",""),"")</f>
        <v/>
      </c>
      <c r="BE7" s="85" t="str">
        <f>IFERROR(IF(INDEX('Criterio de matriz competencias'!$F:$F,MATCH(BE$1,'Criterio de matriz competencias'!$A:$A,0))="Todos","X",""),"")</f>
        <v/>
      </c>
      <c r="BF7" s="85" t="str">
        <f>IFERROR(IF(INDEX('Criterio de matriz competencias'!$F:$F,MATCH(BF$1,'Criterio de matriz competencias'!$A:$A,0))="Todos","X",""),"")</f>
        <v/>
      </c>
      <c r="BG7" s="85" t="str">
        <f>IFERROR(IF(INDEX('Criterio de matriz competencias'!$F:$F,MATCH(BG$1,'Criterio de matriz competencias'!$A:$A,0))="Todos","X",""),"")</f>
        <v/>
      </c>
      <c r="BH7" s="85" t="str">
        <f>IFERROR(IF(INDEX('Criterio de matriz competencias'!$F:$F,MATCH(BH$1,'Criterio de matriz competencias'!$A:$A,0))="Todos","X",""),"")</f>
        <v/>
      </c>
      <c r="BI7" s="85" t="str">
        <f>IFERROR(IF(INDEX('Criterio de matriz competencias'!$F:$F,MATCH(BI$1,'Criterio de matriz competencias'!$A:$A,0))="Todos","X",""),"")</f>
        <v/>
      </c>
      <c r="BJ7" s="85" t="str">
        <f>IFERROR(IF(INDEX('Criterio de matriz competencias'!$F:$F,MATCH(BJ$1,'Criterio de matriz competencias'!$A:$A,0))="Todos","X",""),"")</f>
        <v/>
      </c>
    </row>
    <row r="8" spans="1:62" x14ac:dyDescent="0.3">
      <c r="A8" s="133"/>
      <c r="B8" s="133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 t="str">
        <f>IFERROR(IF(INDEX('Criterio de matriz competencias'!$F:$F,MATCH(BD$1,'Criterio de matriz competencias'!$A:$A,0))="Todos","X",""),"")</f>
        <v/>
      </c>
      <c r="BE8" s="85" t="str">
        <f>IFERROR(IF(INDEX('Criterio de matriz competencias'!$F:$F,MATCH(BE$1,'Criterio de matriz competencias'!$A:$A,0))="Todos","X",""),"")</f>
        <v/>
      </c>
      <c r="BF8" s="85" t="str">
        <f>IFERROR(IF(INDEX('Criterio de matriz competencias'!$F:$F,MATCH(BF$1,'Criterio de matriz competencias'!$A:$A,0))="Todos","X",""),"")</f>
        <v/>
      </c>
      <c r="BG8" s="85" t="str">
        <f>IFERROR(IF(INDEX('Criterio de matriz competencias'!$F:$F,MATCH(BG$1,'Criterio de matriz competencias'!$A:$A,0))="Todos","X",""),"")</f>
        <v/>
      </c>
      <c r="BH8" s="85" t="str">
        <f>IFERROR(IF(INDEX('Criterio de matriz competencias'!$F:$F,MATCH(BH$1,'Criterio de matriz competencias'!$A:$A,0))="Todos","X",""),"")</f>
        <v/>
      </c>
      <c r="BI8" s="85" t="str">
        <f>IFERROR(IF(INDEX('Criterio de matriz competencias'!$F:$F,MATCH(BI$1,'Criterio de matriz competencias'!$A:$A,0))="Todos","X",""),"")</f>
        <v/>
      </c>
      <c r="BJ8" s="85" t="str">
        <f>IFERROR(IF(INDEX('Criterio de matriz competencias'!$F:$F,MATCH(BJ$1,'Criterio de matriz competencias'!$A:$A,0))="Todos","X",""),"")</f>
        <v/>
      </c>
    </row>
    <row r="9" spans="1:62" x14ac:dyDescent="0.3">
      <c r="A9" s="133"/>
      <c r="B9" s="133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 t="str">
        <f>IFERROR(IF(INDEX('Criterio de matriz competencias'!$F:$F,MATCH(BD$1,'Criterio de matriz competencias'!$A:$A,0))="Todos","X",""),"")</f>
        <v/>
      </c>
      <c r="BE9" s="85" t="str">
        <f>IFERROR(IF(INDEX('Criterio de matriz competencias'!$F:$F,MATCH(BE$1,'Criterio de matriz competencias'!$A:$A,0))="Todos","X",""),"")</f>
        <v/>
      </c>
      <c r="BF9" s="85" t="str">
        <f>IFERROR(IF(INDEX('Criterio de matriz competencias'!$F:$F,MATCH(BF$1,'Criterio de matriz competencias'!$A:$A,0))="Todos","X",""),"")</f>
        <v/>
      </c>
      <c r="BG9" s="85" t="str">
        <f>IFERROR(IF(INDEX('Criterio de matriz competencias'!$F:$F,MATCH(BG$1,'Criterio de matriz competencias'!$A:$A,0))="Todos","X",""),"")</f>
        <v/>
      </c>
      <c r="BH9" s="85" t="str">
        <f>IFERROR(IF(INDEX('Criterio de matriz competencias'!$F:$F,MATCH(BH$1,'Criterio de matriz competencias'!$A:$A,0))="Todos","X",""),"")</f>
        <v/>
      </c>
      <c r="BI9" s="85" t="str">
        <f>IFERROR(IF(INDEX('Criterio de matriz competencias'!$F:$F,MATCH(BI$1,'Criterio de matriz competencias'!$A:$A,0))="Todos","X",""),"")</f>
        <v/>
      </c>
      <c r="BJ9" s="85" t="str">
        <f>IFERROR(IF(INDEX('Criterio de matriz competencias'!$F:$F,MATCH(BJ$1,'Criterio de matriz competencias'!$A:$A,0))="Todos","X",""),"")</f>
        <v/>
      </c>
    </row>
    <row r="10" spans="1:62" x14ac:dyDescent="0.3">
      <c r="A10" s="133"/>
      <c r="B10" s="133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 t="str">
        <f>IFERROR(IF(INDEX('Criterio de matriz competencias'!$F:$F,MATCH(BD$1,'Criterio de matriz competencias'!$A:$A,0))="Todos","X",""),"")</f>
        <v/>
      </c>
      <c r="BE10" s="85" t="str">
        <f>IFERROR(IF(INDEX('Criterio de matriz competencias'!$F:$F,MATCH(BE$1,'Criterio de matriz competencias'!$A:$A,0))="Todos","X",""),"")</f>
        <v/>
      </c>
      <c r="BF10" s="85" t="str">
        <f>IFERROR(IF(INDEX('Criterio de matriz competencias'!$F:$F,MATCH(BF$1,'Criterio de matriz competencias'!$A:$A,0))="Todos","X",""),"")</f>
        <v/>
      </c>
      <c r="BG10" s="85" t="str">
        <f>IFERROR(IF(INDEX('Criterio de matriz competencias'!$F:$F,MATCH(BG$1,'Criterio de matriz competencias'!$A:$A,0))="Todos","X",""),"")</f>
        <v/>
      </c>
      <c r="BH10" s="85" t="str">
        <f>IFERROR(IF(INDEX('Criterio de matriz competencias'!$F:$F,MATCH(BH$1,'Criterio de matriz competencias'!$A:$A,0))="Todos","X",""),"")</f>
        <v/>
      </c>
      <c r="BI10" s="85" t="str">
        <f>IFERROR(IF(INDEX('Criterio de matriz competencias'!$F:$F,MATCH(BI$1,'Criterio de matriz competencias'!$A:$A,0))="Todos","X",""),"")</f>
        <v/>
      </c>
      <c r="BJ10" s="85" t="str">
        <f>IFERROR(IF(INDEX('Criterio de matriz competencias'!$F:$F,MATCH(BJ$1,'Criterio de matriz competencias'!$A:$A,0))="Todos","X",""),"")</f>
        <v/>
      </c>
    </row>
    <row r="11" spans="1:62" x14ac:dyDescent="0.3">
      <c r="A11" s="133"/>
      <c r="B11" s="133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 t="str">
        <f>IFERROR(IF(INDEX('Criterio de matriz competencias'!$F:$F,MATCH(BD$1,'Criterio de matriz competencias'!$A:$A,0))="Todos","X",""),"")</f>
        <v/>
      </c>
      <c r="BE11" s="85" t="str">
        <f>IFERROR(IF(INDEX('Criterio de matriz competencias'!$F:$F,MATCH(BE$1,'Criterio de matriz competencias'!$A:$A,0))="Todos","X",""),"")</f>
        <v/>
      </c>
      <c r="BF11" s="85" t="str">
        <f>IFERROR(IF(INDEX('Criterio de matriz competencias'!$F:$F,MATCH(BF$1,'Criterio de matriz competencias'!$A:$A,0))="Todos","X",""),"")</f>
        <v/>
      </c>
      <c r="BG11" s="85" t="str">
        <f>IFERROR(IF(INDEX('Criterio de matriz competencias'!$F:$F,MATCH(BG$1,'Criterio de matriz competencias'!$A:$A,0))="Todos","X",""),"")</f>
        <v/>
      </c>
      <c r="BH11" s="85" t="str">
        <f>IFERROR(IF(INDEX('Criterio de matriz competencias'!$F:$F,MATCH(BH$1,'Criterio de matriz competencias'!$A:$A,0))="Todos","X",""),"")</f>
        <v/>
      </c>
      <c r="BI11" s="85" t="str">
        <f>IFERROR(IF(INDEX('Criterio de matriz competencias'!$F:$F,MATCH(BI$1,'Criterio de matriz competencias'!$A:$A,0))="Todos","X",""),"")</f>
        <v/>
      </c>
      <c r="BJ11" s="85" t="str">
        <f>IFERROR(IF(INDEX('Criterio de matriz competencias'!$F:$F,MATCH(BJ$1,'Criterio de matriz competencias'!$A:$A,0))="Todos","X",""),"")</f>
        <v/>
      </c>
    </row>
    <row r="12" spans="1:62" x14ac:dyDescent="0.3">
      <c r="A12" s="133"/>
      <c r="B12" s="133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 t="str">
        <f>IFERROR(IF(INDEX('Criterio de matriz competencias'!$F:$F,MATCH(BD$1,'Criterio de matriz competencias'!$A:$A,0))="Todos","X",""),"")</f>
        <v/>
      </c>
      <c r="BE12" s="85" t="str">
        <f>IFERROR(IF(INDEX('Criterio de matriz competencias'!$F:$F,MATCH(BE$1,'Criterio de matriz competencias'!$A:$A,0))="Todos","X",""),"")</f>
        <v/>
      </c>
      <c r="BF12" s="85" t="str">
        <f>IFERROR(IF(INDEX('Criterio de matriz competencias'!$F:$F,MATCH(BF$1,'Criterio de matriz competencias'!$A:$A,0))="Todos","X",""),"")</f>
        <v/>
      </c>
      <c r="BG12" s="85" t="str">
        <f>IFERROR(IF(INDEX('Criterio de matriz competencias'!$F:$F,MATCH(BG$1,'Criterio de matriz competencias'!$A:$A,0))="Todos","X",""),"")</f>
        <v/>
      </c>
      <c r="BH12" s="85" t="str">
        <f>IFERROR(IF(INDEX('Criterio de matriz competencias'!$F:$F,MATCH(BH$1,'Criterio de matriz competencias'!$A:$A,0))="Todos","X",""),"")</f>
        <v/>
      </c>
      <c r="BI12" s="85" t="str">
        <f>IFERROR(IF(INDEX('Criterio de matriz competencias'!$F:$F,MATCH(BI$1,'Criterio de matriz competencias'!$A:$A,0))="Todos","X",""),"")</f>
        <v/>
      </c>
      <c r="BJ12" s="85" t="str">
        <f>IFERROR(IF(INDEX('Criterio de matriz competencias'!$F:$F,MATCH(BJ$1,'Criterio de matriz competencias'!$A:$A,0))="Todos","X",""),"")</f>
        <v/>
      </c>
    </row>
    <row r="13" spans="1:62" x14ac:dyDescent="0.3">
      <c r="A13" s="133"/>
      <c r="B13" s="133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 t="str">
        <f>IFERROR(IF(INDEX('Criterio de matriz competencias'!$F:$F,MATCH(BD$1,'Criterio de matriz competencias'!$A:$A,0))="Todos","X",""),"")</f>
        <v/>
      </c>
      <c r="BE13" s="85" t="str">
        <f>IFERROR(IF(INDEX('Criterio de matriz competencias'!$F:$F,MATCH(BE$1,'Criterio de matriz competencias'!$A:$A,0))="Todos","X",""),"")</f>
        <v/>
      </c>
      <c r="BF13" s="85" t="str">
        <f>IFERROR(IF(INDEX('Criterio de matriz competencias'!$F:$F,MATCH(BF$1,'Criterio de matriz competencias'!$A:$A,0))="Todos","X",""),"")</f>
        <v/>
      </c>
      <c r="BG13" s="85" t="str">
        <f>IFERROR(IF(INDEX('Criterio de matriz competencias'!$F:$F,MATCH(BG$1,'Criterio de matriz competencias'!$A:$A,0))="Todos","X",""),"")</f>
        <v/>
      </c>
      <c r="BH13" s="85" t="str">
        <f>IFERROR(IF(INDEX('Criterio de matriz competencias'!$F:$F,MATCH(BH$1,'Criterio de matriz competencias'!$A:$A,0))="Todos","X",""),"")</f>
        <v/>
      </c>
      <c r="BI13" s="85" t="str">
        <f>IFERROR(IF(INDEX('Criterio de matriz competencias'!$F:$F,MATCH(BI$1,'Criterio de matriz competencias'!$A:$A,0))="Todos","X",""),"")</f>
        <v/>
      </c>
      <c r="BJ13" s="85" t="str">
        <f>IFERROR(IF(INDEX('Criterio de matriz competencias'!$F:$F,MATCH(BJ$1,'Criterio de matriz competencias'!$A:$A,0))="Todos","X",""),"")</f>
        <v/>
      </c>
    </row>
    <row r="14" spans="1:62" x14ac:dyDescent="0.3">
      <c r="A14" s="133"/>
      <c r="B14" s="133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 t="str">
        <f>IFERROR(IF(INDEX('Criterio de matriz competencias'!$F:$F,MATCH(BD$1,'Criterio de matriz competencias'!$A:$A,0))="Todos","X",""),"")</f>
        <v/>
      </c>
      <c r="BE14" s="85" t="str">
        <f>IFERROR(IF(INDEX('Criterio de matriz competencias'!$F:$F,MATCH(BE$1,'Criterio de matriz competencias'!$A:$A,0))="Todos","X",""),"")</f>
        <v/>
      </c>
      <c r="BF14" s="85" t="str">
        <f>IFERROR(IF(INDEX('Criterio de matriz competencias'!$F:$F,MATCH(BF$1,'Criterio de matriz competencias'!$A:$A,0))="Todos","X",""),"")</f>
        <v/>
      </c>
      <c r="BG14" s="85" t="str">
        <f>IFERROR(IF(INDEX('Criterio de matriz competencias'!$F:$F,MATCH(BG$1,'Criterio de matriz competencias'!$A:$A,0))="Todos","X",""),"")</f>
        <v/>
      </c>
      <c r="BH14" s="85" t="str">
        <f>IFERROR(IF(INDEX('Criterio de matriz competencias'!$F:$F,MATCH(BH$1,'Criterio de matriz competencias'!$A:$A,0))="Todos","X",""),"")</f>
        <v/>
      </c>
      <c r="BI14" s="85" t="str">
        <f>IFERROR(IF(INDEX('Criterio de matriz competencias'!$F:$F,MATCH(BI$1,'Criterio de matriz competencias'!$A:$A,0))="Todos","X",""),"")</f>
        <v/>
      </c>
      <c r="BJ14" s="85" t="str">
        <f>IFERROR(IF(INDEX('Criterio de matriz competencias'!$F:$F,MATCH(BJ$1,'Criterio de matriz competencias'!$A:$A,0))="Todos","X",""),"")</f>
        <v/>
      </c>
    </row>
    <row r="15" spans="1:62" x14ac:dyDescent="0.3">
      <c r="A15" s="133"/>
      <c r="B15" s="133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 t="str">
        <f>IFERROR(IF(INDEX('Criterio de matriz competencias'!$F:$F,MATCH(BD$1,'Criterio de matriz competencias'!$A:$A,0))="Todos","X",""),"")</f>
        <v/>
      </c>
      <c r="BE15" s="85" t="str">
        <f>IFERROR(IF(INDEX('Criterio de matriz competencias'!$F:$F,MATCH(BE$1,'Criterio de matriz competencias'!$A:$A,0))="Todos","X",""),"")</f>
        <v/>
      </c>
      <c r="BF15" s="85" t="str">
        <f>IFERROR(IF(INDEX('Criterio de matriz competencias'!$F:$F,MATCH(BF$1,'Criterio de matriz competencias'!$A:$A,0))="Todos","X",""),"")</f>
        <v/>
      </c>
      <c r="BG15" s="85" t="str">
        <f>IFERROR(IF(INDEX('Criterio de matriz competencias'!$F:$F,MATCH(BG$1,'Criterio de matriz competencias'!$A:$A,0))="Todos","X",""),"")</f>
        <v/>
      </c>
      <c r="BH15" s="85" t="str">
        <f>IFERROR(IF(INDEX('Criterio de matriz competencias'!$F:$F,MATCH(BH$1,'Criterio de matriz competencias'!$A:$A,0))="Todos","X",""),"")</f>
        <v/>
      </c>
      <c r="BI15" s="85" t="str">
        <f>IFERROR(IF(INDEX('Criterio de matriz competencias'!$F:$F,MATCH(BI$1,'Criterio de matriz competencias'!$A:$A,0))="Todos","X",""),"")</f>
        <v/>
      </c>
      <c r="BJ15" s="85" t="str">
        <f>IFERROR(IF(INDEX('Criterio de matriz competencias'!$F:$F,MATCH(BJ$1,'Criterio de matriz competencias'!$A:$A,0))="Todos","X",""),"")</f>
        <v/>
      </c>
    </row>
    <row r="16" spans="1:62" x14ac:dyDescent="0.3">
      <c r="A16" s="133"/>
      <c r="B16" s="133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 t="str">
        <f>IFERROR(IF(INDEX('Criterio de matriz competencias'!$F:$F,MATCH(BD$1,'Criterio de matriz competencias'!$A:$A,0))="Todos","X",""),"")</f>
        <v/>
      </c>
      <c r="BE16" s="85" t="str">
        <f>IFERROR(IF(INDEX('Criterio de matriz competencias'!$F:$F,MATCH(BE$1,'Criterio de matriz competencias'!$A:$A,0))="Todos","X",""),"")</f>
        <v/>
      </c>
      <c r="BF16" s="85" t="str">
        <f>IFERROR(IF(INDEX('Criterio de matriz competencias'!$F:$F,MATCH(BF$1,'Criterio de matriz competencias'!$A:$A,0))="Todos","X",""),"")</f>
        <v/>
      </c>
      <c r="BG16" s="85" t="str">
        <f>IFERROR(IF(INDEX('Criterio de matriz competencias'!$F:$F,MATCH(BG$1,'Criterio de matriz competencias'!$A:$A,0))="Todos","X",""),"")</f>
        <v/>
      </c>
      <c r="BH16" s="85" t="str">
        <f>IFERROR(IF(INDEX('Criterio de matriz competencias'!$F:$F,MATCH(BH$1,'Criterio de matriz competencias'!$A:$A,0))="Todos","X",""),"")</f>
        <v/>
      </c>
      <c r="BI16" s="85" t="str">
        <f>IFERROR(IF(INDEX('Criterio de matriz competencias'!$F:$F,MATCH(BI$1,'Criterio de matriz competencias'!$A:$A,0))="Todos","X",""),"")</f>
        <v/>
      </c>
      <c r="BJ16" s="85" t="str">
        <f>IFERROR(IF(INDEX('Criterio de matriz competencias'!$F:$F,MATCH(BJ$1,'Criterio de matriz competencias'!$A:$A,0))="Todos","X",""),"")</f>
        <v/>
      </c>
    </row>
    <row r="17" spans="1:62" x14ac:dyDescent="0.3">
      <c r="A17" s="133"/>
      <c r="B17" s="133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 t="str">
        <f>IFERROR(IF(INDEX('Criterio de matriz competencias'!$F:$F,MATCH(BD$1,'Criterio de matriz competencias'!$A:$A,0))="Todos","X",""),"")</f>
        <v/>
      </c>
      <c r="BE17" s="85" t="str">
        <f>IFERROR(IF(INDEX('Criterio de matriz competencias'!$F:$F,MATCH(BE$1,'Criterio de matriz competencias'!$A:$A,0))="Todos","X",""),"")</f>
        <v/>
      </c>
      <c r="BF17" s="85" t="str">
        <f>IFERROR(IF(INDEX('Criterio de matriz competencias'!$F:$F,MATCH(BF$1,'Criterio de matriz competencias'!$A:$A,0))="Todos","X",""),"")</f>
        <v/>
      </c>
      <c r="BG17" s="85" t="str">
        <f>IFERROR(IF(INDEX('Criterio de matriz competencias'!$F:$F,MATCH(BG$1,'Criterio de matriz competencias'!$A:$A,0))="Todos","X",""),"")</f>
        <v/>
      </c>
      <c r="BH17" s="85" t="str">
        <f>IFERROR(IF(INDEX('Criterio de matriz competencias'!$F:$F,MATCH(BH$1,'Criterio de matriz competencias'!$A:$A,0))="Todos","X",""),"")</f>
        <v/>
      </c>
      <c r="BI17" s="85" t="str">
        <f>IFERROR(IF(INDEX('Criterio de matriz competencias'!$F:$F,MATCH(BI$1,'Criterio de matriz competencias'!$A:$A,0))="Todos","X",""),"")</f>
        <v/>
      </c>
      <c r="BJ17" s="85" t="str">
        <f>IFERROR(IF(INDEX('Criterio de matriz competencias'!$F:$F,MATCH(BJ$1,'Criterio de matriz competencias'!$A:$A,0))="Todos","X",""),"")</f>
        <v/>
      </c>
    </row>
    <row r="18" spans="1:62" x14ac:dyDescent="0.3">
      <c r="A18" s="133"/>
      <c r="B18" s="133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 t="str">
        <f>IFERROR(IF(INDEX('Criterio de matriz competencias'!$F:$F,MATCH(BD$1,'Criterio de matriz competencias'!$A:$A,0))="Todos","X",""),"")</f>
        <v/>
      </c>
      <c r="BE18" s="85" t="str">
        <f>IFERROR(IF(INDEX('Criterio de matriz competencias'!$F:$F,MATCH(BE$1,'Criterio de matriz competencias'!$A:$A,0))="Todos","X",""),"")</f>
        <v/>
      </c>
      <c r="BF18" s="85" t="str">
        <f>IFERROR(IF(INDEX('Criterio de matriz competencias'!$F:$F,MATCH(BF$1,'Criterio de matriz competencias'!$A:$A,0))="Todos","X",""),"")</f>
        <v/>
      </c>
      <c r="BG18" s="85" t="str">
        <f>IFERROR(IF(INDEX('Criterio de matriz competencias'!$F:$F,MATCH(BG$1,'Criterio de matriz competencias'!$A:$A,0))="Todos","X",""),"")</f>
        <v/>
      </c>
      <c r="BH18" s="85" t="str">
        <f>IFERROR(IF(INDEX('Criterio de matriz competencias'!$F:$F,MATCH(BH$1,'Criterio de matriz competencias'!$A:$A,0))="Todos","X",""),"")</f>
        <v/>
      </c>
      <c r="BI18" s="85" t="str">
        <f>IFERROR(IF(INDEX('Criterio de matriz competencias'!$F:$F,MATCH(BI$1,'Criterio de matriz competencias'!$A:$A,0))="Todos","X",""),"")</f>
        <v/>
      </c>
      <c r="BJ18" s="85" t="str">
        <f>IFERROR(IF(INDEX('Criterio de matriz competencias'!$F:$F,MATCH(BJ$1,'Criterio de matriz competencias'!$A:$A,0))="Todos","X",""),"")</f>
        <v/>
      </c>
    </row>
    <row r="19" spans="1:62" x14ac:dyDescent="0.3">
      <c r="A19" s="133"/>
      <c r="B19" s="133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  <c r="S19" s="85"/>
      <c r="T19" s="85"/>
      <c r="U19" s="85"/>
      <c r="V19" s="85"/>
      <c r="W19" s="85"/>
      <c r="X19" s="85"/>
      <c r="Y19" s="85"/>
      <c r="Z19" s="85"/>
      <c r="AA19" s="85"/>
      <c r="AB19" s="85"/>
      <c r="AC19" s="85"/>
      <c r="AD19" s="85"/>
      <c r="AE19" s="85"/>
      <c r="AF19" s="85"/>
      <c r="AG19" s="85"/>
      <c r="AH19" s="85"/>
      <c r="AI19" s="85"/>
      <c r="AJ19" s="85"/>
      <c r="AK19" s="85"/>
      <c r="AL19" s="85"/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 t="str">
        <f>IFERROR(IF(INDEX('Criterio de matriz competencias'!$F:$F,MATCH(BD$1,'Criterio de matriz competencias'!$A:$A,0))="Todos","X",""),"")</f>
        <v/>
      </c>
      <c r="BE19" s="85" t="str">
        <f>IFERROR(IF(INDEX('Criterio de matriz competencias'!$F:$F,MATCH(BE$1,'Criterio de matriz competencias'!$A:$A,0))="Todos","X",""),"")</f>
        <v/>
      </c>
      <c r="BF19" s="85" t="str">
        <f>IFERROR(IF(INDEX('Criterio de matriz competencias'!$F:$F,MATCH(BF$1,'Criterio de matriz competencias'!$A:$A,0))="Todos","X",""),"")</f>
        <v/>
      </c>
      <c r="BG19" s="85" t="str">
        <f>IFERROR(IF(INDEX('Criterio de matriz competencias'!$F:$F,MATCH(BG$1,'Criterio de matriz competencias'!$A:$A,0))="Todos","X",""),"")</f>
        <v/>
      </c>
      <c r="BH19" s="85" t="str">
        <f>IFERROR(IF(INDEX('Criterio de matriz competencias'!$F:$F,MATCH(BH$1,'Criterio de matriz competencias'!$A:$A,0))="Todos","X",""),"")</f>
        <v/>
      </c>
      <c r="BI19" s="85" t="str">
        <f>IFERROR(IF(INDEX('Criterio de matriz competencias'!$F:$F,MATCH(BI$1,'Criterio de matriz competencias'!$A:$A,0))="Todos","X",""),"")</f>
        <v/>
      </c>
      <c r="BJ19" s="85" t="str">
        <f>IFERROR(IF(INDEX('Criterio de matriz competencias'!$F:$F,MATCH(BJ$1,'Criterio de matriz competencias'!$A:$A,0))="Todos","X",""),"")</f>
        <v/>
      </c>
    </row>
    <row r="20" spans="1:62" x14ac:dyDescent="0.3">
      <c r="A20" s="133"/>
      <c r="B20" s="133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5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 t="str">
        <f>IFERROR(IF(INDEX('Criterio de matriz competencias'!$F:$F,MATCH(BD$1,'Criterio de matriz competencias'!$A:$A,0))="Todos","X",""),"")</f>
        <v/>
      </c>
      <c r="BE20" s="85" t="str">
        <f>IFERROR(IF(INDEX('Criterio de matriz competencias'!$F:$F,MATCH(BE$1,'Criterio de matriz competencias'!$A:$A,0))="Todos","X",""),"")</f>
        <v/>
      </c>
      <c r="BF20" s="85" t="str">
        <f>IFERROR(IF(INDEX('Criterio de matriz competencias'!$F:$F,MATCH(BF$1,'Criterio de matriz competencias'!$A:$A,0))="Todos","X",""),"")</f>
        <v/>
      </c>
      <c r="BG20" s="85" t="str">
        <f>IFERROR(IF(INDEX('Criterio de matriz competencias'!$F:$F,MATCH(BG$1,'Criterio de matriz competencias'!$A:$A,0))="Todos","X",""),"")</f>
        <v/>
      </c>
      <c r="BH20" s="85" t="str">
        <f>IFERROR(IF(INDEX('Criterio de matriz competencias'!$F:$F,MATCH(BH$1,'Criterio de matriz competencias'!$A:$A,0))="Todos","X",""),"")</f>
        <v/>
      </c>
      <c r="BI20" s="85" t="str">
        <f>IFERROR(IF(INDEX('Criterio de matriz competencias'!$F:$F,MATCH(BI$1,'Criterio de matriz competencias'!$A:$A,0))="Todos","X",""),"")</f>
        <v/>
      </c>
      <c r="BJ20" s="85" t="str">
        <f>IFERROR(IF(INDEX('Criterio de matriz competencias'!$F:$F,MATCH(BJ$1,'Criterio de matriz competencias'!$A:$A,0))="Todos","X",""),"")</f>
        <v/>
      </c>
    </row>
    <row r="21" spans="1:62" x14ac:dyDescent="0.3">
      <c r="A21" s="133"/>
      <c r="B21" s="133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 t="str">
        <f>IFERROR(IF(INDEX('Criterio de matriz competencias'!$F:$F,MATCH(BD$1,'Criterio de matriz competencias'!$A:$A,0))="Todos","X",""),"")</f>
        <v/>
      </c>
      <c r="BE21" s="85" t="str">
        <f>IFERROR(IF(INDEX('Criterio de matriz competencias'!$F:$F,MATCH(BE$1,'Criterio de matriz competencias'!$A:$A,0))="Todos","X",""),"")</f>
        <v/>
      </c>
      <c r="BF21" s="85" t="str">
        <f>IFERROR(IF(INDEX('Criterio de matriz competencias'!$F:$F,MATCH(BF$1,'Criterio de matriz competencias'!$A:$A,0))="Todos","X",""),"")</f>
        <v/>
      </c>
      <c r="BG21" s="85" t="str">
        <f>IFERROR(IF(INDEX('Criterio de matriz competencias'!$F:$F,MATCH(BG$1,'Criterio de matriz competencias'!$A:$A,0))="Todos","X",""),"")</f>
        <v/>
      </c>
      <c r="BH21" s="85" t="str">
        <f>IFERROR(IF(INDEX('Criterio de matriz competencias'!$F:$F,MATCH(BH$1,'Criterio de matriz competencias'!$A:$A,0))="Todos","X",""),"")</f>
        <v/>
      </c>
      <c r="BI21" s="85" t="str">
        <f>IFERROR(IF(INDEX('Criterio de matriz competencias'!$F:$F,MATCH(BI$1,'Criterio de matriz competencias'!$A:$A,0))="Todos","X",""),"")</f>
        <v/>
      </c>
      <c r="BJ21" s="85" t="str">
        <f>IFERROR(IF(INDEX('Criterio de matriz competencias'!$F:$F,MATCH(BJ$1,'Criterio de matriz competencias'!$A:$A,0))="Todos","X",""),"")</f>
        <v/>
      </c>
    </row>
    <row r="22" spans="1:62" x14ac:dyDescent="0.3">
      <c r="A22" s="133"/>
      <c r="B22" s="133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 t="str">
        <f>IFERROR(IF(INDEX('Criterio de matriz competencias'!$F:$F,MATCH(BD$1,'Criterio de matriz competencias'!$A:$A,0))="Todos","X",""),"")</f>
        <v/>
      </c>
      <c r="BE22" s="85" t="str">
        <f>IFERROR(IF(INDEX('Criterio de matriz competencias'!$F:$F,MATCH(BE$1,'Criterio de matriz competencias'!$A:$A,0))="Todos","X",""),"")</f>
        <v/>
      </c>
      <c r="BF22" s="85" t="str">
        <f>IFERROR(IF(INDEX('Criterio de matriz competencias'!$F:$F,MATCH(BF$1,'Criterio de matriz competencias'!$A:$A,0))="Todos","X",""),"")</f>
        <v/>
      </c>
      <c r="BG22" s="85" t="str">
        <f>IFERROR(IF(INDEX('Criterio de matriz competencias'!$F:$F,MATCH(BG$1,'Criterio de matriz competencias'!$A:$A,0))="Todos","X",""),"")</f>
        <v/>
      </c>
      <c r="BH22" s="85" t="str">
        <f>IFERROR(IF(INDEX('Criterio de matriz competencias'!$F:$F,MATCH(BH$1,'Criterio de matriz competencias'!$A:$A,0))="Todos","X",""),"")</f>
        <v/>
      </c>
      <c r="BI22" s="85" t="str">
        <f>IFERROR(IF(INDEX('Criterio de matriz competencias'!$F:$F,MATCH(BI$1,'Criterio de matriz competencias'!$A:$A,0))="Todos","X",""),"")</f>
        <v/>
      </c>
      <c r="BJ22" s="85" t="str">
        <f>IFERROR(IF(INDEX('Criterio de matriz competencias'!$F:$F,MATCH(BJ$1,'Criterio de matriz competencias'!$A:$A,0))="Todos","X",""),"")</f>
        <v/>
      </c>
    </row>
    <row r="23" spans="1:62" x14ac:dyDescent="0.3">
      <c r="A23" s="133"/>
      <c r="B23" s="133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 t="str">
        <f>IFERROR(IF(INDEX('Criterio de matriz competencias'!$F:$F,MATCH(BD$1,'Criterio de matriz competencias'!$A:$A,0))="Todos","X",""),"")</f>
        <v/>
      </c>
      <c r="BE23" s="85" t="str">
        <f>IFERROR(IF(INDEX('Criterio de matriz competencias'!$F:$F,MATCH(BE$1,'Criterio de matriz competencias'!$A:$A,0))="Todos","X",""),"")</f>
        <v/>
      </c>
      <c r="BF23" s="85" t="str">
        <f>IFERROR(IF(INDEX('Criterio de matriz competencias'!$F:$F,MATCH(BF$1,'Criterio de matriz competencias'!$A:$A,0))="Todos","X",""),"")</f>
        <v/>
      </c>
      <c r="BG23" s="85" t="str">
        <f>IFERROR(IF(INDEX('Criterio de matriz competencias'!$F:$F,MATCH(BG$1,'Criterio de matriz competencias'!$A:$A,0))="Todos","X",""),"")</f>
        <v/>
      </c>
      <c r="BH23" s="85" t="str">
        <f>IFERROR(IF(INDEX('Criterio de matriz competencias'!$F:$F,MATCH(BH$1,'Criterio de matriz competencias'!$A:$A,0))="Todos","X",""),"")</f>
        <v/>
      </c>
      <c r="BI23" s="85" t="str">
        <f>IFERROR(IF(INDEX('Criterio de matriz competencias'!$F:$F,MATCH(BI$1,'Criterio de matriz competencias'!$A:$A,0))="Todos","X",""),"")</f>
        <v/>
      </c>
      <c r="BJ23" s="85" t="str">
        <f>IFERROR(IF(INDEX('Criterio de matriz competencias'!$F:$F,MATCH(BJ$1,'Criterio de matriz competencias'!$A:$A,0))="Todos","X",""),"")</f>
        <v/>
      </c>
    </row>
    <row r="24" spans="1:62" x14ac:dyDescent="0.3">
      <c r="A24" s="133"/>
      <c r="B24" s="133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 t="str">
        <f>IFERROR(IF(INDEX('Criterio de matriz competencias'!$F:$F,MATCH(BD$1,'Criterio de matriz competencias'!$A:$A,0))="Todos","X",""),"")</f>
        <v/>
      </c>
      <c r="BE24" s="85" t="str">
        <f>IFERROR(IF(INDEX('Criterio de matriz competencias'!$F:$F,MATCH(BE$1,'Criterio de matriz competencias'!$A:$A,0))="Todos","X",""),"")</f>
        <v/>
      </c>
      <c r="BF24" s="85" t="str">
        <f>IFERROR(IF(INDEX('Criterio de matriz competencias'!$F:$F,MATCH(BF$1,'Criterio de matriz competencias'!$A:$A,0))="Todos","X",""),"")</f>
        <v/>
      </c>
      <c r="BG24" s="85" t="str">
        <f>IFERROR(IF(INDEX('Criterio de matriz competencias'!$F:$F,MATCH(BG$1,'Criterio de matriz competencias'!$A:$A,0))="Todos","X",""),"")</f>
        <v/>
      </c>
      <c r="BH24" s="85" t="str">
        <f>IFERROR(IF(INDEX('Criterio de matriz competencias'!$F:$F,MATCH(BH$1,'Criterio de matriz competencias'!$A:$A,0))="Todos","X",""),"")</f>
        <v/>
      </c>
      <c r="BI24" s="85" t="str">
        <f>IFERROR(IF(INDEX('Criterio de matriz competencias'!$F:$F,MATCH(BI$1,'Criterio de matriz competencias'!$A:$A,0))="Todos","X",""),"")</f>
        <v/>
      </c>
      <c r="BJ24" s="85" t="str">
        <f>IFERROR(IF(INDEX('Criterio de matriz competencias'!$F:$F,MATCH(BJ$1,'Criterio de matriz competencias'!$A:$A,0))="Todos","X",""),"")</f>
        <v/>
      </c>
    </row>
    <row r="25" spans="1:62" x14ac:dyDescent="0.3">
      <c r="A25" s="133"/>
      <c r="B25" s="133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 t="str">
        <f>IFERROR(IF(INDEX('Criterio de matriz competencias'!$F:$F,MATCH(BD$1,'Criterio de matriz competencias'!$A:$A,0))="Todos","X",""),"")</f>
        <v/>
      </c>
      <c r="BE25" s="85" t="str">
        <f>IFERROR(IF(INDEX('Criterio de matriz competencias'!$F:$F,MATCH(BE$1,'Criterio de matriz competencias'!$A:$A,0))="Todos","X",""),"")</f>
        <v/>
      </c>
      <c r="BF25" s="85" t="str">
        <f>IFERROR(IF(INDEX('Criterio de matriz competencias'!$F:$F,MATCH(BF$1,'Criterio de matriz competencias'!$A:$A,0))="Todos","X",""),"")</f>
        <v/>
      </c>
      <c r="BG25" s="85" t="str">
        <f>IFERROR(IF(INDEX('Criterio de matriz competencias'!$F:$F,MATCH(BG$1,'Criterio de matriz competencias'!$A:$A,0))="Todos","X",""),"")</f>
        <v/>
      </c>
      <c r="BH25" s="85" t="str">
        <f>IFERROR(IF(INDEX('Criterio de matriz competencias'!$F:$F,MATCH(BH$1,'Criterio de matriz competencias'!$A:$A,0))="Todos","X",""),"")</f>
        <v/>
      </c>
      <c r="BI25" s="85" t="str">
        <f>IFERROR(IF(INDEX('Criterio de matriz competencias'!$F:$F,MATCH(BI$1,'Criterio de matriz competencias'!$A:$A,0))="Todos","X",""),"")</f>
        <v/>
      </c>
      <c r="BJ25" s="85" t="str">
        <f>IFERROR(IF(INDEX('Criterio de matriz competencias'!$F:$F,MATCH(BJ$1,'Criterio de matriz competencias'!$A:$A,0))="Todos","X",""),"")</f>
        <v/>
      </c>
    </row>
    <row r="26" spans="1:62" x14ac:dyDescent="0.3">
      <c r="A26" s="133"/>
      <c r="B26" s="133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 t="str">
        <f>IFERROR(IF(INDEX('Criterio de matriz competencias'!$F:$F,MATCH(BD$1,'Criterio de matriz competencias'!$A:$A,0))="Todos","X",""),"")</f>
        <v/>
      </c>
      <c r="BE26" s="85" t="str">
        <f>IFERROR(IF(INDEX('Criterio de matriz competencias'!$F:$F,MATCH(BE$1,'Criterio de matriz competencias'!$A:$A,0))="Todos","X",""),"")</f>
        <v/>
      </c>
      <c r="BF26" s="85" t="str">
        <f>IFERROR(IF(INDEX('Criterio de matriz competencias'!$F:$F,MATCH(BF$1,'Criterio de matriz competencias'!$A:$A,0))="Todos","X",""),"")</f>
        <v/>
      </c>
      <c r="BG26" s="85" t="str">
        <f>IFERROR(IF(INDEX('Criterio de matriz competencias'!$F:$F,MATCH(BG$1,'Criterio de matriz competencias'!$A:$A,0))="Todos","X",""),"")</f>
        <v/>
      </c>
      <c r="BH26" s="85" t="str">
        <f>IFERROR(IF(INDEX('Criterio de matriz competencias'!$F:$F,MATCH(BH$1,'Criterio de matriz competencias'!$A:$A,0))="Todos","X",""),"")</f>
        <v/>
      </c>
      <c r="BI26" s="85" t="str">
        <f>IFERROR(IF(INDEX('Criterio de matriz competencias'!$F:$F,MATCH(BI$1,'Criterio de matriz competencias'!$A:$A,0))="Todos","X",""),"")</f>
        <v/>
      </c>
      <c r="BJ26" s="85" t="str">
        <f>IFERROR(IF(INDEX('Criterio de matriz competencias'!$F:$F,MATCH(BJ$1,'Criterio de matriz competencias'!$A:$A,0))="Todos","X",""),"")</f>
        <v/>
      </c>
    </row>
    <row r="27" spans="1:62" x14ac:dyDescent="0.3">
      <c r="A27" s="133"/>
      <c r="B27" s="133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 t="str">
        <f>IFERROR(IF(INDEX('Criterio de matriz competencias'!$F:$F,MATCH(BD$1,'Criterio de matriz competencias'!$A:$A,0))="Todos","X",""),"")</f>
        <v/>
      </c>
      <c r="BE27" s="85" t="str">
        <f>IFERROR(IF(INDEX('Criterio de matriz competencias'!$F:$F,MATCH(BE$1,'Criterio de matriz competencias'!$A:$A,0))="Todos","X",""),"")</f>
        <v/>
      </c>
      <c r="BF27" s="85" t="str">
        <f>IFERROR(IF(INDEX('Criterio de matriz competencias'!$F:$F,MATCH(BF$1,'Criterio de matriz competencias'!$A:$A,0))="Todos","X",""),"")</f>
        <v/>
      </c>
      <c r="BG27" s="85" t="str">
        <f>IFERROR(IF(INDEX('Criterio de matriz competencias'!$F:$F,MATCH(BG$1,'Criterio de matriz competencias'!$A:$A,0))="Todos","X",""),"")</f>
        <v/>
      </c>
      <c r="BH27" s="85" t="str">
        <f>IFERROR(IF(INDEX('Criterio de matriz competencias'!$F:$F,MATCH(BH$1,'Criterio de matriz competencias'!$A:$A,0))="Todos","X",""),"")</f>
        <v/>
      </c>
      <c r="BI27" s="85" t="str">
        <f>IFERROR(IF(INDEX('Criterio de matriz competencias'!$F:$F,MATCH(BI$1,'Criterio de matriz competencias'!$A:$A,0))="Todos","X",""),"")</f>
        <v/>
      </c>
      <c r="BJ27" s="85" t="str">
        <f>IFERROR(IF(INDEX('Criterio de matriz competencias'!$F:$F,MATCH(BJ$1,'Criterio de matriz competencias'!$A:$A,0))="Todos","X",""),"")</f>
        <v/>
      </c>
    </row>
    <row r="28" spans="1:62" x14ac:dyDescent="0.3">
      <c r="A28" s="133"/>
      <c r="B28" s="133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 t="str">
        <f>IFERROR(IF(INDEX('Criterio de matriz competencias'!$F:$F,MATCH(BD$1,'Criterio de matriz competencias'!$A:$A,0))="Todos","X",""),"")</f>
        <v/>
      </c>
      <c r="BE28" s="85" t="str">
        <f>IFERROR(IF(INDEX('Criterio de matriz competencias'!$F:$F,MATCH(BE$1,'Criterio de matriz competencias'!$A:$A,0))="Todos","X",""),"")</f>
        <v/>
      </c>
      <c r="BF28" s="85" t="str">
        <f>IFERROR(IF(INDEX('Criterio de matriz competencias'!$F:$F,MATCH(BF$1,'Criterio de matriz competencias'!$A:$A,0))="Todos","X",""),"")</f>
        <v/>
      </c>
      <c r="BG28" s="85" t="str">
        <f>IFERROR(IF(INDEX('Criterio de matriz competencias'!$F:$F,MATCH(BG$1,'Criterio de matriz competencias'!$A:$A,0))="Todos","X",""),"")</f>
        <v/>
      </c>
      <c r="BH28" s="85" t="str">
        <f>IFERROR(IF(INDEX('Criterio de matriz competencias'!$F:$F,MATCH(BH$1,'Criterio de matriz competencias'!$A:$A,0))="Todos","X",""),"")</f>
        <v/>
      </c>
      <c r="BI28" s="85" t="str">
        <f>IFERROR(IF(INDEX('Criterio de matriz competencias'!$F:$F,MATCH(BI$1,'Criterio de matriz competencias'!$A:$A,0))="Todos","X",""),"")</f>
        <v/>
      </c>
      <c r="BJ28" s="85" t="str">
        <f>IFERROR(IF(INDEX('Criterio de matriz competencias'!$F:$F,MATCH(BJ$1,'Criterio de matriz competencias'!$A:$A,0))="Todos","X",""),"")</f>
        <v/>
      </c>
    </row>
    <row r="29" spans="1:62" x14ac:dyDescent="0.3">
      <c r="A29" s="133"/>
      <c r="B29" s="133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  <c r="AM29" s="85"/>
      <c r="AN29" s="85"/>
      <c r="AO29" s="85"/>
      <c r="AP29" s="85"/>
      <c r="AQ29" s="85"/>
      <c r="AR29" s="85"/>
      <c r="AS29" s="85"/>
      <c r="AT29" s="85"/>
      <c r="AU29" s="85"/>
      <c r="AV29" s="85"/>
      <c r="AW29" s="85"/>
      <c r="AX29" s="85"/>
      <c r="AY29" s="85"/>
      <c r="AZ29" s="85"/>
      <c r="BA29" s="85"/>
      <c r="BB29" s="85"/>
      <c r="BC29" s="85"/>
      <c r="BD29" s="85" t="str">
        <f>IFERROR(IF(INDEX('Criterio de matriz competencias'!$F:$F,MATCH(BD$1,'Criterio de matriz competencias'!$A:$A,0))="Todos","X",""),"")</f>
        <v/>
      </c>
      <c r="BE29" s="85" t="str">
        <f>IFERROR(IF(INDEX('Criterio de matriz competencias'!$F:$F,MATCH(BE$1,'Criterio de matriz competencias'!$A:$A,0))="Todos","X",""),"")</f>
        <v/>
      </c>
      <c r="BF29" s="85" t="str">
        <f>IFERROR(IF(INDEX('Criterio de matriz competencias'!$F:$F,MATCH(BF$1,'Criterio de matriz competencias'!$A:$A,0))="Todos","X",""),"")</f>
        <v/>
      </c>
      <c r="BG29" s="85" t="str">
        <f>IFERROR(IF(INDEX('Criterio de matriz competencias'!$F:$F,MATCH(BG$1,'Criterio de matriz competencias'!$A:$A,0))="Todos","X",""),"")</f>
        <v/>
      </c>
      <c r="BH29" s="85" t="str">
        <f>IFERROR(IF(INDEX('Criterio de matriz competencias'!$F:$F,MATCH(BH$1,'Criterio de matriz competencias'!$A:$A,0))="Todos","X",""),"")</f>
        <v/>
      </c>
      <c r="BI29" s="85" t="str">
        <f>IFERROR(IF(INDEX('Criterio de matriz competencias'!$F:$F,MATCH(BI$1,'Criterio de matriz competencias'!$A:$A,0))="Todos","X",""),"")</f>
        <v/>
      </c>
      <c r="BJ29" s="85" t="str">
        <f>IFERROR(IF(INDEX('Criterio de matriz competencias'!$F:$F,MATCH(BJ$1,'Criterio de matriz competencias'!$A:$A,0))="Todos","X",""),"")</f>
        <v/>
      </c>
    </row>
    <row r="30" spans="1:62" x14ac:dyDescent="0.3">
      <c r="A30" s="133"/>
      <c r="B30" s="133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85"/>
      <c r="AM30" s="85"/>
      <c r="AN30" s="85"/>
      <c r="AO30" s="85"/>
      <c r="AP30" s="85"/>
      <c r="AQ30" s="85"/>
      <c r="AR30" s="85"/>
      <c r="AS30" s="85"/>
      <c r="AT30" s="85"/>
      <c r="AU30" s="85"/>
      <c r="AV30" s="85"/>
      <c r="AW30" s="85"/>
      <c r="AX30" s="85"/>
      <c r="AY30" s="85"/>
      <c r="AZ30" s="85"/>
      <c r="BA30" s="85"/>
      <c r="BB30" s="85"/>
      <c r="BC30" s="85"/>
      <c r="BD30" s="85" t="str">
        <f>IFERROR(IF(INDEX('Criterio de matriz competencias'!$F:$F,MATCH(BD$1,'Criterio de matriz competencias'!$A:$A,0))="Todos","X",""),"")</f>
        <v/>
      </c>
      <c r="BE30" s="85" t="str">
        <f>IFERROR(IF(INDEX('Criterio de matriz competencias'!$F:$F,MATCH(BE$1,'Criterio de matriz competencias'!$A:$A,0))="Todos","X",""),"")</f>
        <v/>
      </c>
      <c r="BF30" s="85" t="str">
        <f>IFERROR(IF(INDEX('Criterio de matriz competencias'!$F:$F,MATCH(BF$1,'Criterio de matriz competencias'!$A:$A,0))="Todos","X",""),"")</f>
        <v/>
      </c>
      <c r="BG30" s="85" t="str">
        <f>IFERROR(IF(INDEX('Criterio de matriz competencias'!$F:$F,MATCH(BG$1,'Criterio de matriz competencias'!$A:$A,0))="Todos","X",""),"")</f>
        <v/>
      </c>
      <c r="BH30" s="85" t="str">
        <f>IFERROR(IF(INDEX('Criterio de matriz competencias'!$F:$F,MATCH(BH$1,'Criterio de matriz competencias'!$A:$A,0))="Todos","X",""),"")</f>
        <v/>
      </c>
      <c r="BI30" s="85" t="str">
        <f>IFERROR(IF(INDEX('Criterio de matriz competencias'!$F:$F,MATCH(BI$1,'Criterio de matriz competencias'!$A:$A,0))="Todos","X",""),"")</f>
        <v/>
      </c>
      <c r="BJ30" s="85" t="str">
        <f>IFERROR(IF(INDEX('Criterio de matriz competencias'!$F:$F,MATCH(BJ$1,'Criterio de matriz competencias'!$A:$A,0))="Todos","X",""),"")</f>
        <v/>
      </c>
    </row>
    <row r="31" spans="1:62" x14ac:dyDescent="0.3">
      <c r="A31" s="133"/>
      <c r="B31" s="133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5"/>
      <c r="AM31" s="85"/>
      <c r="AN31" s="85"/>
      <c r="AO31" s="85"/>
      <c r="AP31" s="85"/>
      <c r="AQ31" s="85"/>
      <c r="AR31" s="85"/>
      <c r="AS31" s="85"/>
      <c r="AT31" s="85"/>
      <c r="AU31" s="85"/>
      <c r="AV31" s="85"/>
      <c r="AW31" s="85"/>
      <c r="AX31" s="85"/>
      <c r="AY31" s="85"/>
      <c r="AZ31" s="85"/>
      <c r="BA31" s="85"/>
      <c r="BB31" s="85"/>
      <c r="BC31" s="85"/>
      <c r="BD31" s="85" t="str">
        <f>IFERROR(IF(INDEX('Criterio de matriz competencias'!$F:$F,MATCH(BD$1,'Criterio de matriz competencias'!$A:$A,0))="Todos","X",""),"")</f>
        <v/>
      </c>
      <c r="BE31" s="85" t="str">
        <f>IFERROR(IF(INDEX('Criterio de matriz competencias'!$F:$F,MATCH(BE$1,'Criterio de matriz competencias'!$A:$A,0))="Todos","X",""),"")</f>
        <v/>
      </c>
      <c r="BF31" s="85" t="str">
        <f>IFERROR(IF(INDEX('Criterio de matriz competencias'!$F:$F,MATCH(BF$1,'Criterio de matriz competencias'!$A:$A,0))="Todos","X",""),"")</f>
        <v/>
      </c>
      <c r="BG31" s="85" t="str">
        <f>IFERROR(IF(INDEX('Criterio de matriz competencias'!$F:$F,MATCH(BG$1,'Criterio de matriz competencias'!$A:$A,0))="Todos","X",""),"")</f>
        <v/>
      </c>
      <c r="BH31" s="85" t="str">
        <f>IFERROR(IF(INDEX('Criterio de matriz competencias'!$F:$F,MATCH(BH$1,'Criterio de matriz competencias'!$A:$A,0))="Todos","X",""),"")</f>
        <v/>
      </c>
      <c r="BI31" s="85" t="str">
        <f>IFERROR(IF(INDEX('Criterio de matriz competencias'!$F:$F,MATCH(BI$1,'Criterio de matriz competencias'!$A:$A,0))="Todos","X",""),"")</f>
        <v/>
      </c>
      <c r="BJ31" s="85" t="str">
        <f>IFERROR(IF(INDEX('Criterio de matriz competencias'!$F:$F,MATCH(BJ$1,'Criterio de matriz competencias'!$A:$A,0))="Todos","X",""),"")</f>
        <v/>
      </c>
    </row>
    <row r="32" spans="1:62" x14ac:dyDescent="0.3">
      <c r="A32" s="133"/>
      <c r="B32" s="133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85"/>
      <c r="AM32" s="85"/>
      <c r="AN32" s="85"/>
      <c r="AO32" s="85"/>
      <c r="AP32" s="85"/>
      <c r="AQ32" s="85"/>
      <c r="AR32" s="85"/>
      <c r="AS32" s="85"/>
      <c r="AT32" s="85"/>
      <c r="AU32" s="85"/>
      <c r="AV32" s="85"/>
      <c r="AW32" s="85"/>
      <c r="AX32" s="85"/>
      <c r="AY32" s="85"/>
      <c r="AZ32" s="85"/>
      <c r="BA32" s="85"/>
      <c r="BB32" s="85"/>
      <c r="BC32" s="85"/>
      <c r="BD32" s="85" t="str">
        <f>IFERROR(IF(INDEX('Criterio de matriz competencias'!$F:$F,MATCH(BD$1,'Criterio de matriz competencias'!$A:$A,0))="Todos","X",""),"")</f>
        <v/>
      </c>
      <c r="BE32" s="85" t="str">
        <f>IFERROR(IF(INDEX('Criterio de matriz competencias'!$F:$F,MATCH(BE$1,'Criterio de matriz competencias'!$A:$A,0))="Todos","X",""),"")</f>
        <v/>
      </c>
      <c r="BF32" s="85" t="str">
        <f>IFERROR(IF(INDEX('Criterio de matriz competencias'!$F:$F,MATCH(BF$1,'Criterio de matriz competencias'!$A:$A,0))="Todos","X",""),"")</f>
        <v/>
      </c>
      <c r="BG32" s="85" t="str">
        <f>IFERROR(IF(INDEX('Criterio de matriz competencias'!$F:$F,MATCH(BG$1,'Criterio de matriz competencias'!$A:$A,0))="Todos","X",""),"")</f>
        <v/>
      </c>
      <c r="BH32" s="85" t="str">
        <f>IFERROR(IF(INDEX('Criterio de matriz competencias'!$F:$F,MATCH(BH$1,'Criterio de matriz competencias'!$A:$A,0))="Todos","X",""),"")</f>
        <v/>
      </c>
      <c r="BI32" s="85" t="str">
        <f>IFERROR(IF(INDEX('Criterio de matriz competencias'!$F:$F,MATCH(BI$1,'Criterio de matriz competencias'!$A:$A,0))="Todos","X",""),"")</f>
        <v/>
      </c>
      <c r="BJ32" s="85" t="str">
        <f>IFERROR(IF(INDEX('Criterio de matriz competencias'!$F:$F,MATCH(BJ$1,'Criterio de matriz competencias'!$A:$A,0))="Todos","X",""),"")</f>
        <v/>
      </c>
    </row>
    <row r="33" spans="1:62" x14ac:dyDescent="0.3">
      <c r="A33" s="133"/>
      <c r="B33" s="133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  <c r="S33" s="85"/>
      <c r="T33" s="85"/>
      <c r="U33" s="85"/>
      <c r="V33" s="85"/>
      <c r="W33" s="85"/>
      <c r="X33" s="85"/>
      <c r="Y33" s="85"/>
      <c r="Z33" s="85"/>
      <c r="AA33" s="85"/>
      <c r="AB33" s="85"/>
      <c r="AC33" s="85"/>
      <c r="AD33" s="85"/>
      <c r="AE33" s="85"/>
      <c r="AF33" s="85"/>
      <c r="AG33" s="85"/>
      <c r="AH33" s="85"/>
      <c r="AI33" s="85"/>
      <c r="AJ33" s="85"/>
      <c r="AK33" s="85"/>
      <c r="AL33" s="85"/>
      <c r="AM33" s="85"/>
      <c r="AN33" s="85"/>
      <c r="AO33" s="85"/>
      <c r="AP33" s="85"/>
      <c r="AQ33" s="85"/>
      <c r="AR33" s="85"/>
      <c r="AS33" s="85"/>
      <c r="AT33" s="85"/>
      <c r="AU33" s="85"/>
      <c r="AV33" s="85"/>
      <c r="AW33" s="85"/>
      <c r="AX33" s="85"/>
      <c r="AY33" s="85"/>
      <c r="AZ33" s="85"/>
      <c r="BA33" s="85"/>
      <c r="BB33" s="85"/>
      <c r="BC33" s="85"/>
      <c r="BD33" s="85" t="str">
        <f>IFERROR(IF(INDEX('Criterio de matriz competencias'!$F:$F,MATCH(BD$1,'Criterio de matriz competencias'!$A:$A,0))="Todos","X",""),"")</f>
        <v/>
      </c>
      <c r="BE33" s="85" t="str">
        <f>IFERROR(IF(INDEX('Criterio de matriz competencias'!$F:$F,MATCH(BE$1,'Criterio de matriz competencias'!$A:$A,0))="Todos","X",""),"")</f>
        <v/>
      </c>
      <c r="BF33" s="85" t="str">
        <f>IFERROR(IF(INDEX('Criterio de matriz competencias'!$F:$F,MATCH(BF$1,'Criterio de matriz competencias'!$A:$A,0))="Todos","X",""),"")</f>
        <v/>
      </c>
      <c r="BG33" s="85" t="str">
        <f>IFERROR(IF(INDEX('Criterio de matriz competencias'!$F:$F,MATCH(BG$1,'Criterio de matriz competencias'!$A:$A,0))="Todos","X",""),"")</f>
        <v/>
      </c>
      <c r="BH33" s="85" t="str">
        <f>IFERROR(IF(INDEX('Criterio de matriz competencias'!$F:$F,MATCH(BH$1,'Criterio de matriz competencias'!$A:$A,0))="Todos","X",""),"")</f>
        <v/>
      </c>
      <c r="BI33" s="85" t="str">
        <f>IFERROR(IF(INDEX('Criterio de matriz competencias'!$F:$F,MATCH(BI$1,'Criterio de matriz competencias'!$A:$A,0))="Todos","X",""),"")</f>
        <v/>
      </c>
      <c r="BJ33" s="85" t="str">
        <f>IFERROR(IF(INDEX('Criterio de matriz competencias'!$F:$F,MATCH(BJ$1,'Criterio de matriz competencias'!$A:$A,0))="Todos","X",""),"")</f>
        <v/>
      </c>
    </row>
    <row r="34" spans="1:62" x14ac:dyDescent="0.3">
      <c r="A34" s="133"/>
      <c r="B34" s="133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  <c r="S34" s="85"/>
      <c r="T34" s="85"/>
      <c r="U34" s="85"/>
      <c r="V34" s="85"/>
      <c r="W34" s="85"/>
      <c r="X34" s="85"/>
      <c r="Y34" s="85"/>
      <c r="Z34" s="85"/>
      <c r="AA34" s="85"/>
      <c r="AB34" s="85"/>
      <c r="AC34" s="85"/>
      <c r="AD34" s="85"/>
      <c r="AE34" s="85"/>
      <c r="AF34" s="85"/>
      <c r="AG34" s="85"/>
      <c r="AH34" s="85"/>
      <c r="AI34" s="85"/>
      <c r="AJ34" s="85"/>
      <c r="AK34" s="85"/>
      <c r="AL34" s="85"/>
      <c r="AM34" s="85"/>
      <c r="AN34" s="85"/>
      <c r="AO34" s="85"/>
      <c r="AP34" s="85"/>
      <c r="AQ34" s="85"/>
      <c r="AR34" s="85"/>
      <c r="AS34" s="85"/>
      <c r="AT34" s="85"/>
      <c r="AU34" s="85"/>
      <c r="AV34" s="85"/>
      <c r="AW34" s="85"/>
      <c r="AX34" s="85"/>
      <c r="AY34" s="85"/>
      <c r="AZ34" s="85"/>
      <c r="BA34" s="85"/>
      <c r="BB34" s="85"/>
      <c r="BC34" s="85"/>
      <c r="BD34" s="85" t="str">
        <f>IFERROR(IF(INDEX('Criterio de matriz competencias'!$F:$F,MATCH(BD$1,'Criterio de matriz competencias'!$A:$A,0))="Todos","X",""),"")</f>
        <v/>
      </c>
      <c r="BE34" s="85" t="str">
        <f>IFERROR(IF(INDEX('Criterio de matriz competencias'!$F:$F,MATCH(BE$1,'Criterio de matriz competencias'!$A:$A,0))="Todos","X",""),"")</f>
        <v/>
      </c>
      <c r="BF34" s="85" t="str">
        <f>IFERROR(IF(INDEX('Criterio de matriz competencias'!$F:$F,MATCH(BF$1,'Criterio de matriz competencias'!$A:$A,0))="Todos","X",""),"")</f>
        <v/>
      </c>
      <c r="BG34" s="85" t="str">
        <f>IFERROR(IF(INDEX('Criterio de matriz competencias'!$F:$F,MATCH(BG$1,'Criterio de matriz competencias'!$A:$A,0))="Todos","X",""),"")</f>
        <v/>
      </c>
      <c r="BH34" s="85" t="str">
        <f>IFERROR(IF(INDEX('Criterio de matriz competencias'!$F:$F,MATCH(BH$1,'Criterio de matriz competencias'!$A:$A,0))="Todos","X",""),"")</f>
        <v/>
      </c>
      <c r="BI34" s="85" t="str">
        <f>IFERROR(IF(INDEX('Criterio de matriz competencias'!$F:$F,MATCH(BI$1,'Criterio de matriz competencias'!$A:$A,0))="Todos","X",""),"")</f>
        <v/>
      </c>
      <c r="BJ34" s="85" t="str">
        <f>IFERROR(IF(INDEX('Criterio de matriz competencias'!$F:$F,MATCH(BJ$1,'Criterio de matriz competencias'!$A:$A,0))="Todos","X",""),"")</f>
        <v/>
      </c>
    </row>
    <row r="35" spans="1:62" x14ac:dyDescent="0.3">
      <c r="A35" s="133"/>
      <c r="B35" s="133"/>
      <c r="C35" s="85"/>
      <c r="D35" s="85"/>
      <c r="E35" s="85"/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  <c r="S35" s="85"/>
      <c r="T35" s="85"/>
      <c r="U35" s="85"/>
      <c r="V35" s="85"/>
      <c r="W35" s="85"/>
      <c r="X35" s="85"/>
      <c r="Y35" s="85"/>
      <c r="Z35" s="85"/>
      <c r="AA35" s="85"/>
      <c r="AB35" s="85"/>
      <c r="AC35" s="85"/>
      <c r="AD35" s="85"/>
      <c r="AE35" s="85"/>
      <c r="AF35" s="85"/>
      <c r="AG35" s="85"/>
      <c r="AH35" s="85"/>
      <c r="AI35" s="85"/>
      <c r="AJ35" s="85"/>
      <c r="AK35" s="85"/>
      <c r="AL35" s="85"/>
      <c r="AM35" s="85"/>
      <c r="AN35" s="85"/>
      <c r="AO35" s="85"/>
      <c r="AP35" s="85"/>
      <c r="AQ35" s="85"/>
      <c r="AR35" s="85"/>
      <c r="AS35" s="85"/>
      <c r="AT35" s="85"/>
      <c r="AU35" s="85"/>
      <c r="AV35" s="85"/>
      <c r="AW35" s="85"/>
      <c r="AX35" s="85"/>
      <c r="AY35" s="85"/>
      <c r="AZ35" s="85"/>
      <c r="BA35" s="85"/>
      <c r="BB35" s="85"/>
      <c r="BC35" s="85"/>
      <c r="BD35" s="85" t="str">
        <f>IFERROR(IF(INDEX('Criterio de matriz competencias'!$F:$F,MATCH(BD$1,'Criterio de matriz competencias'!$A:$A,0))="Todos","X",""),"")</f>
        <v/>
      </c>
      <c r="BE35" s="85" t="str">
        <f>IFERROR(IF(INDEX('Criterio de matriz competencias'!$F:$F,MATCH(BE$1,'Criterio de matriz competencias'!$A:$A,0))="Todos","X",""),"")</f>
        <v/>
      </c>
      <c r="BF35" s="85" t="str">
        <f>IFERROR(IF(INDEX('Criterio de matriz competencias'!$F:$F,MATCH(BF$1,'Criterio de matriz competencias'!$A:$A,0))="Todos","X",""),"")</f>
        <v/>
      </c>
      <c r="BG35" s="85" t="str">
        <f>IFERROR(IF(INDEX('Criterio de matriz competencias'!$F:$F,MATCH(BG$1,'Criterio de matriz competencias'!$A:$A,0))="Todos","X",""),"")</f>
        <v/>
      </c>
      <c r="BH35" s="85" t="str">
        <f>IFERROR(IF(INDEX('Criterio de matriz competencias'!$F:$F,MATCH(BH$1,'Criterio de matriz competencias'!$A:$A,0))="Todos","X",""),"")</f>
        <v/>
      </c>
      <c r="BI35" s="85" t="str">
        <f>IFERROR(IF(INDEX('Criterio de matriz competencias'!$F:$F,MATCH(BI$1,'Criterio de matriz competencias'!$A:$A,0))="Todos","X",""),"")</f>
        <v/>
      </c>
      <c r="BJ35" s="85" t="str">
        <f>IFERROR(IF(INDEX('Criterio de matriz competencias'!$F:$F,MATCH(BJ$1,'Criterio de matriz competencias'!$A:$A,0))="Todos","X",""),"")</f>
        <v/>
      </c>
    </row>
    <row r="36" spans="1:62" x14ac:dyDescent="0.3">
      <c r="A36" s="133"/>
      <c r="B36" s="133"/>
      <c r="C36" s="85"/>
      <c r="D36" s="85"/>
      <c r="E36" s="85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  <c r="S36" s="85"/>
      <c r="T36" s="85"/>
      <c r="U36" s="85"/>
      <c r="V36" s="85"/>
      <c r="W36" s="85"/>
      <c r="X36" s="85"/>
      <c r="Y36" s="85"/>
      <c r="Z36" s="85"/>
      <c r="AA36" s="85"/>
      <c r="AB36" s="85"/>
      <c r="AC36" s="85"/>
      <c r="AD36" s="85"/>
      <c r="AE36" s="85"/>
      <c r="AF36" s="85"/>
      <c r="AG36" s="85"/>
      <c r="AH36" s="85"/>
      <c r="AI36" s="85"/>
      <c r="AJ36" s="85"/>
      <c r="AK36" s="85"/>
      <c r="AL36" s="85"/>
      <c r="AM36" s="85"/>
      <c r="AN36" s="85"/>
      <c r="AO36" s="85"/>
      <c r="AP36" s="85"/>
      <c r="AQ36" s="85"/>
      <c r="AR36" s="85"/>
      <c r="AS36" s="85"/>
      <c r="AT36" s="85"/>
      <c r="AU36" s="85"/>
      <c r="AV36" s="85"/>
      <c r="AW36" s="85"/>
      <c r="AX36" s="85"/>
      <c r="AY36" s="85"/>
      <c r="AZ36" s="85"/>
      <c r="BA36" s="85"/>
      <c r="BB36" s="85"/>
      <c r="BC36" s="85"/>
      <c r="BD36" s="85" t="str">
        <f>IFERROR(IF(INDEX('Criterio de matriz competencias'!$F:$F,MATCH(BD$1,'Criterio de matriz competencias'!$A:$A,0))="Todos","X",""),"")</f>
        <v/>
      </c>
      <c r="BE36" s="85" t="str">
        <f>IFERROR(IF(INDEX('Criterio de matriz competencias'!$F:$F,MATCH(BE$1,'Criterio de matriz competencias'!$A:$A,0))="Todos","X",""),"")</f>
        <v/>
      </c>
      <c r="BF36" s="85" t="str">
        <f>IFERROR(IF(INDEX('Criterio de matriz competencias'!$F:$F,MATCH(BF$1,'Criterio de matriz competencias'!$A:$A,0))="Todos","X",""),"")</f>
        <v/>
      </c>
      <c r="BG36" s="85" t="str">
        <f>IFERROR(IF(INDEX('Criterio de matriz competencias'!$F:$F,MATCH(BG$1,'Criterio de matriz competencias'!$A:$A,0))="Todos","X",""),"")</f>
        <v/>
      </c>
      <c r="BH36" s="85" t="str">
        <f>IFERROR(IF(INDEX('Criterio de matriz competencias'!$F:$F,MATCH(BH$1,'Criterio de matriz competencias'!$A:$A,0))="Todos","X",""),"")</f>
        <v/>
      </c>
      <c r="BI36" s="85" t="str">
        <f>IFERROR(IF(INDEX('Criterio de matriz competencias'!$F:$F,MATCH(BI$1,'Criterio de matriz competencias'!$A:$A,0))="Todos","X",""),"")</f>
        <v/>
      </c>
      <c r="BJ36" s="85" t="str">
        <f>IFERROR(IF(INDEX('Criterio de matriz competencias'!$F:$F,MATCH(BJ$1,'Criterio de matriz competencias'!$A:$A,0))="Todos","X",""),"")</f>
        <v/>
      </c>
    </row>
    <row r="37" spans="1:62" x14ac:dyDescent="0.3">
      <c r="A37" s="133"/>
      <c r="B37" s="133"/>
      <c r="C37" s="85"/>
      <c r="D37" s="85"/>
      <c r="E37" s="85"/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  <c r="S37" s="85"/>
      <c r="T37" s="85"/>
      <c r="U37" s="85"/>
      <c r="V37" s="85"/>
      <c r="W37" s="85"/>
      <c r="X37" s="85"/>
      <c r="Y37" s="85"/>
      <c r="Z37" s="85"/>
      <c r="AA37" s="85"/>
      <c r="AB37" s="85"/>
      <c r="AC37" s="85"/>
      <c r="AD37" s="85"/>
      <c r="AE37" s="85"/>
      <c r="AF37" s="85"/>
      <c r="AG37" s="85"/>
      <c r="AH37" s="85"/>
      <c r="AI37" s="85"/>
      <c r="AJ37" s="85"/>
      <c r="AK37" s="85"/>
      <c r="AL37" s="85"/>
      <c r="AM37" s="85"/>
      <c r="AN37" s="85"/>
      <c r="AO37" s="85"/>
      <c r="AP37" s="85"/>
      <c r="AQ37" s="85"/>
      <c r="AR37" s="85"/>
      <c r="AS37" s="85"/>
      <c r="AT37" s="85"/>
      <c r="AU37" s="85"/>
      <c r="AV37" s="85"/>
      <c r="AW37" s="85"/>
      <c r="AX37" s="85"/>
      <c r="AY37" s="85"/>
      <c r="AZ37" s="85"/>
      <c r="BA37" s="85"/>
      <c r="BB37" s="85"/>
      <c r="BC37" s="85"/>
      <c r="BD37" s="85" t="str">
        <f>IFERROR(IF(INDEX('Criterio de matriz competencias'!$F:$F,MATCH(BD$1,'Criterio de matriz competencias'!$A:$A,0))="Todos","X",""),"")</f>
        <v/>
      </c>
      <c r="BE37" s="85" t="str">
        <f>IFERROR(IF(INDEX('Criterio de matriz competencias'!$F:$F,MATCH(BE$1,'Criterio de matriz competencias'!$A:$A,0))="Todos","X",""),"")</f>
        <v/>
      </c>
      <c r="BF37" s="85" t="str">
        <f>IFERROR(IF(INDEX('Criterio de matriz competencias'!$F:$F,MATCH(BF$1,'Criterio de matriz competencias'!$A:$A,0))="Todos","X",""),"")</f>
        <v/>
      </c>
      <c r="BG37" s="85" t="str">
        <f>IFERROR(IF(INDEX('Criterio de matriz competencias'!$F:$F,MATCH(BG$1,'Criterio de matriz competencias'!$A:$A,0))="Todos","X",""),"")</f>
        <v/>
      </c>
      <c r="BH37" s="85" t="str">
        <f>IFERROR(IF(INDEX('Criterio de matriz competencias'!$F:$F,MATCH(BH$1,'Criterio de matriz competencias'!$A:$A,0))="Todos","X",""),"")</f>
        <v/>
      </c>
      <c r="BI37" s="85" t="str">
        <f>IFERROR(IF(INDEX('Criterio de matriz competencias'!$F:$F,MATCH(BI$1,'Criterio de matriz competencias'!$A:$A,0))="Todos","X",""),"")</f>
        <v/>
      </c>
      <c r="BJ37" s="85" t="str">
        <f>IFERROR(IF(INDEX('Criterio de matriz competencias'!$F:$F,MATCH(BJ$1,'Criterio de matriz competencias'!$A:$A,0))="Todos","X",""),"")</f>
        <v/>
      </c>
    </row>
    <row r="38" spans="1:62" x14ac:dyDescent="0.3">
      <c r="A38" s="133"/>
      <c r="B38" s="133"/>
      <c r="C38" s="85"/>
      <c r="D38" s="85"/>
      <c r="E38" s="85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5"/>
      <c r="AC38" s="85"/>
      <c r="AD38" s="85"/>
      <c r="AE38" s="85"/>
      <c r="AF38" s="85"/>
      <c r="AG38" s="85"/>
      <c r="AH38" s="85"/>
      <c r="AI38" s="85"/>
      <c r="AJ38" s="85"/>
      <c r="AK38" s="85"/>
      <c r="AL38" s="85"/>
      <c r="AM38" s="85"/>
      <c r="AN38" s="85"/>
      <c r="AO38" s="85"/>
      <c r="AP38" s="85"/>
      <c r="AQ38" s="85"/>
      <c r="AR38" s="85"/>
      <c r="AS38" s="85"/>
      <c r="AT38" s="85"/>
      <c r="AU38" s="85"/>
      <c r="AV38" s="85"/>
      <c r="AW38" s="85"/>
      <c r="AX38" s="85"/>
      <c r="AY38" s="85"/>
      <c r="AZ38" s="85"/>
      <c r="BA38" s="85"/>
      <c r="BB38" s="85"/>
      <c r="BC38" s="85"/>
      <c r="BD38" s="85" t="str">
        <f>IFERROR(IF(INDEX('Criterio de matriz competencias'!$F:$F,MATCH(BD$1,'Criterio de matriz competencias'!$A:$A,0))="Todos","X",""),"")</f>
        <v/>
      </c>
      <c r="BE38" s="85" t="str">
        <f>IFERROR(IF(INDEX('Criterio de matriz competencias'!$F:$F,MATCH(BE$1,'Criterio de matriz competencias'!$A:$A,0))="Todos","X",""),"")</f>
        <v/>
      </c>
      <c r="BF38" s="85" t="str">
        <f>IFERROR(IF(INDEX('Criterio de matriz competencias'!$F:$F,MATCH(BF$1,'Criterio de matriz competencias'!$A:$A,0))="Todos","X",""),"")</f>
        <v/>
      </c>
      <c r="BG38" s="85" t="str">
        <f>IFERROR(IF(INDEX('Criterio de matriz competencias'!$F:$F,MATCH(BG$1,'Criterio de matriz competencias'!$A:$A,0))="Todos","X",""),"")</f>
        <v/>
      </c>
      <c r="BH38" s="85" t="str">
        <f>IFERROR(IF(INDEX('Criterio de matriz competencias'!$F:$F,MATCH(BH$1,'Criterio de matriz competencias'!$A:$A,0))="Todos","X",""),"")</f>
        <v/>
      </c>
      <c r="BI38" s="85" t="str">
        <f>IFERROR(IF(INDEX('Criterio de matriz competencias'!$F:$F,MATCH(BI$1,'Criterio de matriz competencias'!$A:$A,0))="Todos","X",""),"")</f>
        <v/>
      </c>
      <c r="BJ38" s="85" t="str">
        <f>IFERROR(IF(INDEX('Criterio de matriz competencias'!$F:$F,MATCH(BJ$1,'Criterio de matriz competencias'!$A:$A,0))="Todos","X",""),"")</f>
        <v/>
      </c>
    </row>
    <row r="39" spans="1:62" x14ac:dyDescent="0.3">
      <c r="A39" s="133"/>
      <c r="B39" s="133"/>
      <c r="C39" s="85"/>
      <c r="D39" s="85"/>
      <c r="E39" s="85"/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  <c r="S39" s="85"/>
      <c r="T39" s="85"/>
      <c r="U39" s="85"/>
      <c r="V39" s="85"/>
      <c r="W39" s="85"/>
      <c r="X39" s="85"/>
      <c r="Y39" s="85"/>
      <c r="Z39" s="85"/>
      <c r="AA39" s="85"/>
      <c r="AB39" s="85"/>
      <c r="AC39" s="85"/>
      <c r="AD39" s="85"/>
      <c r="AE39" s="85"/>
      <c r="AF39" s="85"/>
      <c r="AG39" s="85"/>
      <c r="AH39" s="85"/>
      <c r="AI39" s="85"/>
      <c r="AJ39" s="85"/>
      <c r="AK39" s="85"/>
      <c r="AL39" s="85"/>
      <c r="AM39" s="85"/>
      <c r="AN39" s="85"/>
      <c r="AO39" s="85"/>
      <c r="AP39" s="85"/>
      <c r="AQ39" s="85"/>
      <c r="AR39" s="85"/>
      <c r="AS39" s="85"/>
      <c r="AT39" s="85"/>
      <c r="AU39" s="85"/>
      <c r="AV39" s="85"/>
      <c r="AW39" s="85"/>
      <c r="AX39" s="85"/>
      <c r="AY39" s="85"/>
      <c r="AZ39" s="85"/>
      <c r="BA39" s="85"/>
      <c r="BB39" s="85"/>
      <c r="BC39" s="85"/>
      <c r="BD39" s="85" t="str">
        <f>IFERROR(IF(INDEX('Criterio de matriz competencias'!$F:$F,MATCH(BD$1,'Criterio de matriz competencias'!$A:$A,0))="Todos","X",""),"")</f>
        <v/>
      </c>
      <c r="BE39" s="85" t="str">
        <f>IFERROR(IF(INDEX('Criterio de matriz competencias'!$F:$F,MATCH(BE$1,'Criterio de matriz competencias'!$A:$A,0))="Todos","X",""),"")</f>
        <v/>
      </c>
      <c r="BF39" s="85" t="str">
        <f>IFERROR(IF(INDEX('Criterio de matriz competencias'!$F:$F,MATCH(BF$1,'Criterio de matriz competencias'!$A:$A,0))="Todos","X",""),"")</f>
        <v/>
      </c>
      <c r="BG39" s="85" t="str">
        <f>IFERROR(IF(INDEX('Criterio de matriz competencias'!$F:$F,MATCH(BG$1,'Criterio de matriz competencias'!$A:$A,0))="Todos","X",""),"")</f>
        <v/>
      </c>
      <c r="BH39" s="85" t="str">
        <f>IFERROR(IF(INDEX('Criterio de matriz competencias'!$F:$F,MATCH(BH$1,'Criterio de matriz competencias'!$A:$A,0))="Todos","X",""),"")</f>
        <v/>
      </c>
      <c r="BI39" s="85" t="str">
        <f>IFERROR(IF(INDEX('Criterio de matriz competencias'!$F:$F,MATCH(BI$1,'Criterio de matriz competencias'!$A:$A,0))="Todos","X",""),"")</f>
        <v/>
      </c>
      <c r="BJ39" s="85" t="str">
        <f>IFERROR(IF(INDEX('Criterio de matriz competencias'!$F:$F,MATCH(BJ$1,'Criterio de matriz competencias'!$A:$A,0))="Todos","X",""),"")</f>
        <v/>
      </c>
    </row>
    <row r="40" spans="1:62" x14ac:dyDescent="0.3">
      <c r="A40" s="133"/>
      <c r="B40" s="133"/>
      <c r="C40" s="85"/>
      <c r="D40" s="85"/>
      <c r="E40" s="85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  <c r="S40" s="85"/>
      <c r="T40" s="85"/>
      <c r="U40" s="85"/>
      <c r="V40" s="85"/>
      <c r="W40" s="85"/>
      <c r="X40" s="85"/>
      <c r="Y40" s="85"/>
      <c r="Z40" s="85"/>
      <c r="AA40" s="85"/>
      <c r="AB40" s="85"/>
      <c r="AC40" s="85"/>
      <c r="AD40" s="85"/>
      <c r="AE40" s="85"/>
      <c r="AF40" s="85"/>
      <c r="AG40" s="85"/>
      <c r="AH40" s="85"/>
      <c r="AI40" s="85"/>
      <c r="AJ40" s="85"/>
      <c r="AK40" s="85"/>
      <c r="AL40" s="85"/>
      <c r="AM40" s="85"/>
      <c r="AN40" s="85"/>
      <c r="AO40" s="85"/>
      <c r="AP40" s="85"/>
      <c r="AQ40" s="85"/>
      <c r="AR40" s="85"/>
      <c r="AS40" s="85"/>
      <c r="AT40" s="85"/>
      <c r="AU40" s="85"/>
      <c r="AV40" s="85"/>
      <c r="AW40" s="85"/>
      <c r="AX40" s="85"/>
      <c r="AY40" s="85"/>
      <c r="AZ40" s="85"/>
      <c r="BA40" s="85"/>
      <c r="BB40" s="85"/>
      <c r="BC40" s="85"/>
      <c r="BD40" s="85" t="str">
        <f>IFERROR(IF(INDEX('Criterio de matriz competencias'!$F:$F,MATCH(BD$1,'Criterio de matriz competencias'!$A:$A,0))="Todos","X",""),"")</f>
        <v/>
      </c>
      <c r="BE40" s="85" t="str">
        <f>IFERROR(IF(INDEX('Criterio de matriz competencias'!$F:$F,MATCH(BE$1,'Criterio de matriz competencias'!$A:$A,0))="Todos","X",""),"")</f>
        <v/>
      </c>
      <c r="BF40" s="85" t="str">
        <f>IFERROR(IF(INDEX('Criterio de matriz competencias'!$F:$F,MATCH(BF$1,'Criterio de matriz competencias'!$A:$A,0))="Todos","X",""),"")</f>
        <v/>
      </c>
      <c r="BG40" s="85" t="str">
        <f>IFERROR(IF(INDEX('Criterio de matriz competencias'!$F:$F,MATCH(BG$1,'Criterio de matriz competencias'!$A:$A,0))="Todos","X",""),"")</f>
        <v/>
      </c>
      <c r="BH40" s="85" t="str">
        <f>IFERROR(IF(INDEX('Criterio de matriz competencias'!$F:$F,MATCH(BH$1,'Criterio de matriz competencias'!$A:$A,0))="Todos","X",""),"")</f>
        <v/>
      </c>
      <c r="BI40" s="85" t="str">
        <f>IFERROR(IF(INDEX('Criterio de matriz competencias'!$F:$F,MATCH(BI$1,'Criterio de matriz competencias'!$A:$A,0))="Todos","X",""),"")</f>
        <v/>
      </c>
      <c r="BJ40" s="85" t="str">
        <f>IFERROR(IF(INDEX('Criterio de matriz competencias'!$F:$F,MATCH(BJ$1,'Criterio de matriz competencias'!$A:$A,0))="Todos","X",""),"")</f>
        <v/>
      </c>
    </row>
    <row r="41" spans="1:62" x14ac:dyDescent="0.3">
      <c r="A41" s="133"/>
      <c r="B41" s="133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5"/>
      <c r="W41" s="85"/>
      <c r="X41" s="85"/>
      <c r="Y41" s="85"/>
      <c r="Z41" s="85"/>
      <c r="AA41" s="85"/>
      <c r="AB41" s="85"/>
      <c r="AC41" s="85"/>
      <c r="AD41" s="85"/>
      <c r="AE41" s="85"/>
      <c r="AF41" s="85"/>
      <c r="AG41" s="85"/>
      <c r="AH41" s="85"/>
      <c r="AI41" s="85"/>
      <c r="AJ41" s="85"/>
      <c r="AK41" s="85"/>
      <c r="AL41" s="85"/>
      <c r="AM41" s="85"/>
      <c r="AN41" s="85"/>
      <c r="AO41" s="85"/>
      <c r="AP41" s="85"/>
      <c r="AQ41" s="85"/>
      <c r="AR41" s="85"/>
      <c r="AS41" s="85"/>
      <c r="AT41" s="85"/>
      <c r="AU41" s="85"/>
      <c r="AV41" s="85"/>
      <c r="AW41" s="85"/>
      <c r="AX41" s="85"/>
      <c r="AY41" s="85"/>
      <c r="AZ41" s="85"/>
      <c r="BA41" s="85"/>
      <c r="BB41" s="85"/>
      <c r="BC41" s="85"/>
      <c r="BD41" s="85" t="str">
        <f>IFERROR(IF(INDEX('Criterio de matriz competencias'!$F:$F,MATCH(BD$1,'Criterio de matriz competencias'!$A:$A,0))="Todos","X",""),"")</f>
        <v/>
      </c>
      <c r="BE41" s="85" t="str">
        <f>IFERROR(IF(INDEX('Criterio de matriz competencias'!$F:$F,MATCH(BE$1,'Criterio de matriz competencias'!$A:$A,0))="Todos","X",""),"")</f>
        <v/>
      </c>
      <c r="BF41" s="85" t="str">
        <f>IFERROR(IF(INDEX('Criterio de matriz competencias'!$F:$F,MATCH(BF$1,'Criterio de matriz competencias'!$A:$A,0))="Todos","X",""),"")</f>
        <v/>
      </c>
      <c r="BG41" s="85" t="str">
        <f>IFERROR(IF(INDEX('Criterio de matriz competencias'!$F:$F,MATCH(BG$1,'Criterio de matriz competencias'!$A:$A,0))="Todos","X",""),"")</f>
        <v/>
      </c>
      <c r="BH41" s="85" t="str">
        <f>IFERROR(IF(INDEX('Criterio de matriz competencias'!$F:$F,MATCH(BH$1,'Criterio de matriz competencias'!$A:$A,0))="Todos","X",""),"")</f>
        <v/>
      </c>
      <c r="BI41" s="85" t="str">
        <f>IFERROR(IF(INDEX('Criterio de matriz competencias'!$F:$F,MATCH(BI$1,'Criterio de matriz competencias'!$A:$A,0))="Todos","X",""),"")</f>
        <v/>
      </c>
      <c r="BJ41" s="85" t="str">
        <f>IFERROR(IF(INDEX('Criterio de matriz competencias'!$F:$F,MATCH(BJ$1,'Criterio de matriz competencias'!$A:$A,0))="Todos","X",""),"")</f>
        <v/>
      </c>
    </row>
    <row r="42" spans="1:62" x14ac:dyDescent="0.3">
      <c r="A42" s="133"/>
      <c r="B42" s="133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  <c r="S42" s="85"/>
      <c r="T42" s="85"/>
      <c r="U42" s="85"/>
      <c r="V42" s="85"/>
      <c r="W42" s="85"/>
      <c r="X42" s="85"/>
      <c r="Y42" s="85"/>
      <c r="Z42" s="85"/>
      <c r="AA42" s="85"/>
      <c r="AB42" s="85"/>
      <c r="AC42" s="85"/>
      <c r="AD42" s="85"/>
      <c r="AE42" s="85"/>
      <c r="AF42" s="85"/>
      <c r="AG42" s="85"/>
      <c r="AH42" s="85"/>
      <c r="AI42" s="85"/>
      <c r="AJ42" s="85"/>
      <c r="AK42" s="85"/>
      <c r="AL42" s="85"/>
      <c r="AM42" s="85"/>
      <c r="AN42" s="85"/>
      <c r="AO42" s="85"/>
      <c r="AP42" s="85"/>
      <c r="AQ42" s="85"/>
      <c r="AR42" s="85"/>
      <c r="AS42" s="85"/>
      <c r="AT42" s="85"/>
      <c r="AU42" s="85"/>
      <c r="AV42" s="85"/>
      <c r="AW42" s="85"/>
      <c r="AX42" s="85"/>
      <c r="AY42" s="85"/>
      <c r="AZ42" s="85"/>
      <c r="BA42" s="85"/>
      <c r="BB42" s="85"/>
      <c r="BC42" s="85"/>
      <c r="BD42" s="85" t="str">
        <f>IFERROR(IF(INDEX('Criterio de matriz competencias'!$F:$F,MATCH(BD$1,'Criterio de matriz competencias'!$A:$A,0))="Todos","X",""),"")</f>
        <v/>
      </c>
      <c r="BE42" s="85" t="str">
        <f>IFERROR(IF(INDEX('Criterio de matriz competencias'!$F:$F,MATCH(BE$1,'Criterio de matriz competencias'!$A:$A,0))="Todos","X",""),"")</f>
        <v/>
      </c>
      <c r="BF42" s="85" t="str">
        <f>IFERROR(IF(INDEX('Criterio de matriz competencias'!$F:$F,MATCH(BF$1,'Criterio de matriz competencias'!$A:$A,0))="Todos","X",""),"")</f>
        <v/>
      </c>
      <c r="BG42" s="85" t="str">
        <f>IFERROR(IF(INDEX('Criterio de matriz competencias'!$F:$F,MATCH(BG$1,'Criterio de matriz competencias'!$A:$A,0))="Todos","X",""),"")</f>
        <v/>
      </c>
      <c r="BH42" s="85" t="str">
        <f>IFERROR(IF(INDEX('Criterio de matriz competencias'!$F:$F,MATCH(BH$1,'Criterio de matriz competencias'!$A:$A,0))="Todos","X",""),"")</f>
        <v/>
      </c>
      <c r="BI42" s="85" t="str">
        <f>IFERROR(IF(INDEX('Criterio de matriz competencias'!$F:$F,MATCH(BI$1,'Criterio de matriz competencias'!$A:$A,0))="Todos","X",""),"")</f>
        <v/>
      </c>
      <c r="BJ42" s="85" t="str">
        <f>IFERROR(IF(INDEX('Criterio de matriz competencias'!$F:$F,MATCH(BJ$1,'Criterio de matriz competencias'!$A:$A,0))="Todos","X",""),"")</f>
        <v/>
      </c>
    </row>
    <row r="43" spans="1:62" x14ac:dyDescent="0.3">
      <c r="A43" s="133"/>
      <c r="B43" s="133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  <c r="S43" s="85"/>
      <c r="T43" s="85"/>
      <c r="U43" s="85"/>
      <c r="V43" s="85"/>
      <c r="W43" s="85"/>
      <c r="X43" s="85"/>
      <c r="Y43" s="85"/>
      <c r="Z43" s="85"/>
      <c r="AA43" s="85"/>
      <c r="AB43" s="85"/>
      <c r="AC43" s="85"/>
      <c r="AD43" s="85"/>
      <c r="AE43" s="85"/>
      <c r="AF43" s="85"/>
      <c r="AG43" s="85"/>
      <c r="AH43" s="85"/>
      <c r="AI43" s="85"/>
      <c r="AJ43" s="85"/>
      <c r="AK43" s="85"/>
      <c r="AL43" s="85"/>
      <c r="AM43" s="85"/>
      <c r="AN43" s="85"/>
      <c r="AO43" s="85"/>
      <c r="AP43" s="85"/>
      <c r="AQ43" s="85"/>
      <c r="AR43" s="85"/>
      <c r="AS43" s="85"/>
      <c r="AT43" s="85"/>
      <c r="AU43" s="85"/>
      <c r="AV43" s="85"/>
      <c r="AW43" s="85"/>
      <c r="AX43" s="85"/>
      <c r="AY43" s="85"/>
      <c r="AZ43" s="85"/>
      <c r="BA43" s="85"/>
      <c r="BB43" s="85"/>
      <c r="BC43" s="85"/>
      <c r="BD43" s="85" t="str">
        <f>IFERROR(IF(INDEX('Criterio de matriz competencias'!$F:$F,MATCH(BD$1,'Criterio de matriz competencias'!$A:$A,0))="Todos","X",""),"")</f>
        <v/>
      </c>
      <c r="BE43" s="85" t="str">
        <f>IFERROR(IF(INDEX('Criterio de matriz competencias'!$F:$F,MATCH(BE$1,'Criterio de matriz competencias'!$A:$A,0))="Todos","X",""),"")</f>
        <v/>
      </c>
      <c r="BF43" s="85" t="str">
        <f>IFERROR(IF(INDEX('Criterio de matriz competencias'!$F:$F,MATCH(BF$1,'Criterio de matriz competencias'!$A:$A,0))="Todos","X",""),"")</f>
        <v/>
      </c>
      <c r="BG43" s="85" t="str">
        <f>IFERROR(IF(INDEX('Criterio de matriz competencias'!$F:$F,MATCH(BG$1,'Criterio de matriz competencias'!$A:$A,0))="Todos","X",""),"")</f>
        <v/>
      </c>
      <c r="BH43" s="85" t="str">
        <f>IFERROR(IF(INDEX('Criterio de matriz competencias'!$F:$F,MATCH(BH$1,'Criterio de matriz competencias'!$A:$A,0))="Todos","X",""),"")</f>
        <v/>
      </c>
      <c r="BI43" s="85" t="str">
        <f>IFERROR(IF(INDEX('Criterio de matriz competencias'!$F:$F,MATCH(BI$1,'Criterio de matriz competencias'!$A:$A,0))="Todos","X",""),"")</f>
        <v/>
      </c>
      <c r="BJ43" s="85" t="str">
        <f>IFERROR(IF(INDEX('Criterio de matriz competencias'!$F:$F,MATCH(BJ$1,'Criterio de matriz competencias'!$A:$A,0))="Todos","X",""),"")</f>
        <v/>
      </c>
    </row>
    <row r="44" spans="1:62" x14ac:dyDescent="0.3">
      <c r="A44" s="133"/>
      <c r="B44" s="133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  <c r="S44" s="85"/>
      <c r="T44" s="85"/>
      <c r="U44" s="85"/>
      <c r="V44" s="85"/>
      <c r="W44" s="85"/>
      <c r="X44" s="85"/>
      <c r="Y44" s="85"/>
      <c r="Z44" s="85"/>
      <c r="AA44" s="85"/>
      <c r="AB44" s="85"/>
      <c r="AC44" s="85"/>
      <c r="AD44" s="85"/>
      <c r="AE44" s="85"/>
      <c r="AF44" s="85"/>
      <c r="AG44" s="85"/>
      <c r="AH44" s="85"/>
      <c r="AI44" s="85"/>
      <c r="AJ44" s="85"/>
      <c r="AK44" s="85"/>
      <c r="AL44" s="85"/>
      <c r="AM44" s="85"/>
      <c r="AN44" s="85"/>
      <c r="AO44" s="85"/>
      <c r="AP44" s="85"/>
      <c r="AQ44" s="85"/>
      <c r="AR44" s="85"/>
      <c r="AS44" s="85"/>
      <c r="AT44" s="85"/>
      <c r="AU44" s="85"/>
      <c r="AV44" s="85"/>
      <c r="AW44" s="85"/>
      <c r="AX44" s="85"/>
      <c r="AY44" s="85"/>
      <c r="AZ44" s="85"/>
      <c r="BA44" s="85"/>
      <c r="BB44" s="85"/>
      <c r="BC44" s="85"/>
      <c r="BD44" s="85" t="str">
        <f>IFERROR(IF(INDEX('Criterio de matriz competencias'!$F:$F,MATCH(BD$1,'Criterio de matriz competencias'!$A:$A,0))="Todos","X",""),"")</f>
        <v/>
      </c>
      <c r="BE44" s="85" t="str">
        <f>IFERROR(IF(INDEX('Criterio de matriz competencias'!$F:$F,MATCH(BE$1,'Criterio de matriz competencias'!$A:$A,0))="Todos","X",""),"")</f>
        <v/>
      </c>
      <c r="BF44" s="85" t="str">
        <f>IFERROR(IF(INDEX('Criterio de matriz competencias'!$F:$F,MATCH(BF$1,'Criterio de matriz competencias'!$A:$A,0))="Todos","X",""),"")</f>
        <v/>
      </c>
      <c r="BG44" s="85" t="str">
        <f>IFERROR(IF(INDEX('Criterio de matriz competencias'!$F:$F,MATCH(BG$1,'Criterio de matriz competencias'!$A:$A,0))="Todos","X",""),"")</f>
        <v/>
      </c>
      <c r="BH44" s="85" t="str">
        <f>IFERROR(IF(INDEX('Criterio de matriz competencias'!$F:$F,MATCH(BH$1,'Criterio de matriz competencias'!$A:$A,0))="Todos","X",""),"")</f>
        <v/>
      </c>
      <c r="BI44" s="85" t="str">
        <f>IFERROR(IF(INDEX('Criterio de matriz competencias'!$F:$F,MATCH(BI$1,'Criterio de matriz competencias'!$A:$A,0))="Todos","X",""),"")</f>
        <v/>
      </c>
      <c r="BJ44" s="85" t="str">
        <f>IFERROR(IF(INDEX('Criterio de matriz competencias'!$F:$F,MATCH(BJ$1,'Criterio de matriz competencias'!$A:$A,0))="Todos","X",""),"")</f>
        <v/>
      </c>
    </row>
    <row r="45" spans="1:62" x14ac:dyDescent="0.3">
      <c r="A45" s="133"/>
      <c r="B45" s="133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  <c r="S45" s="85"/>
      <c r="T45" s="85"/>
      <c r="U45" s="85"/>
      <c r="V45" s="85"/>
      <c r="W45" s="85"/>
      <c r="X45" s="85"/>
      <c r="Y45" s="85"/>
      <c r="Z45" s="85"/>
      <c r="AA45" s="85"/>
      <c r="AB45" s="85"/>
      <c r="AC45" s="85"/>
      <c r="AD45" s="85"/>
      <c r="AE45" s="85"/>
      <c r="AF45" s="85"/>
      <c r="AG45" s="85"/>
      <c r="AH45" s="85"/>
      <c r="AI45" s="85"/>
      <c r="AJ45" s="85"/>
      <c r="AK45" s="85"/>
      <c r="AL45" s="85"/>
      <c r="AM45" s="85"/>
      <c r="AN45" s="85"/>
      <c r="AO45" s="85"/>
      <c r="AP45" s="85"/>
      <c r="AQ45" s="85"/>
      <c r="AR45" s="85"/>
      <c r="AS45" s="85"/>
      <c r="AT45" s="85"/>
      <c r="AU45" s="85"/>
      <c r="AV45" s="85"/>
      <c r="AW45" s="85"/>
      <c r="AX45" s="85"/>
      <c r="AY45" s="85"/>
      <c r="AZ45" s="85"/>
      <c r="BA45" s="85"/>
      <c r="BB45" s="85"/>
      <c r="BC45" s="85"/>
      <c r="BD45" s="85" t="str">
        <f>IFERROR(IF(INDEX('Criterio de matriz competencias'!$F:$F,MATCH(BD$1,'Criterio de matriz competencias'!$A:$A,0))="Todos","X",""),"")</f>
        <v/>
      </c>
      <c r="BE45" s="85" t="str">
        <f>IFERROR(IF(INDEX('Criterio de matriz competencias'!$F:$F,MATCH(BE$1,'Criterio de matriz competencias'!$A:$A,0))="Todos","X",""),"")</f>
        <v/>
      </c>
      <c r="BF45" s="85" t="str">
        <f>IFERROR(IF(INDEX('Criterio de matriz competencias'!$F:$F,MATCH(BF$1,'Criterio de matriz competencias'!$A:$A,0))="Todos","X",""),"")</f>
        <v/>
      </c>
      <c r="BG45" s="85" t="str">
        <f>IFERROR(IF(INDEX('Criterio de matriz competencias'!$F:$F,MATCH(BG$1,'Criterio de matriz competencias'!$A:$A,0))="Todos","X",""),"")</f>
        <v/>
      </c>
      <c r="BH45" s="85" t="str">
        <f>IFERROR(IF(INDEX('Criterio de matriz competencias'!$F:$F,MATCH(BH$1,'Criterio de matriz competencias'!$A:$A,0))="Todos","X",""),"")</f>
        <v/>
      </c>
      <c r="BI45" s="85" t="str">
        <f>IFERROR(IF(INDEX('Criterio de matriz competencias'!$F:$F,MATCH(BI$1,'Criterio de matriz competencias'!$A:$A,0))="Todos","X",""),"")</f>
        <v/>
      </c>
      <c r="BJ45" s="85" t="str">
        <f>IFERROR(IF(INDEX('Criterio de matriz competencias'!$F:$F,MATCH(BJ$1,'Criterio de matriz competencias'!$A:$A,0))="Todos","X",""),"")</f>
        <v/>
      </c>
    </row>
    <row r="46" spans="1:62" x14ac:dyDescent="0.3">
      <c r="A46" s="133"/>
      <c r="B46" s="133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  <c r="S46" s="85"/>
      <c r="T46" s="85"/>
      <c r="U46" s="85"/>
      <c r="V46" s="85"/>
      <c r="W46" s="85"/>
      <c r="X46" s="85"/>
      <c r="Y46" s="85"/>
      <c r="Z46" s="85"/>
      <c r="AA46" s="85"/>
      <c r="AB46" s="85"/>
      <c r="AC46" s="85"/>
      <c r="AD46" s="85"/>
      <c r="AE46" s="85"/>
      <c r="AF46" s="85"/>
      <c r="AG46" s="85"/>
      <c r="AH46" s="85"/>
      <c r="AI46" s="85"/>
      <c r="AJ46" s="85"/>
      <c r="AK46" s="85"/>
      <c r="AL46" s="85"/>
      <c r="AM46" s="85"/>
      <c r="AN46" s="85"/>
      <c r="AO46" s="85"/>
      <c r="AP46" s="85"/>
      <c r="AQ46" s="85"/>
      <c r="AR46" s="85"/>
      <c r="AS46" s="85"/>
      <c r="AT46" s="85"/>
      <c r="AU46" s="85"/>
      <c r="AV46" s="85"/>
      <c r="AW46" s="85"/>
      <c r="AX46" s="85"/>
      <c r="AY46" s="85"/>
      <c r="AZ46" s="85"/>
      <c r="BA46" s="85"/>
      <c r="BB46" s="85"/>
      <c r="BC46" s="85"/>
      <c r="BD46" s="85" t="str">
        <f>IFERROR(IF(INDEX('Criterio de matriz competencias'!$F:$F,MATCH(BD$1,'Criterio de matriz competencias'!$A:$A,0))="Todos","X",""),"")</f>
        <v/>
      </c>
      <c r="BE46" s="85" t="str">
        <f>IFERROR(IF(INDEX('Criterio de matriz competencias'!$F:$F,MATCH(BE$1,'Criterio de matriz competencias'!$A:$A,0))="Todos","X",""),"")</f>
        <v/>
      </c>
      <c r="BF46" s="85" t="str">
        <f>IFERROR(IF(INDEX('Criterio de matriz competencias'!$F:$F,MATCH(BF$1,'Criterio de matriz competencias'!$A:$A,0))="Todos","X",""),"")</f>
        <v/>
      </c>
      <c r="BG46" s="85" t="str">
        <f>IFERROR(IF(INDEX('Criterio de matriz competencias'!$F:$F,MATCH(BG$1,'Criterio de matriz competencias'!$A:$A,0))="Todos","X",""),"")</f>
        <v/>
      </c>
      <c r="BH46" s="85" t="str">
        <f>IFERROR(IF(INDEX('Criterio de matriz competencias'!$F:$F,MATCH(BH$1,'Criterio de matriz competencias'!$A:$A,0))="Todos","X",""),"")</f>
        <v/>
      </c>
      <c r="BI46" s="85" t="str">
        <f>IFERROR(IF(INDEX('Criterio de matriz competencias'!$F:$F,MATCH(BI$1,'Criterio de matriz competencias'!$A:$A,0))="Todos","X",""),"")</f>
        <v/>
      </c>
      <c r="BJ46" s="85" t="str">
        <f>IFERROR(IF(INDEX('Criterio de matriz competencias'!$F:$F,MATCH(BJ$1,'Criterio de matriz competencias'!$A:$A,0))="Todos","X",""),"")</f>
        <v/>
      </c>
    </row>
    <row r="47" spans="1:62" x14ac:dyDescent="0.3">
      <c r="A47" s="133"/>
      <c r="B47" s="133"/>
      <c r="C47" s="85"/>
      <c r="D47" s="85"/>
      <c r="E47" s="85"/>
      <c r="F47" s="85"/>
      <c r="G47" s="85"/>
      <c r="H47" s="85"/>
      <c r="I47" s="85"/>
      <c r="J47" s="85"/>
      <c r="K47" s="85"/>
      <c r="L47" s="85"/>
      <c r="M47" s="85"/>
      <c r="N47" s="85"/>
      <c r="O47" s="85"/>
      <c r="P47" s="85"/>
      <c r="Q47" s="85"/>
      <c r="R47" s="85"/>
      <c r="S47" s="85"/>
      <c r="T47" s="85"/>
      <c r="U47" s="85"/>
      <c r="V47" s="85"/>
      <c r="W47" s="85"/>
      <c r="X47" s="85"/>
      <c r="Y47" s="85"/>
      <c r="Z47" s="85"/>
      <c r="AA47" s="85"/>
      <c r="AB47" s="85"/>
      <c r="AC47" s="85"/>
      <c r="AD47" s="85"/>
      <c r="AE47" s="85"/>
      <c r="AF47" s="85"/>
      <c r="AG47" s="85"/>
      <c r="AH47" s="85"/>
      <c r="AI47" s="85"/>
      <c r="AJ47" s="85"/>
      <c r="AK47" s="85"/>
      <c r="AL47" s="85"/>
      <c r="AM47" s="85"/>
      <c r="AN47" s="85"/>
      <c r="AO47" s="85"/>
      <c r="AP47" s="85"/>
      <c r="AQ47" s="85"/>
      <c r="AR47" s="85"/>
      <c r="AS47" s="85"/>
      <c r="AT47" s="85"/>
      <c r="AU47" s="85"/>
      <c r="AV47" s="85"/>
      <c r="AW47" s="85"/>
      <c r="AX47" s="85"/>
      <c r="AY47" s="85"/>
      <c r="AZ47" s="85"/>
      <c r="BA47" s="85"/>
      <c r="BB47" s="85"/>
      <c r="BC47" s="85"/>
      <c r="BD47" s="85" t="str">
        <f>IFERROR(IF(INDEX('Criterio de matriz competencias'!$F:$F,MATCH(BD$1,'Criterio de matriz competencias'!$A:$A,0))="Todos","X",""),"")</f>
        <v/>
      </c>
      <c r="BE47" s="85" t="str">
        <f>IFERROR(IF(INDEX('Criterio de matriz competencias'!$F:$F,MATCH(BE$1,'Criterio de matriz competencias'!$A:$A,0))="Todos","X",""),"")</f>
        <v/>
      </c>
      <c r="BF47" s="85" t="str">
        <f>IFERROR(IF(INDEX('Criterio de matriz competencias'!$F:$F,MATCH(BF$1,'Criterio de matriz competencias'!$A:$A,0))="Todos","X",""),"")</f>
        <v/>
      </c>
      <c r="BG47" s="85" t="str">
        <f>IFERROR(IF(INDEX('Criterio de matriz competencias'!$F:$F,MATCH(BG$1,'Criterio de matriz competencias'!$A:$A,0))="Todos","X",""),"")</f>
        <v/>
      </c>
      <c r="BH47" s="85" t="str">
        <f>IFERROR(IF(INDEX('Criterio de matriz competencias'!$F:$F,MATCH(BH$1,'Criterio de matriz competencias'!$A:$A,0))="Todos","X",""),"")</f>
        <v/>
      </c>
      <c r="BI47" s="85" t="str">
        <f>IFERROR(IF(INDEX('Criterio de matriz competencias'!$F:$F,MATCH(BI$1,'Criterio de matriz competencias'!$A:$A,0))="Todos","X",""),"")</f>
        <v/>
      </c>
      <c r="BJ47" s="85" t="str">
        <f>IFERROR(IF(INDEX('Criterio de matriz competencias'!$F:$F,MATCH(BJ$1,'Criterio de matriz competencias'!$A:$A,0))="Todos","X",""),"")</f>
        <v/>
      </c>
    </row>
    <row r="48" spans="1:62" x14ac:dyDescent="0.3">
      <c r="A48" s="133"/>
      <c r="B48" s="133"/>
      <c r="C48" s="85"/>
      <c r="D48" s="85"/>
      <c r="E48" s="85"/>
      <c r="F48" s="85"/>
      <c r="G48" s="85"/>
      <c r="H48" s="85"/>
      <c r="I48" s="85"/>
      <c r="J48" s="85"/>
      <c r="K48" s="85"/>
      <c r="L48" s="85"/>
      <c r="M48" s="85"/>
      <c r="N48" s="85"/>
      <c r="O48" s="85"/>
      <c r="P48" s="85"/>
      <c r="Q48" s="85"/>
      <c r="R48" s="85"/>
      <c r="S48" s="85"/>
      <c r="T48" s="85"/>
      <c r="U48" s="85"/>
      <c r="V48" s="85"/>
      <c r="W48" s="85"/>
      <c r="X48" s="85"/>
      <c r="Y48" s="85"/>
      <c r="Z48" s="85"/>
      <c r="AA48" s="85"/>
      <c r="AB48" s="85"/>
      <c r="AC48" s="85"/>
      <c r="AD48" s="85"/>
      <c r="AE48" s="85"/>
      <c r="AF48" s="85"/>
      <c r="AG48" s="85"/>
      <c r="AH48" s="85"/>
      <c r="AI48" s="85"/>
      <c r="AJ48" s="85"/>
      <c r="AK48" s="85"/>
      <c r="AL48" s="85"/>
      <c r="AM48" s="85"/>
      <c r="AN48" s="85"/>
      <c r="AO48" s="85"/>
      <c r="AP48" s="85"/>
      <c r="AQ48" s="85"/>
      <c r="AR48" s="85"/>
      <c r="AS48" s="85"/>
      <c r="AT48" s="85"/>
      <c r="AU48" s="85"/>
      <c r="AV48" s="85"/>
      <c r="AW48" s="85"/>
      <c r="AX48" s="85"/>
      <c r="AY48" s="85"/>
      <c r="AZ48" s="85"/>
      <c r="BA48" s="85"/>
      <c r="BB48" s="85"/>
      <c r="BC48" s="85"/>
      <c r="BD48" s="85" t="str">
        <f>IFERROR(IF(INDEX('Criterio de matriz competencias'!$F:$F,MATCH(BD$1,'Criterio de matriz competencias'!$A:$A,0))="Todos","X",""),"")</f>
        <v/>
      </c>
      <c r="BE48" s="85" t="str">
        <f>IFERROR(IF(INDEX('Criterio de matriz competencias'!$F:$F,MATCH(BE$1,'Criterio de matriz competencias'!$A:$A,0))="Todos","X",""),"")</f>
        <v/>
      </c>
      <c r="BF48" s="85" t="str">
        <f>IFERROR(IF(INDEX('Criterio de matriz competencias'!$F:$F,MATCH(BF$1,'Criterio de matriz competencias'!$A:$A,0))="Todos","X",""),"")</f>
        <v/>
      </c>
      <c r="BG48" s="85" t="str">
        <f>IFERROR(IF(INDEX('Criterio de matriz competencias'!$F:$F,MATCH(BG$1,'Criterio de matriz competencias'!$A:$A,0))="Todos","X",""),"")</f>
        <v/>
      </c>
      <c r="BH48" s="85" t="str">
        <f>IFERROR(IF(INDEX('Criterio de matriz competencias'!$F:$F,MATCH(BH$1,'Criterio de matriz competencias'!$A:$A,0))="Todos","X",""),"")</f>
        <v/>
      </c>
      <c r="BI48" s="85" t="str">
        <f>IFERROR(IF(INDEX('Criterio de matriz competencias'!$F:$F,MATCH(BI$1,'Criterio de matriz competencias'!$A:$A,0))="Todos","X",""),"")</f>
        <v/>
      </c>
      <c r="BJ48" s="85" t="str">
        <f>IFERROR(IF(INDEX('Criterio de matriz competencias'!$F:$F,MATCH(BJ$1,'Criterio de matriz competencias'!$A:$A,0))="Todos","X",""),"")</f>
        <v/>
      </c>
    </row>
    <row r="49" spans="1:62" x14ac:dyDescent="0.3">
      <c r="A49" s="133"/>
      <c r="B49" s="133"/>
      <c r="C49" s="85"/>
      <c r="D49" s="85"/>
      <c r="E49" s="85"/>
      <c r="F49" s="85"/>
      <c r="G49" s="85"/>
      <c r="H49" s="85"/>
      <c r="I49" s="85"/>
      <c r="J49" s="85"/>
      <c r="K49" s="85"/>
      <c r="L49" s="85"/>
      <c r="M49" s="85"/>
      <c r="N49" s="85"/>
      <c r="O49" s="85"/>
      <c r="P49" s="85"/>
      <c r="Q49" s="85"/>
      <c r="R49" s="85"/>
      <c r="S49" s="85"/>
      <c r="T49" s="85"/>
      <c r="U49" s="85"/>
      <c r="V49" s="85"/>
      <c r="W49" s="85"/>
      <c r="X49" s="85"/>
      <c r="Y49" s="85"/>
      <c r="Z49" s="85"/>
      <c r="AA49" s="85"/>
      <c r="AB49" s="85"/>
      <c r="AC49" s="85"/>
      <c r="AD49" s="85"/>
      <c r="AE49" s="85"/>
      <c r="AF49" s="85"/>
      <c r="AG49" s="85"/>
      <c r="AH49" s="85"/>
      <c r="AI49" s="85"/>
      <c r="AJ49" s="85"/>
      <c r="AK49" s="85"/>
      <c r="AL49" s="85"/>
      <c r="AM49" s="85"/>
      <c r="AN49" s="85"/>
      <c r="AO49" s="85"/>
      <c r="AP49" s="85"/>
      <c r="AQ49" s="85"/>
      <c r="AR49" s="85"/>
      <c r="AS49" s="85"/>
      <c r="AT49" s="85"/>
      <c r="AU49" s="85"/>
      <c r="AV49" s="85"/>
      <c r="AW49" s="85"/>
      <c r="AX49" s="85"/>
      <c r="AY49" s="85"/>
      <c r="AZ49" s="85"/>
      <c r="BA49" s="85"/>
      <c r="BB49" s="85"/>
      <c r="BC49" s="85"/>
      <c r="BD49" s="85" t="str">
        <f>IFERROR(IF(INDEX('Criterio de matriz competencias'!$F:$F,MATCH(BD$1,'Criterio de matriz competencias'!$A:$A,0))="Todos","X",""),"")</f>
        <v/>
      </c>
      <c r="BE49" s="85" t="str">
        <f>IFERROR(IF(INDEX('Criterio de matriz competencias'!$F:$F,MATCH(BE$1,'Criterio de matriz competencias'!$A:$A,0))="Todos","X",""),"")</f>
        <v/>
      </c>
      <c r="BF49" s="85" t="str">
        <f>IFERROR(IF(INDEX('Criterio de matriz competencias'!$F:$F,MATCH(BF$1,'Criterio de matriz competencias'!$A:$A,0))="Todos","X",""),"")</f>
        <v/>
      </c>
      <c r="BG49" s="85" t="str">
        <f>IFERROR(IF(INDEX('Criterio de matriz competencias'!$F:$F,MATCH(BG$1,'Criterio de matriz competencias'!$A:$A,0))="Todos","X",""),"")</f>
        <v/>
      </c>
      <c r="BH49" s="85" t="str">
        <f>IFERROR(IF(INDEX('Criterio de matriz competencias'!$F:$F,MATCH(BH$1,'Criterio de matriz competencias'!$A:$A,0))="Todos","X",""),"")</f>
        <v/>
      </c>
      <c r="BI49" s="85" t="str">
        <f>IFERROR(IF(INDEX('Criterio de matriz competencias'!$F:$F,MATCH(BI$1,'Criterio de matriz competencias'!$A:$A,0))="Todos","X",""),"")</f>
        <v/>
      </c>
      <c r="BJ49" s="85" t="str">
        <f>IFERROR(IF(INDEX('Criterio de matriz competencias'!$F:$F,MATCH(BJ$1,'Criterio de matriz competencias'!$A:$A,0))="Todos","X",""),"")</f>
        <v/>
      </c>
    </row>
    <row r="50" spans="1:62" x14ac:dyDescent="0.3">
      <c r="A50" s="133"/>
      <c r="B50" s="133"/>
      <c r="C50" s="85"/>
      <c r="D50" s="85"/>
      <c r="E50" s="85"/>
      <c r="F50" s="85"/>
      <c r="G50" s="85"/>
      <c r="H50" s="85"/>
      <c r="I50" s="85"/>
      <c r="J50" s="85"/>
      <c r="K50" s="85"/>
      <c r="L50" s="85"/>
      <c r="M50" s="85"/>
      <c r="N50" s="85"/>
      <c r="O50" s="85"/>
      <c r="P50" s="85"/>
      <c r="Q50" s="85"/>
      <c r="R50" s="85"/>
      <c r="S50" s="85"/>
      <c r="T50" s="85"/>
      <c r="U50" s="85"/>
      <c r="V50" s="85"/>
      <c r="W50" s="85"/>
      <c r="X50" s="85"/>
      <c r="Y50" s="85"/>
      <c r="Z50" s="85"/>
      <c r="AA50" s="85"/>
      <c r="AB50" s="85"/>
      <c r="AC50" s="85"/>
      <c r="AD50" s="85"/>
      <c r="AE50" s="85"/>
      <c r="AF50" s="85"/>
      <c r="AG50" s="85"/>
      <c r="AH50" s="85"/>
      <c r="AI50" s="85"/>
      <c r="AJ50" s="85"/>
      <c r="AK50" s="85"/>
      <c r="AL50" s="85"/>
      <c r="AM50" s="85"/>
      <c r="AN50" s="85"/>
      <c r="AO50" s="85"/>
      <c r="AP50" s="85"/>
      <c r="AQ50" s="85"/>
      <c r="AR50" s="85"/>
      <c r="AS50" s="85"/>
      <c r="AT50" s="85"/>
      <c r="AU50" s="85"/>
      <c r="AV50" s="85"/>
      <c r="AW50" s="85"/>
      <c r="AX50" s="85"/>
      <c r="AY50" s="85"/>
      <c r="AZ50" s="85"/>
      <c r="BA50" s="85"/>
      <c r="BB50" s="85"/>
      <c r="BC50" s="85"/>
      <c r="BD50" s="85" t="str">
        <f>IFERROR(IF(INDEX('Criterio de matriz competencias'!$F:$F,MATCH(BD$1,'Criterio de matriz competencias'!$A:$A,0))="Todos","X",""),"")</f>
        <v/>
      </c>
      <c r="BE50" s="85" t="str">
        <f>IFERROR(IF(INDEX('Criterio de matriz competencias'!$F:$F,MATCH(BE$1,'Criterio de matriz competencias'!$A:$A,0))="Todos","X",""),"")</f>
        <v/>
      </c>
      <c r="BF50" s="85" t="str">
        <f>IFERROR(IF(INDEX('Criterio de matriz competencias'!$F:$F,MATCH(BF$1,'Criterio de matriz competencias'!$A:$A,0))="Todos","X",""),"")</f>
        <v/>
      </c>
      <c r="BG50" s="85" t="str">
        <f>IFERROR(IF(INDEX('Criterio de matriz competencias'!$F:$F,MATCH(BG$1,'Criterio de matriz competencias'!$A:$A,0))="Todos","X",""),"")</f>
        <v/>
      </c>
      <c r="BH50" s="85" t="str">
        <f>IFERROR(IF(INDEX('Criterio de matriz competencias'!$F:$F,MATCH(BH$1,'Criterio de matriz competencias'!$A:$A,0))="Todos","X",""),"")</f>
        <v/>
      </c>
      <c r="BI50" s="85" t="str">
        <f>IFERROR(IF(INDEX('Criterio de matriz competencias'!$F:$F,MATCH(BI$1,'Criterio de matriz competencias'!$A:$A,0))="Todos","X",""),"")</f>
        <v/>
      </c>
      <c r="BJ50" s="85" t="str">
        <f>IFERROR(IF(INDEX('Criterio de matriz competencias'!$F:$F,MATCH(BJ$1,'Criterio de matriz competencias'!$A:$A,0))="Todos","X",""),"")</f>
        <v/>
      </c>
    </row>
    <row r="51" spans="1:62" x14ac:dyDescent="0.3">
      <c r="A51" s="133"/>
      <c r="B51" s="133"/>
      <c r="C51" s="85"/>
      <c r="D51" s="85"/>
      <c r="E51" s="85"/>
      <c r="F51" s="85"/>
      <c r="G51" s="85"/>
      <c r="H51" s="85"/>
      <c r="I51" s="85"/>
      <c r="J51" s="85"/>
      <c r="K51" s="85"/>
      <c r="L51" s="85"/>
      <c r="M51" s="85"/>
      <c r="N51" s="85"/>
      <c r="O51" s="85"/>
      <c r="P51" s="85"/>
      <c r="Q51" s="85"/>
      <c r="R51" s="85"/>
      <c r="S51" s="85"/>
      <c r="T51" s="85"/>
      <c r="U51" s="85"/>
      <c r="V51" s="85"/>
      <c r="W51" s="85"/>
      <c r="X51" s="85"/>
      <c r="Y51" s="85"/>
      <c r="Z51" s="85"/>
      <c r="AA51" s="85"/>
      <c r="AB51" s="85"/>
      <c r="AC51" s="85"/>
      <c r="AD51" s="85"/>
      <c r="AE51" s="85"/>
      <c r="AF51" s="85"/>
      <c r="AG51" s="85"/>
      <c r="AH51" s="85"/>
      <c r="AI51" s="85"/>
      <c r="AJ51" s="85"/>
      <c r="AK51" s="85"/>
      <c r="AL51" s="85"/>
      <c r="AM51" s="85"/>
      <c r="AN51" s="85"/>
      <c r="AO51" s="85"/>
      <c r="AP51" s="85"/>
      <c r="AQ51" s="85"/>
      <c r="AR51" s="85"/>
      <c r="AS51" s="85"/>
      <c r="AT51" s="85"/>
      <c r="AU51" s="85"/>
      <c r="AV51" s="85"/>
      <c r="AW51" s="85"/>
      <c r="AX51" s="85"/>
      <c r="AY51" s="85"/>
      <c r="AZ51" s="85"/>
      <c r="BA51" s="85"/>
      <c r="BB51" s="85"/>
      <c r="BC51" s="85"/>
      <c r="BD51" s="85" t="str">
        <f>IFERROR(IF(INDEX('Criterio de matriz competencias'!$F:$F,MATCH(BD$1,'Criterio de matriz competencias'!$A:$A,0))="Todos","X",""),"")</f>
        <v/>
      </c>
      <c r="BE51" s="85" t="str">
        <f>IFERROR(IF(INDEX('Criterio de matriz competencias'!$F:$F,MATCH(BE$1,'Criterio de matriz competencias'!$A:$A,0))="Todos","X",""),"")</f>
        <v/>
      </c>
      <c r="BF51" s="85" t="str">
        <f>IFERROR(IF(INDEX('Criterio de matriz competencias'!$F:$F,MATCH(BF$1,'Criterio de matriz competencias'!$A:$A,0))="Todos","X",""),"")</f>
        <v/>
      </c>
      <c r="BG51" s="85" t="str">
        <f>IFERROR(IF(INDEX('Criterio de matriz competencias'!$F:$F,MATCH(BG$1,'Criterio de matriz competencias'!$A:$A,0))="Todos","X",""),"")</f>
        <v/>
      </c>
      <c r="BH51" s="85" t="str">
        <f>IFERROR(IF(INDEX('Criterio de matriz competencias'!$F:$F,MATCH(BH$1,'Criterio de matriz competencias'!$A:$A,0))="Todos","X",""),"")</f>
        <v/>
      </c>
      <c r="BI51" s="85" t="str">
        <f>IFERROR(IF(INDEX('Criterio de matriz competencias'!$F:$F,MATCH(BI$1,'Criterio de matriz competencias'!$A:$A,0))="Todos","X",""),"")</f>
        <v/>
      </c>
      <c r="BJ51" s="85" t="str">
        <f>IFERROR(IF(INDEX('Criterio de matriz competencias'!$F:$F,MATCH(BJ$1,'Criterio de matriz competencias'!$A:$A,0))="Todos","X",""),"")</f>
        <v/>
      </c>
    </row>
    <row r="52" spans="1:62" x14ac:dyDescent="0.3">
      <c r="A52" s="133"/>
      <c r="B52" s="133"/>
      <c r="C52" s="85"/>
      <c r="D52" s="85"/>
      <c r="E52" s="85"/>
      <c r="F52" s="85"/>
      <c r="G52" s="85"/>
      <c r="H52" s="85"/>
      <c r="I52" s="85"/>
      <c r="J52" s="85"/>
      <c r="K52" s="85"/>
      <c r="L52" s="85"/>
      <c r="M52" s="85"/>
      <c r="N52" s="85"/>
      <c r="O52" s="85"/>
      <c r="P52" s="85"/>
      <c r="Q52" s="85"/>
      <c r="R52" s="85"/>
      <c r="S52" s="85"/>
      <c r="T52" s="85"/>
      <c r="U52" s="85"/>
      <c r="V52" s="85"/>
      <c r="W52" s="85"/>
      <c r="X52" s="85"/>
      <c r="Y52" s="85"/>
      <c r="Z52" s="85"/>
      <c r="AA52" s="85"/>
      <c r="AB52" s="85"/>
      <c r="AC52" s="85"/>
      <c r="AD52" s="85"/>
      <c r="AE52" s="85"/>
      <c r="AF52" s="85"/>
      <c r="AG52" s="85"/>
      <c r="AH52" s="85"/>
      <c r="AI52" s="85"/>
      <c r="AJ52" s="85"/>
      <c r="AK52" s="85"/>
      <c r="AL52" s="85"/>
      <c r="AM52" s="85"/>
      <c r="AN52" s="85"/>
      <c r="AO52" s="85"/>
      <c r="AP52" s="85"/>
      <c r="AQ52" s="85"/>
      <c r="AR52" s="85"/>
      <c r="AS52" s="85"/>
      <c r="AT52" s="85"/>
      <c r="AU52" s="85"/>
      <c r="AV52" s="85"/>
      <c r="AW52" s="85"/>
      <c r="AX52" s="85"/>
      <c r="AY52" s="85"/>
      <c r="AZ52" s="85"/>
      <c r="BA52" s="85"/>
      <c r="BB52" s="85"/>
      <c r="BC52" s="85"/>
      <c r="BD52" s="85" t="str">
        <f>IFERROR(IF(INDEX('Criterio de matriz competencias'!$F:$F,MATCH(BD$1,'Criterio de matriz competencias'!$A:$A,0))="Todos","X",""),"")</f>
        <v/>
      </c>
      <c r="BE52" s="85" t="str">
        <f>IFERROR(IF(INDEX('Criterio de matriz competencias'!$F:$F,MATCH(BE$1,'Criterio de matriz competencias'!$A:$A,0))="Todos","X",""),"")</f>
        <v/>
      </c>
      <c r="BF52" s="85" t="str">
        <f>IFERROR(IF(INDEX('Criterio de matriz competencias'!$F:$F,MATCH(BF$1,'Criterio de matriz competencias'!$A:$A,0))="Todos","X",""),"")</f>
        <v/>
      </c>
      <c r="BG52" s="85" t="str">
        <f>IFERROR(IF(INDEX('Criterio de matriz competencias'!$F:$F,MATCH(BG$1,'Criterio de matriz competencias'!$A:$A,0))="Todos","X",""),"")</f>
        <v/>
      </c>
      <c r="BH52" s="85" t="str">
        <f>IFERROR(IF(INDEX('Criterio de matriz competencias'!$F:$F,MATCH(BH$1,'Criterio de matriz competencias'!$A:$A,0))="Todos","X",""),"")</f>
        <v/>
      </c>
      <c r="BI52" s="85" t="str">
        <f>IFERROR(IF(INDEX('Criterio de matriz competencias'!$F:$F,MATCH(BI$1,'Criterio de matriz competencias'!$A:$A,0))="Todos","X",""),"")</f>
        <v/>
      </c>
      <c r="BJ52" s="85" t="str">
        <f>IFERROR(IF(INDEX('Criterio de matriz competencias'!$F:$F,MATCH(BJ$1,'Criterio de matriz competencias'!$A:$A,0))="Todos","X",""),"")</f>
        <v/>
      </c>
    </row>
    <row r="53" spans="1:62" x14ac:dyDescent="0.3">
      <c r="A53" s="133"/>
      <c r="B53" s="133"/>
      <c r="C53" s="85"/>
      <c r="D53" s="85"/>
      <c r="E53" s="85"/>
      <c r="F53" s="85"/>
      <c r="G53" s="85"/>
      <c r="H53" s="85"/>
      <c r="I53" s="85"/>
      <c r="J53" s="85"/>
      <c r="K53" s="85"/>
      <c r="L53" s="85"/>
      <c r="M53" s="85"/>
      <c r="N53" s="85"/>
      <c r="O53" s="85"/>
      <c r="P53" s="85"/>
      <c r="Q53" s="85"/>
      <c r="R53" s="85"/>
      <c r="S53" s="85"/>
      <c r="T53" s="85"/>
      <c r="U53" s="85"/>
      <c r="V53" s="85"/>
      <c r="W53" s="85"/>
      <c r="X53" s="85"/>
      <c r="Y53" s="85"/>
      <c r="Z53" s="85"/>
      <c r="AA53" s="85"/>
      <c r="AB53" s="85"/>
      <c r="AC53" s="85"/>
      <c r="AD53" s="85"/>
      <c r="AE53" s="85"/>
      <c r="AF53" s="85"/>
      <c r="AG53" s="85"/>
      <c r="AH53" s="85"/>
      <c r="AI53" s="85"/>
      <c r="AJ53" s="85"/>
      <c r="AK53" s="85"/>
      <c r="AL53" s="85"/>
      <c r="AM53" s="85"/>
      <c r="AN53" s="85"/>
      <c r="AO53" s="85"/>
      <c r="AP53" s="85"/>
      <c r="AQ53" s="85"/>
      <c r="AR53" s="85"/>
      <c r="AS53" s="85"/>
      <c r="AT53" s="85"/>
      <c r="AU53" s="85"/>
      <c r="AV53" s="85"/>
      <c r="AW53" s="85"/>
      <c r="AX53" s="85"/>
      <c r="AY53" s="85"/>
      <c r="AZ53" s="85"/>
      <c r="BA53" s="85"/>
      <c r="BB53" s="85"/>
      <c r="BC53" s="85"/>
      <c r="BD53" s="85" t="str">
        <f>IFERROR(IF(INDEX('Criterio de matriz competencias'!$F:$F,MATCH(BD$1,'Criterio de matriz competencias'!$A:$A,0))="Todos","X",""),"")</f>
        <v/>
      </c>
      <c r="BE53" s="85" t="str">
        <f>IFERROR(IF(INDEX('Criterio de matriz competencias'!$F:$F,MATCH(BE$1,'Criterio de matriz competencias'!$A:$A,0))="Todos","X",""),"")</f>
        <v/>
      </c>
      <c r="BF53" s="85" t="str">
        <f>IFERROR(IF(INDEX('Criterio de matriz competencias'!$F:$F,MATCH(BF$1,'Criterio de matriz competencias'!$A:$A,0))="Todos","X",""),"")</f>
        <v/>
      </c>
      <c r="BG53" s="85" t="str">
        <f>IFERROR(IF(INDEX('Criterio de matriz competencias'!$F:$F,MATCH(BG$1,'Criterio de matriz competencias'!$A:$A,0))="Todos","X",""),"")</f>
        <v/>
      </c>
      <c r="BH53" s="85" t="str">
        <f>IFERROR(IF(INDEX('Criterio de matriz competencias'!$F:$F,MATCH(BH$1,'Criterio de matriz competencias'!$A:$A,0))="Todos","X",""),"")</f>
        <v/>
      </c>
      <c r="BI53" s="85" t="str">
        <f>IFERROR(IF(INDEX('Criterio de matriz competencias'!$F:$F,MATCH(BI$1,'Criterio de matriz competencias'!$A:$A,0))="Todos","X",""),"")</f>
        <v/>
      </c>
      <c r="BJ53" s="85" t="str">
        <f>IFERROR(IF(INDEX('Criterio de matriz competencias'!$F:$F,MATCH(BJ$1,'Criterio de matriz competencias'!$A:$A,0))="Todos","X",""),"")</f>
        <v/>
      </c>
    </row>
    <row r="54" spans="1:62" x14ac:dyDescent="0.3">
      <c r="A54" s="133"/>
      <c r="B54" s="133"/>
      <c r="C54" s="85"/>
      <c r="D54" s="85"/>
      <c r="E54" s="85"/>
      <c r="F54" s="85"/>
      <c r="G54" s="85"/>
      <c r="H54" s="85"/>
      <c r="I54" s="85"/>
      <c r="J54" s="85"/>
      <c r="K54" s="85"/>
      <c r="L54" s="85"/>
      <c r="M54" s="85"/>
      <c r="N54" s="85"/>
      <c r="O54" s="85"/>
      <c r="P54" s="85"/>
      <c r="Q54" s="85"/>
      <c r="R54" s="85"/>
      <c r="S54" s="85"/>
      <c r="T54" s="85"/>
      <c r="U54" s="85"/>
      <c r="V54" s="85"/>
      <c r="W54" s="85"/>
      <c r="X54" s="85"/>
      <c r="Y54" s="85"/>
      <c r="Z54" s="85"/>
      <c r="AA54" s="85"/>
      <c r="AB54" s="85"/>
      <c r="AC54" s="85"/>
      <c r="AD54" s="85"/>
      <c r="AE54" s="85"/>
      <c r="AF54" s="85"/>
      <c r="AG54" s="85"/>
      <c r="AH54" s="85"/>
      <c r="AI54" s="85"/>
      <c r="AJ54" s="85"/>
      <c r="AK54" s="85"/>
      <c r="AL54" s="85"/>
      <c r="AM54" s="85"/>
      <c r="AN54" s="85"/>
      <c r="AO54" s="85"/>
      <c r="AP54" s="85"/>
      <c r="AQ54" s="85"/>
      <c r="AR54" s="85"/>
      <c r="AS54" s="85"/>
      <c r="AT54" s="85"/>
      <c r="AU54" s="85"/>
      <c r="AV54" s="85"/>
      <c r="AW54" s="85"/>
      <c r="AX54" s="85"/>
      <c r="AY54" s="85"/>
      <c r="AZ54" s="85"/>
      <c r="BA54" s="85"/>
      <c r="BB54" s="85"/>
      <c r="BC54" s="85"/>
      <c r="BD54" s="85" t="str">
        <f>IFERROR(IF(INDEX('Criterio de matriz competencias'!$F:$F,MATCH(BD$1,'Criterio de matriz competencias'!$A:$A,0))="Todos","X",""),"")</f>
        <v/>
      </c>
      <c r="BE54" s="85" t="str">
        <f>IFERROR(IF(INDEX('Criterio de matriz competencias'!$F:$F,MATCH(BE$1,'Criterio de matriz competencias'!$A:$A,0))="Todos","X",""),"")</f>
        <v/>
      </c>
      <c r="BF54" s="85" t="str">
        <f>IFERROR(IF(INDEX('Criterio de matriz competencias'!$F:$F,MATCH(BF$1,'Criterio de matriz competencias'!$A:$A,0))="Todos","X",""),"")</f>
        <v/>
      </c>
      <c r="BG54" s="85" t="str">
        <f>IFERROR(IF(INDEX('Criterio de matriz competencias'!$F:$F,MATCH(BG$1,'Criterio de matriz competencias'!$A:$A,0))="Todos","X",""),"")</f>
        <v/>
      </c>
      <c r="BH54" s="85" t="str">
        <f>IFERROR(IF(INDEX('Criterio de matriz competencias'!$F:$F,MATCH(BH$1,'Criterio de matriz competencias'!$A:$A,0))="Todos","X",""),"")</f>
        <v/>
      </c>
      <c r="BI54" s="85" t="str">
        <f>IFERROR(IF(INDEX('Criterio de matriz competencias'!$F:$F,MATCH(BI$1,'Criterio de matriz competencias'!$A:$A,0))="Todos","X",""),"")</f>
        <v/>
      </c>
      <c r="BJ54" s="85" t="str">
        <f>IFERROR(IF(INDEX('Criterio de matriz competencias'!$F:$F,MATCH(BJ$1,'Criterio de matriz competencias'!$A:$A,0))="Todos","X",""),"")</f>
        <v/>
      </c>
    </row>
    <row r="55" spans="1:62" x14ac:dyDescent="0.3">
      <c r="A55" s="134"/>
      <c r="B55" s="134"/>
      <c r="C55" s="85"/>
      <c r="D55" s="85"/>
      <c r="E55" s="85"/>
      <c r="F55" s="85"/>
      <c r="G55" s="85"/>
      <c r="H55" s="85"/>
      <c r="I55" s="85"/>
      <c r="J55" s="85"/>
      <c r="K55" s="85"/>
      <c r="L55" s="85"/>
      <c r="M55" s="85"/>
      <c r="N55" s="85"/>
      <c r="O55" s="85"/>
      <c r="P55" s="85"/>
      <c r="Q55" s="85"/>
      <c r="R55" s="85"/>
      <c r="S55" s="85"/>
      <c r="T55" s="85"/>
      <c r="U55" s="85"/>
      <c r="V55" s="85"/>
      <c r="W55" s="85"/>
      <c r="X55" s="85"/>
      <c r="Y55" s="85"/>
      <c r="Z55" s="85"/>
      <c r="AA55" s="85"/>
      <c r="AB55" s="85"/>
      <c r="AC55" s="85"/>
      <c r="AD55" s="85"/>
      <c r="AE55" s="85"/>
      <c r="AF55" s="85"/>
      <c r="AG55" s="85"/>
      <c r="AH55" s="85"/>
      <c r="AI55" s="85"/>
      <c r="AJ55" s="85"/>
      <c r="AK55" s="85"/>
      <c r="AL55" s="85"/>
      <c r="AM55" s="85"/>
      <c r="AN55" s="85"/>
      <c r="AO55" s="85"/>
      <c r="AP55" s="85"/>
      <c r="AQ55" s="85"/>
      <c r="AR55" s="85"/>
      <c r="AS55" s="85"/>
      <c r="AT55" s="85"/>
      <c r="AU55" s="85"/>
      <c r="AV55" s="85"/>
      <c r="AW55" s="85"/>
      <c r="AX55" s="85"/>
      <c r="AY55" s="85"/>
      <c r="AZ55" s="85"/>
      <c r="BA55" s="85"/>
      <c r="BB55" s="85"/>
      <c r="BC55" s="85"/>
      <c r="BD55" s="85" t="str">
        <f>IFERROR(IF(INDEX('Criterio de matriz competencias'!$F:$F,MATCH(BD$1,'Criterio de matriz competencias'!$A:$A,0))="Todos","X",""),"")</f>
        <v/>
      </c>
      <c r="BE55" s="85" t="str">
        <f>IFERROR(IF(INDEX('Criterio de matriz competencias'!$F:$F,MATCH(BE$1,'Criterio de matriz competencias'!$A:$A,0))="Todos","X",""),"")</f>
        <v/>
      </c>
      <c r="BF55" s="85" t="str">
        <f>IFERROR(IF(INDEX('Criterio de matriz competencias'!$F:$F,MATCH(BF$1,'Criterio de matriz competencias'!$A:$A,0))="Todos","X",""),"")</f>
        <v/>
      </c>
      <c r="BG55" s="85" t="str">
        <f>IFERROR(IF(INDEX('Criterio de matriz competencias'!$F:$F,MATCH(BG$1,'Criterio de matriz competencias'!$A:$A,0))="Todos","X",""),"")</f>
        <v/>
      </c>
      <c r="BH55" s="85" t="str">
        <f>IFERROR(IF(INDEX('Criterio de matriz competencias'!$F:$F,MATCH(BH$1,'Criterio de matriz competencias'!$A:$A,0))="Todos","X",""),"")</f>
        <v/>
      </c>
      <c r="BI55" s="85" t="str">
        <f>IFERROR(IF(INDEX('Criterio de matriz competencias'!$F:$F,MATCH(BI$1,'Criterio de matriz competencias'!$A:$A,0))="Todos","X",""),"")</f>
        <v/>
      </c>
      <c r="BJ55" s="85" t="str">
        <f>IFERROR(IF(INDEX('Criterio de matriz competencias'!$F:$F,MATCH(BJ$1,'Criterio de matriz competencias'!$A:$A,0))="Todos","X",""),"")</f>
        <v/>
      </c>
    </row>
    <row r="56" spans="1:62" x14ac:dyDescent="0.3">
      <c r="A56" s="134"/>
      <c r="B56" s="134"/>
      <c r="C56" s="85"/>
      <c r="D56" s="85"/>
      <c r="E56" s="85"/>
      <c r="F56" s="85"/>
      <c r="G56" s="85"/>
      <c r="H56" s="85"/>
      <c r="I56" s="85"/>
      <c r="J56" s="85"/>
      <c r="K56" s="85"/>
      <c r="L56" s="85"/>
      <c r="M56" s="85"/>
      <c r="N56" s="85"/>
      <c r="O56" s="85"/>
      <c r="P56" s="85"/>
      <c r="Q56" s="85"/>
      <c r="R56" s="85"/>
      <c r="S56" s="85"/>
      <c r="T56" s="85"/>
      <c r="U56" s="85"/>
      <c r="V56" s="85"/>
      <c r="W56" s="85"/>
      <c r="X56" s="85"/>
      <c r="Y56" s="85"/>
      <c r="Z56" s="85"/>
      <c r="AA56" s="85"/>
      <c r="AB56" s="85"/>
      <c r="AC56" s="85"/>
      <c r="AD56" s="85"/>
      <c r="AE56" s="85"/>
      <c r="AF56" s="85"/>
      <c r="AG56" s="85"/>
      <c r="AH56" s="85"/>
      <c r="AI56" s="85"/>
      <c r="AJ56" s="85"/>
      <c r="AK56" s="85"/>
      <c r="AL56" s="85"/>
      <c r="AM56" s="85"/>
      <c r="AN56" s="85"/>
      <c r="AO56" s="85"/>
      <c r="AP56" s="85"/>
      <c r="AQ56" s="85"/>
      <c r="AR56" s="85"/>
      <c r="AS56" s="85"/>
      <c r="AT56" s="85"/>
      <c r="AU56" s="85"/>
      <c r="AV56" s="85"/>
      <c r="AW56" s="85"/>
      <c r="AX56" s="85"/>
      <c r="AY56" s="85"/>
      <c r="AZ56" s="85"/>
      <c r="BA56" s="85"/>
      <c r="BB56" s="85"/>
      <c r="BC56" s="85"/>
      <c r="BD56" s="85" t="str">
        <f>IFERROR(IF(INDEX('Criterio de matriz competencias'!$F:$F,MATCH(BD$1,'Criterio de matriz competencias'!$A:$A,0))="Todos","X",""),"")</f>
        <v/>
      </c>
      <c r="BE56" s="85" t="str">
        <f>IFERROR(IF(INDEX('Criterio de matriz competencias'!$F:$F,MATCH(BE$1,'Criterio de matriz competencias'!$A:$A,0))="Todos","X",""),"")</f>
        <v/>
      </c>
      <c r="BF56" s="85" t="str">
        <f>IFERROR(IF(INDEX('Criterio de matriz competencias'!$F:$F,MATCH(BF$1,'Criterio de matriz competencias'!$A:$A,0))="Todos","X",""),"")</f>
        <v/>
      </c>
      <c r="BG56" s="85" t="str">
        <f>IFERROR(IF(INDEX('Criterio de matriz competencias'!$F:$F,MATCH(BG$1,'Criterio de matriz competencias'!$A:$A,0))="Todos","X",""),"")</f>
        <v/>
      </c>
      <c r="BH56" s="85" t="str">
        <f>IFERROR(IF(INDEX('Criterio de matriz competencias'!$F:$F,MATCH(BH$1,'Criterio de matriz competencias'!$A:$A,0))="Todos","X",""),"")</f>
        <v/>
      </c>
      <c r="BI56" s="85" t="str">
        <f>IFERROR(IF(INDEX('Criterio de matriz competencias'!$F:$F,MATCH(BI$1,'Criterio de matriz competencias'!$A:$A,0))="Todos","X",""),"")</f>
        <v/>
      </c>
      <c r="BJ56" s="85" t="str">
        <f>IFERROR(IF(INDEX('Criterio de matriz competencias'!$F:$F,MATCH(BJ$1,'Criterio de matriz competencias'!$A:$A,0))="Todos","X",""),"")</f>
        <v/>
      </c>
    </row>
    <row r="57" spans="1:62" x14ac:dyDescent="0.3">
      <c r="A57" s="134"/>
      <c r="B57" s="134"/>
      <c r="C57" s="85"/>
      <c r="D57" s="85"/>
      <c r="E57" s="85"/>
      <c r="F57" s="85"/>
      <c r="G57" s="85"/>
      <c r="H57" s="85"/>
      <c r="I57" s="85"/>
      <c r="J57" s="85"/>
      <c r="K57" s="85"/>
      <c r="L57" s="85"/>
      <c r="M57" s="85"/>
      <c r="N57" s="85"/>
      <c r="O57" s="85"/>
      <c r="P57" s="85"/>
      <c r="Q57" s="85"/>
      <c r="R57" s="85"/>
      <c r="S57" s="85"/>
      <c r="T57" s="85"/>
      <c r="U57" s="85"/>
      <c r="V57" s="85"/>
      <c r="W57" s="85"/>
      <c r="X57" s="85"/>
      <c r="Y57" s="85"/>
      <c r="Z57" s="85"/>
      <c r="AA57" s="85"/>
      <c r="AB57" s="85"/>
      <c r="AC57" s="85"/>
      <c r="AD57" s="85"/>
      <c r="AE57" s="85"/>
      <c r="AF57" s="85"/>
      <c r="AG57" s="85"/>
      <c r="AH57" s="85"/>
      <c r="AI57" s="85"/>
      <c r="AJ57" s="85"/>
      <c r="AK57" s="85"/>
      <c r="AL57" s="85"/>
      <c r="AM57" s="85"/>
      <c r="AN57" s="85"/>
      <c r="AO57" s="85"/>
      <c r="AP57" s="85"/>
      <c r="AQ57" s="85"/>
      <c r="AR57" s="85"/>
      <c r="AS57" s="85"/>
      <c r="AT57" s="85"/>
      <c r="AU57" s="85"/>
      <c r="AV57" s="85"/>
      <c r="AW57" s="85"/>
      <c r="AX57" s="85"/>
      <c r="AY57" s="85"/>
      <c r="AZ57" s="85"/>
      <c r="BA57" s="85"/>
      <c r="BB57" s="85"/>
      <c r="BC57" s="85"/>
      <c r="BD57" s="85" t="str">
        <f>IFERROR(IF(INDEX('Criterio de matriz competencias'!$F:$F,MATCH(BD$1,'Criterio de matriz competencias'!$A:$A,0))="Todos","X",""),"")</f>
        <v/>
      </c>
      <c r="BE57" s="85" t="str">
        <f>IFERROR(IF(INDEX('Criterio de matriz competencias'!$F:$F,MATCH(BE$1,'Criterio de matriz competencias'!$A:$A,0))="Todos","X",""),"")</f>
        <v/>
      </c>
      <c r="BF57" s="85" t="str">
        <f>IFERROR(IF(INDEX('Criterio de matriz competencias'!$F:$F,MATCH(BF$1,'Criterio de matriz competencias'!$A:$A,0))="Todos","X",""),"")</f>
        <v/>
      </c>
      <c r="BG57" s="85" t="str">
        <f>IFERROR(IF(INDEX('Criterio de matriz competencias'!$F:$F,MATCH(BG$1,'Criterio de matriz competencias'!$A:$A,0))="Todos","X",""),"")</f>
        <v/>
      </c>
      <c r="BH57" s="85" t="str">
        <f>IFERROR(IF(INDEX('Criterio de matriz competencias'!$F:$F,MATCH(BH$1,'Criterio de matriz competencias'!$A:$A,0))="Todos","X",""),"")</f>
        <v/>
      </c>
      <c r="BI57" s="85" t="str">
        <f>IFERROR(IF(INDEX('Criterio de matriz competencias'!$F:$F,MATCH(BI$1,'Criterio de matriz competencias'!$A:$A,0))="Todos","X",""),"")</f>
        <v/>
      </c>
      <c r="BJ57" s="85" t="str">
        <f>IFERROR(IF(INDEX('Criterio de matriz competencias'!$F:$F,MATCH(BJ$1,'Criterio de matriz competencias'!$A:$A,0))="Todos","X",""),"")</f>
        <v/>
      </c>
    </row>
    <row r="58" spans="1:62" x14ac:dyDescent="0.3">
      <c r="A58" s="134"/>
      <c r="B58" s="134"/>
      <c r="C58" s="85"/>
      <c r="D58" s="85"/>
      <c r="E58" s="85"/>
      <c r="F58" s="85"/>
      <c r="G58" s="85"/>
      <c r="H58" s="85"/>
      <c r="I58" s="85"/>
      <c r="J58" s="85"/>
      <c r="K58" s="85"/>
      <c r="L58" s="85"/>
      <c r="M58" s="85"/>
      <c r="N58" s="85"/>
      <c r="O58" s="85"/>
      <c r="P58" s="85"/>
      <c r="Q58" s="85"/>
      <c r="R58" s="85"/>
      <c r="S58" s="85"/>
      <c r="T58" s="85"/>
      <c r="U58" s="85"/>
      <c r="V58" s="85"/>
      <c r="W58" s="85"/>
      <c r="X58" s="85"/>
      <c r="Y58" s="85"/>
      <c r="Z58" s="85"/>
      <c r="AA58" s="85"/>
      <c r="AB58" s="85"/>
      <c r="AC58" s="85"/>
      <c r="AD58" s="85"/>
      <c r="AE58" s="85"/>
      <c r="AF58" s="85"/>
      <c r="AG58" s="85"/>
      <c r="AH58" s="85"/>
      <c r="AI58" s="85"/>
      <c r="AJ58" s="85"/>
      <c r="AK58" s="85"/>
      <c r="AL58" s="85"/>
      <c r="AM58" s="85"/>
      <c r="AN58" s="85"/>
      <c r="AO58" s="85"/>
      <c r="AP58" s="85"/>
      <c r="AQ58" s="85"/>
      <c r="AR58" s="85"/>
      <c r="AS58" s="85"/>
      <c r="AT58" s="85"/>
      <c r="AU58" s="85"/>
      <c r="AV58" s="85"/>
      <c r="AW58" s="85"/>
      <c r="AX58" s="85"/>
      <c r="AY58" s="85"/>
      <c r="AZ58" s="85"/>
      <c r="BA58" s="85"/>
      <c r="BB58" s="85"/>
      <c r="BC58" s="85"/>
      <c r="BD58" s="85" t="str">
        <f>IFERROR(IF(INDEX('Criterio de matriz competencias'!$F:$F,MATCH(BD$1,'Criterio de matriz competencias'!$A:$A,0))="Todos","X",""),"")</f>
        <v/>
      </c>
      <c r="BE58" s="85" t="str">
        <f>IFERROR(IF(INDEX('Criterio de matriz competencias'!$F:$F,MATCH(BE$1,'Criterio de matriz competencias'!$A:$A,0))="Todos","X",""),"")</f>
        <v/>
      </c>
      <c r="BF58" s="85" t="str">
        <f>IFERROR(IF(INDEX('Criterio de matriz competencias'!$F:$F,MATCH(BF$1,'Criterio de matriz competencias'!$A:$A,0))="Todos","X",""),"")</f>
        <v/>
      </c>
      <c r="BG58" s="85" t="str">
        <f>IFERROR(IF(INDEX('Criterio de matriz competencias'!$F:$F,MATCH(BG$1,'Criterio de matriz competencias'!$A:$A,0))="Todos","X",""),"")</f>
        <v/>
      </c>
      <c r="BH58" s="85" t="str">
        <f>IFERROR(IF(INDEX('Criterio de matriz competencias'!$F:$F,MATCH(BH$1,'Criterio de matriz competencias'!$A:$A,0))="Todos","X",""),"")</f>
        <v/>
      </c>
      <c r="BI58" s="85" t="str">
        <f>IFERROR(IF(INDEX('Criterio de matriz competencias'!$F:$F,MATCH(BI$1,'Criterio de matriz competencias'!$A:$A,0))="Todos","X",""),"")</f>
        <v/>
      </c>
      <c r="BJ58" s="85" t="str">
        <f>IFERROR(IF(INDEX('Criterio de matriz competencias'!$F:$F,MATCH(BJ$1,'Criterio de matriz competencias'!$A:$A,0))="Todos","X",""),"")</f>
        <v/>
      </c>
    </row>
    <row r="59" spans="1:62" x14ac:dyDescent="0.3">
      <c r="A59" s="134"/>
      <c r="B59" s="134"/>
      <c r="C59" s="85"/>
      <c r="D59" s="85"/>
      <c r="E59" s="85"/>
      <c r="F59" s="85"/>
      <c r="G59" s="85"/>
      <c r="H59" s="85"/>
      <c r="I59" s="85"/>
      <c r="J59" s="85"/>
      <c r="K59" s="85"/>
      <c r="L59" s="85"/>
      <c r="M59" s="85"/>
      <c r="N59" s="85"/>
      <c r="O59" s="85"/>
      <c r="P59" s="85"/>
      <c r="Q59" s="85"/>
      <c r="R59" s="85"/>
      <c r="S59" s="85"/>
      <c r="T59" s="85"/>
      <c r="U59" s="85"/>
      <c r="V59" s="85"/>
      <c r="W59" s="85"/>
      <c r="X59" s="85"/>
      <c r="Y59" s="85"/>
      <c r="Z59" s="85"/>
      <c r="AA59" s="85"/>
      <c r="AB59" s="85"/>
      <c r="AC59" s="85"/>
      <c r="AD59" s="85"/>
      <c r="AE59" s="85"/>
      <c r="AF59" s="85"/>
      <c r="AG59" s="85"/>
      <c r="AH59" s="85"/>
      <c r="AI59" s="85"/>
      <c r="AJ59" s="85"/>
      <c r="AK59" s="85"/>
      <c r="AL59" s="85"/>
      <c r="AM59" s="85"/>
      <c r="AN59" s="85"/>
      <c r="AO59" s="85"/>
      <c r="AP59" s="85"/>
      <c r="AQ59" s="85"/>
      <c r="AR59" s="85"/>
      <c r="AS59" s="85"/>
      <c r="AT59" s="85"/>
      <c r="AU59" s="85"/>
      <c r="AV59" s="85"/>
      <c r="AW59" s="85"/>
      <c r="AX59" s="85"/>
      <c r="AY59" s="85"/>
      <c r="AZ59" s="85"/>
      <c r="BA59" s="85"/>
      <c r="BB59" s="85"/>
      <c r="BC59" s="85"/>
      <c r="BD59" s="85" t="str">
        <f>IFERROR(IF(INDEX('Criterio de matriz competencias'!$F:$F,MATCH(BD$1,'Criterio de matriz competencias'!$A:$A,0))="Todos","X",""),"")</f>
        <v/>
      </c>
      <c r="BE59" s="85" t="str">
        <f>IFERROR(IF(INDEX('Criterio de matriz competencias'!$F:$F,MATCH(BE$1,'Criterio de matriz competencias'!$A:$A,0))="Todos","X",""),"")</f>
        <v/>
      </c>
      <c r="BF59" s="85" t="str">
        <f>IFERROR(IF(INDEX('Criterio de matriz competencias'!$F:$F,MATCH(BF$1,'Criterio de matriz competencias'!$A:$A,0))="Todos","X",""),"")</f>
        <v/>
      </c>
      <c r="BG59" s="85" t="str">
        <f>IFERROR(IF(INDEX('Criterio de matriz competencias'!$F:$F,MATCH(BG$1,'Criterio de matriz competencias'!$A:$A,0))="Todos","X",""),"")</f>
        <v/>
      </c>
      <c r="BH59" s="85" t="str">
        <f>IFERROR(IF(INDEX('Criterio de matriz competencias'!$F:$F,MATCH(BH$1,'Criterio de matriz competencias'!$A:$A,0))="Todos","X",""),"")</f>
        <v/>
      </c>
      <c r="BI59" s="85" t="str">
        <f>IFERROR(IF(INDEX('Criterio de matriz competencias'!$F:$F,MATCH(BI$1,'Criterio de matriz competencias'!$A:$A,0))="Todos","X",""),"")</f>
        <v/>
      </c>
      <c r="BJ59" s="85" t="str">
        <f>IFERROR(IF(INDEX('Criterio de matriz competencias'!$F:$F,MATCH(BJ$1,'Criterio de matriz competencias'!$A:$A,0))="Todos","X",""),"")</f>
        <v/>
      </c>
    </row>
    <row r="60" spans="1:62" x14ac:dyDescent="0.3">
      <c r="A60" s="134"/>
      <c r="B60" s="134"/>
      <c r="C60" s="85"/>
      <c r="D60" s="85"/>
      <c r="E60" s="85"/>
      <c r="F60" s="85"/>
      <c r="G60" s="85"/>
      <c r="H60" s="85"/>
      <c r="I60" s="85"/>
      <c r="J60" s="85"/>
      <c r="K60" s="85"/>
      <c r="L60" s="85"/>
      <c r="M60" s="85"/>
      <c r="N60" s="85"/>
      <c r="O60" s="85"/>
      <c r="P60" s="85"/>
      <c r="Q60" s="85"/>
      <c r="R60" s="85"/>
      <c r="S60" s="85"/>
      <c r="T60" s="85"/>
      <c r="U60" s="85"/>
      <c r="V60" s="85"/>
      <c r="W60" s="85"/>
      <c r="X60" s="85"/>
      <c r="Y60" s="85"/>
      <c r="Z60" s="85"/>
      <c r="AA60" s="85"/>
      <c r="AB60" s="85"/>
      <c r="AC60" s="85"/>
      <c r="AD60" s="85"/>
      <c r="AE60" s="85"/>
      <c r="AF60" s="85"/>
      <c r="AG60" s="85"/>
      <c r="AH60" s="85"/>
      <c r="AI60" s="85"/>
      <c r="AJ60" s="85"/>
      <c r="AK60" s="85"/>
      <c r="AL60" s="85"/>
      <c r="AM60" s="85"/>
      <c r="AN60" s="85"/>
      <c r="AO60" s="85"/>
      <c r="AP60" s="85"/>
      <c r="AQ60" s="85"/>
      <c r="AR60" s="85"/>
      <c r="AS60" s="85"/>
      <c r="AT60" s="85"/>
      <c r="AU60" s="85"/>
      <c r="AV60" s="85"/>
      <c r="AW60" s="85"/>
      <c r="AX60" s="85"/>
      <c r="AY60" s="85"/>
      <c r="AZ60" s="85"/>
      <c r="BA60" s="85"/>
      <c r="BB60" s="85"/>
      <c r="BC60" s="85"/>
      <c r="BD60" s="85" t="str">
        <f>IFERROR(IF(INDEX('Criterio de matriz competencias'!$F:$F,MATCH(BD$1,'Criterio de matriz competencias'!$A:$A,0))="Todos","X",""),"")</f>
        <v/>
      </c>
      <c r="BE60" s="85" t="str">
        <f>IFERROR(IF(INDEX('Criterio de matriz competencias'!$F:$F,MATCH(BE$1,'Criterio de matriz competencias'!$A:$A,0))="Todos","X",""),"")</f>
        <v/>
      </c>
      <c r="BF60" s="85" t="str">
        <f>IFERROR(IF(INDEX('Criterio de matriz competencias'!$F:$F,MATCH(BF$1,'Criterio de matriz competencias'!$A:$A,0))="Todos","X",""),"")</f>
        <v/>
      </c>
      <c r="BG60" s="85" t="str">
        <f>IFERROR(IF(INDEX('Criterio de matriz competencias'!$F:$F,MATCH(BG$1,'Criterio de matriz competencias'!$A:$A,0))="Todos","X",""),"")</f>
        <v/>
      </c>
      <c r="BH60" s="85" t="str">
        <f>IFERROR(IF(INDEX('Criterio de matriz competencias'!$F:$F,MATCH(BH$1,'Criterio de matriz competencias'!$A:$A,0))="Todos","X",""),"")</f>
        <v/>
      </c>
      <c r="BI60" s="85" t="str">
        <f>IFERROR(IF(INDEX('Criterio de matriz competencias'!$F:$F,MATCH(BI$1,'Criterio de matriz competencias'!$A:$A,0))="Todos","X",""),"")</f>
        <v/>
      </c>
      <c r="BJ60" s="85" t="str">
        <f>IFERROR(IF(INDEX('Criterio de matriz competencias'!$F:$F,MATCH(BJ$1,'Criterio de matriz competencias'!$A:$A,0))="Todos","X",""),"")</f>
        <v/>
      </c>
    </row>
    <row r="61" spans="1:62" x14ac:dyDescent="0.3">
      <c r="A61" s="134"/>
      <c r="B61" s="134"/>
      <c r="C61" s="85"/>
      <c r="D61" s="85"/>
      <c r="E61" s="85"/>
      <c r="F61" s="85"/>
      <c r="G61" s="85"/>
      <c r="H61" s="85"/>
      <c r="I61" s="85"/>
      <c r="J61" s="85"/>
      <c r="K61" s="85"/>
      <c r="L61" s="85"/>
      <c r="M61" s="85"/>
      <c r="N61" s="85"/>
      <c r="O61" s="85"/>
      <c r="P61" s="85"/>
      <c r="Q61" s="85"/>
      <c r="R61" s="85"/>
      <c r="S61" s="85"/>
      <c r="T61" s="85"/>
      <c r="U61" s="85"/>
      <c r="V61" s="85"/>
      <c r="W61" s="85"/>
      <c r="X61" s="85"/>
      <c r="Y61" s="85"/>
      <c r="Z61" s="85"/>
      <c r="AA61" s="85"/>
      <c r="AB61" s="85"/>
      <c r="AC61" s="85"/>
      <c r="AD61" s="85"/>
      <c r="AE61" s="85"/>
      <c r="AF61" s="85"/>
      <c r="AG61" s="85"/>
      <c r="AH61" s="85"/>
      <c r="AI61" s="85"/>
      <c r="AJ61" s="85"/>
      <c r="AK61" s="85"/>
      <c r="AL61" s="85"/>
      <c r="AM61" s="85"/>
      <c r="AN61" s="85"/>
      <c r="AO61" s="85"/>
      <c r="AP61" s="85"/>
      <c r="AQ61" s="85"/>
      <c r="AR61" s="85"/>
      <c r="AS61" s="85"/>
      <c r="AT61" s="85"/>
      <c r="AU61" s="85"/>
      <c r="AV61" s="85"/>
      <c r="AW61" s="85"/>
      <c r="AX61" s="85"/>
      <c r="AY61" s="85"/>
      <c r="AZ61" s="85"/>
      <c r="BA61" s="85"/>
      <c r="BB61" s="85"/>
      <c r="BC61" s="85"/>
      <c r="BD61" s="85" t="str">
        <f>IFERROR(IF(INDEX('Criterio de matriz competencias'!$F:$F,MATCH(BD$1,'Criterio de matriz competencias'!$A:$A,0))="Todos","X",""),"")</f>
        <v/>
      </c>
      <c r="BE61" s="85" t="str">
        <f>IFERROR(IF(INDEX('Criterio de matriz competencias'!$F:$F,MATCH(BE$1,'Criterio de matriz competencias'!$A:$A,0))="Todos","X",""),"")</f>
        <v/>
      </c>
      <c r="BF61" s="85" t="str">
        <f>IFERROR(IF(INDEX('Criterio de matriz competencias'!$F:$F,MATCH(BF$1,'Criterio de matriz competencias'!$A:$A,0))="Todos","X",""),"")</f>
        <v/>
      </c>
      <c r="BG61" s="85" t="str">
        <f>IFERROR(IF(INDEX('Criterio de matriz competencias'!$F:$F,MATCH(BG$1,'Criterio de matriz competencias'!$A:$A,0))="Todos","X",""),"")</f>
        <v/>
      </c>
      <c r="BH61" s="85" t="str">
        <f>IFERROR(IF(INDEX('Criterio de matriz competencias'!$F:$F,MATCH(BH$1,'Criterio de matriz competencias'!$A:$A,0))="Todos","X",""),"")</f>
        <v/>
      </c>
      <c r="BI61" s="85" t="str">
        <f>IFERROR(IF(INDEX('Criterio de matriz competencias'!$F:$F,MATCH(BI$1,'Criterio de matriz competencias'!$A:$A,0))="Todos","X",""),"")</f>
        <v/>
      </c>
      <c r="BJ61" s="85" t="str">
        <f>IFERROR(IF(INDEX('Criterio de matriz competencias'!$F:$F,MATCH(BJ$1,'Criterio de matriz competencias'!$A:$A,0))="Todos","X",""),"")</f>
        <v/>
      </c>
    </row>
    <row r="62" spans="1:62" x14ac:dyDescent="0.3">
      <c r="A62" s="134"/>
      <c r="B62" s="134"/>
      <c r="C62" s="85"/>
      <c r="D62" s="85"/>
      <c r="E62" s="85"/>
      <c r="F62" s="85"/>
      <c r="G62" s="85"/>
      <c r="H62" s="85"/>
      <c r="I62" s="85"/>
      <c r="J62" s="85"/>
      <c r="K62" s="85"/>
      <c r="L62" s="85"/>
      <c r="M62" s="85"/>
      <c r="N62" s="85"/>
      <c r="O62" s="85"/>
      <c r="P62" s="85"/>
      <c r="Q62" s="85"/>
      <c r="R62" s="85"/>
      <c r="S62" s="85"/>
      <c r="T62" s="85"/>
      <c r="U62" s="85"/>
      <c r="V62" s="85"/>
      <c r="W62" s="85"/>
      <c r="X62" s="85"/>
      <c r="Y62" s="85"/>
      <c r="Z62" s="85"/>
      <c r="AA62" s="85"/>
      <c r="AB62" s="85"/>
      <c r="AC62" s="85"/>
      <c r="AD62" s="85"/>
      <c r="AE62" s="85"/>
      <c r="AF62" s="85"/>
      <c r="AG62" s="85"/>
      <c r="AH62" s="85"/>
      <c r="AI62" s="85"/>
      <c r="AJ62" s="85"/>
      <c r="AK62" s="85"/>
      <c r="AL62" s="85"/>
      <c r="AM62" s="85"/>
      <c r="AN62" s="85"/>
      <c r="AO62" s="85"/>
      <c r="AP62" s="85"/>
      <c r="AQ62" s="85"/>
      <c r="AR62" s="85"/>
      <c r="AS62" s="85"/>
      <c r="AT62" s="85"/>
      <c r="AU62" s="85"/>
      <c r="AV62" s="85"/>
      <c r="AW62" s="85"/>
      <c r="AX62" s="85"/>
      <c r="AY62" s="85"/>
      <c r="AZ62" s="85"/>
      <c r="BA62" s="85"/>
      <c r="BB62" s="85"/>
      <c r="BC62" s="85"/>
      <c r="BD62" s="85" t="str">
        <f>IFERROR(IF(INDEX('Criterio de matriz competencias'!$F:$F,MATCH(BD$1,'Criterio de matriz competencias'!$A:$A,0))="Todos","X",""),"")</f>
        <v/>
      </c>
      <c r="BE62" s="85" t="str">
        <f>IFERROR(IF(INDEX('Criterio de matriz competencias'!$F:$F,MATCH(BE$1,'Criterio de matriz competencias'!$A:$A,0))="Todos","X",""),"")</f>
        <v/>
      </c>
      <c r="BF62" s="85" t="str">
        <f>IFERROR(IF(INDEX('Criterio de matriz competencias'!$F:$F,MATCH(BF$1,'Criterio de matriz competencias'!$A:$A,0))="Todos","X",""),"")</f>
        <v/>
      </c>
      <c r="BG62" s="85" t="str">
        <f>IFERROR(IF(INDEX('Criterio de matriz competencias'!$F:$F,MATCH(BG$1,'Criterio de matriz competencias'!$A:$A,0))="Todos","X",""),"")</f>
        <v/>
      </c>
      <c r="BH62" s="85" t="str">
        <f>IFERROR(IF(INDEX('Criterio de matriz competencias'!$F:$F,MATCH(BH$1,'Criterio de matriz competencias'!$A:$A,0))="Todos","X",""),"")</f>
        <v/>
      </c>
      <c r="BI62" s="85" t="str">
        <f>IFERROR(IF(INDEX('Criterio de matriz competencias'!$F:$F,MATCH(BI$1,'Criterio de matriz competencias'!$A:$A,0))="Todos","X",""),"")</f>
        <v/>
      </c>
      <c r="BJ62" s="85" t="str">
        <f>IFERROR(IF(INDEX('Criterio de matriz competencias'!$F:$F,MATCH(BJ$1,'Criterio de matriz competencias'!$A:$A,0))="Todos","X",""),"")</f>
        <v/>
      </c>
    </row>
    <row r="63" spans="1:62" x14ac:dyDescent="0.3">
      <c r="A63" s="134"/>
      <c r="B63" s="134"/>
      <c r="C63" s="85"/>
      <c r="D63" s="85"/>
      <c r="E63" s="85"/>
      <c r="F63" s="85"/>
      <c r="G63" s="85"/>
      <c r="H63" s="85"/>
      <c r="I63" s="85"/>
      <c r="J63" s="85"/>
      <c r="K63" s="85"/>
      <c r="L63" s="85"/>
      <c r="M63" s="85"/>
      <c r="N63" s="85"/>
      <c r="O63" s="85"/>
      <c r="P63" s="85"/>
      <c r="Q63" s="85"/>
      <c r="R63" s="85"/>
      <c r="S63" s="85"/>
      <c r="T63" s="85"/>
      <c r="U63" s="85"/>
      <c r="V63" s="85"/>
      <c r="W63" s="85"/>
      <c r="X63" s="85"/>
      <c r="Y63" s="85"/>
      <c r="Z63" s="85"/>
      <c r="AA63" s="85"/>
      <c r="AB63" s="85"/>
      <c r="AC63" s="85"/>
      <c r="AD63" s="85"/>
      <c r="AE63" s="85"/>
      <c r="AF63" s="85"/>
      <c r="AG63" s="85"/>
      <c r="AH63" s="85"/>
      <c r="AI63" s="85"/>
      <c r="AJ63" s="85"/>
      <c r="AK63" s="85"/>
      <c r="AL63" s="85"/>
      <c r="AM63" s="85"/>
      <c r="AN63" s="85"/>
      <c r="AO63" s="85"/>
      <c r="AP63" s="85"/>
      <c r="AQ63" s="85"/>
      <c r="AR63" s="85"/>
      <c r="AS63" s="85"/>
      <c r="AT63" s="85"/>
      <c r="AU63" s="85"/>
      <c r="AV63" s="85"/>
      <c r="AW63" s="85"/>
      <c r="AX63" s="85"/>
      <c r="AY63" s="85"/>
      <c r="AZ63" s="85"/>
      <c r="BA63" s="85"/>
      <c r="BB63" s="85"/>
      <c r="BC63" s="85"/>
      <c r="BD63" s="85" t="str">
        <f>IFERROR(IF(INDEX('Criterio de matriz competencias'!$F:$F,MATCH(BD$1,'Criterio de matriz competencias'!$A:$A,0))="Todos","X",""),"")</f>
        <v/>
      </c>
      <c r="BE63" s="85" t="str">
        <f>IFERROR(IF(INDEX('Criterio de matriz competencias'!$F:$F,MATCH(BE$1,'Criterio de matriz competencias'!$A:$A,0))="Todos","X",""),"")</f>
        <v/>
      </c>
      <c r="BF63" s="85" t="str">
        <f>IFERROR(IF(INDEX('Criterio de matriz competencias'!$F:$F,MATCH(BF$1,'Criterio de matriz competencias'!$A:$A,0))="Todos","X",""),"")</f>
        <v/>
      </c>
      <c r="BG63" s="85" t="str">
        <f>IFERROR(IF(INDEX('Criterio de matriz competencias'!$F:$F,MATCH(BG$1,'Criterio de matriz competencias'!$A:$A,0))="Todos","X",""),"")</f>
        <v/>
      </c>
      <c r="BH63" s="85" t="str">
        <f>IFERROR(IF(INDEX('Criterio de matriz competencias'!$F:$F,MATCH(BH$1,'Criterio de matriz competencias'!$A:$A,0))="Todos","X",""),"")</f>
        <v/>
      </c>
      <c r="BI63" s="85" t="str">
        <f>IFERROR(IF(INDEX('Criterio de matriz competencias'!$F:$F,MATCH(BI$1,'Criterio de matriz competencias'!$A:$A,0))="Todos","X",""),"")</f>
        <v/>
      </c>
      <c r="BJ63" s="85" t="str">
        <f>IFERROR(IF(INDEX('Criterio de matriz competencias'!$F:$F,MATCH(BJ$1,'Criterio de matriz competencias'!$A:$A,0))="Todos","X",""),"")</f>
        <v/>
      </c>
    </row>
    <row r="64" spans="1:62" x14ac:dyDescent="0.3">
      <c r="A64" s="134"/>
      <c r="B64" s="134"/>
      <c r="C64" s="85"/>
      <c r="D64" s="85"/>
      <c r="E64" s="85"/>
      <c r="F64" s="85"/>
      <c r="G64" s="85"/>
      <c r="H64" s="85"/>
      <c r="I64" s="85"/>
      <c r="J64" s="85"/>
      <c r="K64" s="85"/>
      <c r="L64" s="85"/>
      <c r="M64" s="85"/>
      <c r="N64" s="85"/>
      <c r="O64" s="85"/>
      <c r="P64" s="85"/>
      <c r="Q64" s="85"/>
      <c r="R64" s="85"/>
      <c r="S64" s="85"/>
      <c r="T64" s="85"/>
      <c r="U64" s="85"/>
      <c r="V64" s="85"/>
      <c r="W64" s="85"/>
      <c r="X64" s="85"/>
      <c r="Y64" s="85"/>
      <c r="Z64" s="85"/>
      <c r="AA64" s="85"/>
      <c r="AB64" s="85"/>
      <c r="AC64" s="85"/>
      <c r="AD64" s="85"/>
      <c r="AE64" s="85"/>
      <c r="AF64" s="85"/>
      <c r="AG64" s="85"/>
      <c r="AH64" s="85"/>
      <c r="AI64" s="85"/>
      <c r="AJ64" s="85"/>
      <c r="AK64" s="85"/>
      <c r="AL64" s="85"/>
      <c r="AM64" s="85"/>
      <c r="AN64" s="85"/>
      <c r="AO64" s="85"/>
      <c r="AP64" s="85"/>
      <c r="AQ64" s="85"/>
      <c r="AR64" s="85"/>
      <c r="AS64" s="85"/>
      <c r="AT64" s="85"/>
      <c r="AU64" s="85"/>
      <c r="AV64" s="85"/>
      <c r="AW64" s="85"/>
      <c r="AX64" s="85"/>
      <c r="AY64" s="85"/>
      <c r="AZ64" s="85"/>
      <c r="BA64" s="85"/>
      <c r="BB64" s="85"/>
      <c r="BC64" s="85"/>
      <c r="BD64" s="85" t="str">
        <f>IFERROR(IF(INDEX('Criterio de matriz competencias'!$F:$F,MATCH(BD$1,'Criterio de matriz competencias'!$A:$A,0))="Todos","X",""),"")</f>
        <v/>
      </c>
      <c r="BE64" s="85" t="str">
        <f>IFERROR(IF(INDEX('Criterio de matriz competencias'!$F:$F,MATCH(BE$1,'Criterio de matriz competencias'!$A:$A,0))="Todos","X",""),"")</f>
        <v/>
      </c>
      <c r="BF64" s="85" t="str">
        <f>IFERROR(IF(INDEX('Criterio de matriz competencias'!$F:$F,MATCH(BF$1,'Criterio de matriz competencias'!$A:$A,0))="Todos","X",""),"")</f>
        <v/>
      </c>
      <c r="BG64" s="85" t="str">
        <f>IFERROR(IF(INDEX('Criterio de matriz competencias'!$F:$F,MATCH(BG$1,'Criterio de matriz competencias'!$A:$A,0))="Todos","X",""),"")</f>
        <v/>
      </c>
      <c r="BH64" s="85" t="str">
        <f>IFERROR(IF(INDEX('Criterio de matriz competencias'!$F:$F,MATCH(BH$1,'Criterio de matriz competencias'!$A:$A,0))="Todos","X",""),"")</f>
        <v/>
      </c>
      <c r="BI64" s="85" t="str">
        <f>IFERROR(IF(INDEX('Criterio de matriz competencias'!$F:$F,MATCH(BI$1,'Criterio de matriz competencias'!$A:$A,0))="Todos","X",""),"")</f>
        <v/>
      </c>
      <c r="BJ64" s="85" t="str">
        <f>IFERROR(IF(INDEX('Criterio de matriz competencias'!$F:$F,MATCH(BJ$1,'Criterio de matriz competencias'!$A:$A,0))="Todos","X",""),"")</f>
        <v/>
      </c>
    </row>
    <row r="65" spans="1:62" x14ac:dyDescent="0.3">
      <c r="A65" s="134"/>
      <c r="B65" s="134"/>
      <c r="C65" s="85"/>
      <c r="D65" s="85"/>
      <c r="E65" s="85"/>
      <c r="F65" s="85"/>
      <c r="G65" s="85"/>
      <c r="H65" s="85"/>
      <c r="I65" s="85"/>
      <c r="J65" s="85"/>
      <c r="K65" s="85"/>
      <c r="L65" s="85"/>
      <c r="M65" s="85"/>
      <c r="N65" s="85"/>
      <c r="O65" s="85"/>
      <c r="P65" s="85"/>
      <c r="Q65" s="85"/>
      <c r="R65" s="85"/>
      <c r="S65" s="85"/>
      <c r="T65" s="85"/>
      <c r="U65" s="85"/>
      <c r="V65" s="85"/>
      <c r="W65" s="85"/>
      <c r="X65" s="85"/>
      <c r="Y65" s="85"/>
      <c r="Z65" s="85"/>
      <c r="AA65" s="85"/>
      <c r="AB65" s="85"/>
      <c r="AC65" s="85"/>
      <c r="AD65" s="85"/>
      <c r="AE65" s="85"/>
      <c r="AF65" s="85"/>
      <c r="AG65" s="85"/>
      <c r="AH65" s="85"/>
      <c r="AI65" s="85"/>
      <c r="AJ65" s="85"/>
      <c r="AK65" s="85"/>
      <c r="AL65" s="85"/>
      <c r="AM65" s="85"/>
      <c r="AN65" s="85"/>
      <c r="AO65" s="85"/>
      <c r="AP65" s="85"/>
      <c r="AQ65" s="85"/>
      <c r="AR65" s="85"/>
      <c r="AS65" s="85"/>
      <c r="AT65" s="85"/>
      <c r="AU65" s="85"/>
      <c r="AV65" s="85"/>
      <c r="AW65" s="85"/>
      <c r="AX65" s="85"/>
      <c r="AY65" s="85"/>
      <c r="AZ65" s="85"/>
      <c r="BA65" s="85"/>
      <c r="BB65" s="85"/>
      <c r="BC65" s="85"/>
      <c r="BD65" s="85" t="str">
        <f>IFERROR(IF(INDEX('Criterio de matriz competencias'!$F:$F,MATCH(BD$1,'Criterio de matriz competencias'!$A:$A,0))="Todos","X",""),"")</f>
        <v/>
      </c>
      <c r="BE65" s="85" t="str">
        <f>IFERROR(IF(INDEX('Criterio de matriz competencias'!$F:$F,MATCH(BE$1,'Criterio de matriz competencias'!$A:$A,0))="Todos","X",""),"")</f>
        <v/>
      </c>
      <c r="BF65" s="85" t="str">
        <f>IFERROR(IF(INDEX('Criterio de matriz competencias'!$F:$F,MATCH(BF$1,'Criterio de matriz competencias'!$A:$A,0))="Todos","X",""),"")</f>
        <v/>
      </c>
      <c r="BG65" s="85" t="str">
        <f>IFERROR(IF(INDEX('Criterio de matriz competencias'!$F:$F,MATCH(BG$1,'Criterio de matriz competencias'!$A:$A,0))="Todos","X",""),"")</f>
        <v/>
      </c>
      <c r="BH65" s="85" t="str">
        <f>IFERROR(IF(INDEX('Criterio de matriz competencias'!$F:$F,MATCH(BH$1,'Criterio de matriz competencias'!$A:$A,0))="Todos","X",""),"")</f>
        <v/>
      </c>
      <c r="BI65" s="85" t="str">
        <f>IFERROR(IF(INDEX('Criterio de matriz competencias'!$F:$F,MATCH(BI$1,'Criterio de matriz competencias'!$A:$A,0))="Todos","X",""),"")</f>
        <v/>
      </c>
      <c r="BJ65" s="85" t="str">
        <f>IFERROR(IF(INDEX('Criterio de matriz competencias'!$F:$F,MATCH(BJ$1,'Criterio de matriz competencias'!$A:$A,0))="Todos","X",""),"")</f>
        <v/>
      </c>
    </row>
    <row r="66" spans="1:62" x14ac:dyDescent="0.3">
      <c r="A66" s="134"/>
      <c r="B66" s="134"/>
      <c r="C66" s="85"/>
      <c r="D66" s="85"/>
      <c r="E66" s="85"/>
      <c r="F66" s="85"/>
      <c r="G66" s="85"/>
      <c r="H66" s="85"/>
      <c r="I66" s="85"/>
      <c r="J66" s="85"/>
      <c r="K66" s="85"/>
      <c r="L66" s="85"/>
      <c r="M66" s="85"/>
      <c r="N66" s="85"/>
      <c r="O66" s="85"/>
      <c r="P66" s="85"/>
      <c r="Q66" s="85"/>
      <c r="R66" s="85"/>
      <c r="S66" s="85"/>
      <c r="T66" s="85"/>
      <c r="U66" s="85"/>
      <c r="V66" s="85"/>
      <c r="W66" s="85"/>
      <c r="X66" s="85"/>
      <c r="Y66" s="85"/>
      <c r="Z66" s="85"/>
      <c r="AA66" s="85"/>
      <c r="AB66" s="85"/>
      <c r="AC66" s="85"/>
      <c r="AD66" s="85"/>
      <c r="AE66" s="85"/>
      <c r="AF66" s="85"/>
      <c r="AG66" s="85"/>
      <c r="AH66" s="85"/>
      <c r="AI66" s="85"/>
      <c r="AJ66" s="85"/>
      <c r="AK66" s="85"/>
      <c r="AL66" s="85"/>
      <c r="AM66" s="85"/>
      <c r="AN66" s="85"/>
      <c r="AO66" s="85"/>
      <c r="AP66" s="85"/>
      <c r="AQ66" s="85"/>
      <c r="AR66" s="85"/>
      <c r="AS66" s="85"/>
      <c r="AT66" s="85"/>
      <c r="AU66" s="85"/>
      <c r="AV66" s="85"/>
      <c r="AW66" s="85"/>
      <c r="AX66" s="85"/>
      <c r="AY66" s="85"/>
      <c r="AZ66" s="85"/>
      <c r="BA66" s="85"/>
      <c r="BB66" s="85"/>
      <c r="BC66" s="85"/>
      <c r="BD66" s="85" t="str">
        <f>IFERROR(IF(INDEX('Criterio de matriz competencias'!$F:$F,MATCH(BD$1,'Criterio de matriz competencias'!$A:$A,0))="Todos","X",""),"")</f>
        <v/>
      </c>
      <c r="BE66" s="85" t="str">
        <f>IFERROR(IF(INDEX('Criterio de matriz competencias'!$F:$F,MATCH(BE$1,'Criterio de matriz competencias'!$A:$A,0))="Todos","X",""),"")</f>
        <v/>
      </c>
      <c r="BF66" s="85" t="str">
        <f>IFERROR(IF(INDEX('Criterio de matriz competencias'!$F:$F,MATCH(BF$1,'Criterio de matriz competencias'!$A:$A,0))="Todos","X",""),"")</f>
        <v/>
      </c>
      <c r="BG66" s="85" t="str">
        <f>IFERROR(IF(INDEX('Criterio de matriz competencias'!$F:$F,MATCH(BG$1,'Criterio de matriz competencias'!$A:$A,0))="Todos","X",""),"")</f>
        <v/>
      </c>
      <c r="BH66" s="85" t="str">
        <f>IFERROR(IF(INDEX('Criterio de matriz competencias'!$F:$F,MATCH(BH$1,'Criterio de matriz competencias'!$A:$A,0))="Todos","X",""),"")</f>
        <v/>
      </c>
      <c r="BI66" s="85" t="str">
        <f>IFERROR(IF(INDEX('Criterio de matriz competencias'!$F:$F,MATCH(BI$1,'Criterio de matriz competencias'!$A:$A,0))="Todos","X",""),"")</f>
        <v/>
      </c>
      <c r="BJ66" s="85" t="str">
        <f>IFERROR(IF(INDEX('Criterio de matriz competencias'!$F:$F,MATCH(BJ$1,'Criterio de matriz competencias'!$A:$A,0))="Todos","X",""),"")</f>
        <v/>
      </c>
    </row>
    <row r="67" spans="1:62" x14ac:dyDescent="0.3">
      <c r="A67" s="134"/>
      <c r="B67" s="134"/>
      <c r="C67" s="85"/>
      <c r="D67" s="85"/>
      <c r="E67" s="85"/>
      <c r="F67" s="85"/>
      <c r="G67" s="85"/>
      <c r="H67" s="85"/>
      <c r="I67" s="85"/>
      <c r="J67" s="85"/>
      <c r="K67" s="85"/>
      <c r="L67" s="85"/>
      <c r="M67" s="85"/>
      <c r="N67" s="85"/>
      <c r="O67" s="85"/>
      <c r="P67" s="85"/>
      <c r="Q67" s="85"/>
      <c r="R67" s="85"/>
      <c r="S67" s="85"/>
      <c r="T67" s="85"/>
      <c r="U67" s="85"/>
      <c r="V67" s="85"/>
      <c r="W67" s="85"/>
      <c r="X67" s="85"/>
      <c r="Y67" s="85"/>
      <c r="Z67" s="85"/>
      <c r="AA67" s="85"/>
      <c r="AB67" s="85"/>
      <c r="AC67" s="85"/>
      <c r="AD67" s="85"/>
      <c r="AE67" s="85"/>
      <c r="AF67" s="85"/>
      <c r="AG67" s="85"/>
      <c r="AH67" s="85"/>
      <c r="AI67" s="85"/>
      <c r="AJ67" s="85"/>
      <c r="AK67" s="85"/>
      <c r="AL67" s="85"/>
      <c r="AM67" s="85"/>
      <c r="AN67" s="85"/>
      <c r="AO67" s="85"/>
      <c r="AP67" s="85"/>
      <c r="AQ67" s="85"/>
      <c r="AR67" s="85"/>
      <c r="AS67" s="85"/>
      <c r="AT67" s="85"/>
      <c r="AU67" s="85"/>
      <c r="AV67" s="85"/>
      <c r="AW67" s="85"/>
      <c r="AX67" s="85"/>
      <c r="AY67" s="85"/>
      <c r="AZ67" s="85"/>
      <c r="BA67" s="85"/>
      <c r="BB67" s="85"/>
      <c r="BC67" s="85"/>
      <c r="BD67" s="85" t="str">
        <f>IFERROR(IF(INDEX('Criterio de matriz competencias'!$F:$F,MATCH(BD$1,'Criterio de matriz competencias'!$A:$A,0))="Todos","X",""),"")</f>
        <v/>
      </c>
      <c r="BE67" s="85" t="str">
        <f>IFERROR(IF(INDEX('Criterio de matriz competencias'!$F:$F,MATCH(BE$1,'Criterio de matriz competencias'!$A:$A,0))="Todos","X",""),"")</f>
        <v/>
      </c>
      <c r="BF67" s="85" t="str">
        <f>IFERROR(IF(INDEX('Criterio de matriz competencias'!$F:$F,MATCH(BF$1,'Criterio de matriz competencias'!$A:$A,0))="Todos","X",""),"")</f>
        <v/>
      </c>
      <c r="BG67" s="85" t="str">
        <f>IFERROR(IF(INDEX('Criterio de matriz competencias'!$F:$F,MATCH(BG$1,'Criterio de matriz competencias'!$A:$A,0))="Todos","X",""),"")</f>
        <v/>
      </c>
      <c r="BH67" s="85" t="str">
        <f>IFERROR(IF(INDEX('Criterio de matriz competencias'!$F:$F,MATCH(BH$1,'Criterio de matriz competencias'!$A:$A,0))="Todos","X",""),"")</f>
        <v/>
      </c>
      <c r="BI67" s="85" t="str">
        <f>IFERROR(IF(INDEX('Criterio de matriz competencias'!$F:$F,MATCH(BI$1,'Criterio de matriz competencias'!$A:$A,0))="Todos","X",""),"")</f>
        <v/>
      </c>
      <c r="BJ67" s="85" t="str">
        <f>IFERROR(IF(INDEX('Criterio de matriz competencias'!$F:$F,MATCH(BJ$1,'Criterio de matriz competencias'!$A:$A,0))="Todos","X",""),"")</f>
        <v/>
      </c>
    </row>
    <row r="68" spans="1:62" x14ac:dyDescent="0.3">
      <c r="A68" s="134"/>
      <c r="B68" s="134"/>
      <c r="C68" s="85"/>
      <c r="D68" s="85"/>
      <c r="E68" s="85"/>
      <c r="F68" s="85"/>
      <c r="G68" s="85"/>
      <c r="H68" s="85"/>
      <c r="I68" s="85"/>
      <c r="J68" s="85"/>
      <c r="K68" s="85"/>
      <c r="L68" s="85"/>
      <c r="M68" s="85"/>
      <c r="N68" s="85"/>
      <c r="O68" s="85"/>
      <c r="P68" s="85"/>
      <c r="Q68" s="85"/>
      <c r="R68" s="85"/>
      <c r="S68" s="85"/>
      <c r="T68" s="85"/>
      <c r="U68" s="85"/>
      <c r="V68" s="85"/>
      <c r="W68" s="85"/>
      <c r="X68" s="85"/>
      <c r="Y68" s="85"/>
      <c r="Z68" s="85"/>
      <c r="AA68" s="85"/>
      <c r="AB68" s="85"/>
      <c r="AC68" s="85"/>
      <c r="AD68" s="85"/>
      <c r="AE68" s="85"/>
      <c r="AF68" s="85"/>
      <c r="AG68" s="85"/>
      <c r="AH68" s="85"/>
      <c r="AI68" s="85"/>
      <c r="AJ68" s="85"/>
      <c r="AK68" s="85"/>
      <c r="AL68" s="85"/>
      <c r="AM68" s="85"/>
      <c r="AN68" s="85"/>
      <c r="AO68" s="85"/>
      <c r="AP68" s="85"/>
      <c r="AQ68" s="85"/>
      <c r="AR68" s="85"/>
      <c r="AS68" s="85"/>
      <c r="AT68" s="85"/>
      <c r="AU68" s="85"/>
      <c r="AV68" s="85"/>
      <c r="AW68" s="85"/>
      <c r="AX68" s="85"/>
      <c r="AY68" s="85"/>
      <c r="AZ68" s="85"/>
      <c r="BA68" s="85"/>
      <c r="BB68" s="85"/>
      <c r="BC68" s="85"/>
      <c r="BD68" s="85" t="str">
        <f>IFERROR(IF(INDEX('Criterio de matriz competencias'!$F:$F,MATCH(BD$1,'Criterio de matriz competencias'!$A:$A,0))="Todos","X",""),"")</f>
        <v/>
      </c>
      <c r="BE68" s="85" t="str">
        <f>IFERROR(IF(INDEX('Criterio de matriz competencias'!$F:$F,MATCH(BE$1,'Criterio de matriz competencias'!$A:$A,0))="Todos","X",""),"")</f>
        <v/>
      </c>
      <c r="BF68" s="85" t="str">
        <f>IFERROR(IF(INDEX('Criterio de matriz competencias'!$F:$F,MATCH(BF$1,'Criterio de matriz competencias'!$A:$A,0))="Todos","X",""),"")</f>
        <v/>
      </c>
      <c r="BG68" s="85" t="str">
        <f>IFERROR(IF(INDEX('Criterio de matriz competencias'!$F:$F,MATCH(BG$1,'Criterio de matriz competencias'!$A:$A,0))="Todos","X",""),"")</f>
        <v/>
      </c>
      <c r="BH68" s="85" t="str">
        <f>IFERROR(IF(INDEX('Criterio de matriz competencias'!$F:$F,MATCH(BH$1,'Criterio de matriz competencias'!$A:$A,0))="Todos","X",""),"")</f>
        <v/>
      </c>
      <c r="BI68" s="85" t="str">
        <f>IFERROR(IF(INDEX('Criterio de matriz competencias'!$F:$F,MATCH(BI$1,'Criterio de matriz competencias'!$A:$A,0))="Todos","X",""),"")</f>
        <v/>
      </c>
      <c r="BJ68" s="85" t="str">
        <f>IFERROR(IF(INDEX('Criterio de matriz competencias'!$F:$F,MATCH(BJ$1,'Criterio de matriz competencias'!$A:$A,0))="Todos","X",""),"")</f>
        <v/>
      </c>
    </row>
    <row r="69" spans="1:62" x14ac:dyDescent="0.3">
      <c r="A69" s="134"/>
      <c r="B69" s="134"/>
      <c r="C69" s="85"/>
      <c r="D69" s="85"/>
      <c r="E69" s="85"/>
      <c r="F69" s="85"/>
      <c r="G69" s="85"/>
      <c r="H69" s="85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5"/>
      <c r="V69" s="85"/>
      <c r="W69" s="85"/>
      <c r="X69" s="85"/>
      <c r="Y69" s="85"/>
      <c r="Z69" s="85"/>
      <c r="AA69" s="85"/>
      <c r="AB69" s="85"/>
      <c r="AC69" s="85"/>
      <c r="AD69" s="85"/>
      <c r="AE69" s="85"/>
      <c r="AF69" s="85"/>
      <c r="AG69" s="85"/>
      <c r="AH69" s="85"/>
      <c r="AI69" s="85"/>
      <c r="AJ69" s="85"/>
      <c r="AK69" s="85"/>
      <c r="AL69" s="85"/>
      <c r="AM69" s="85"/>
      <c r="AN69" s="85"/>
      <c r="AO69" s="85"/>
      <c r="AP69" s="85"/>
      <c r="AQ69" s="85"/>
      <c r="AR69" s="85"/>
      <c r="AS69" s="85"/>
      <c r="AT69" s="85"/>
      <c r="AU69" s="85"/>
      <c r="AV69" s="85"/>
      <c r="AW69" s="85"/>
      <c r="AX69" s="85"/>
      <c r="AY69" s="85"/>
      <c r="AZ69" s="85"/>
      <c r="BA69" s="85"/>
      <c r="BB69" s="85"/>
      <c r="BC69" s="85"/>
      <c r="BD69" s="85" t="str">
        <f>IFERROR(IF(INDEX('Criterio de matriz competencias'!$F:$F,MATCH(BD$1,'Criterio de matriz competencias'!$A:$A,0))="Todos","X",""),"")</f>
        <v/>
      </c>
      <c r="BE69" s="85" t="str">
        <f>IFERROR(IF(INDEX('Criterio de matriz competencias'!$F:$F,MATCH(BE$1,'Criterio de matriz competencias'!$A:$A,0))="Todos","X",""),"")</f>
        <v/>
      </c>
      <c r="BF69" s="85" t="str">
        <f>IFERROR(IF(INDEX('Criterio de matriz competencias'!$F:$F,MATCH(BF$1,'Criterio de matriz competencias'!$A:$A,0))="Todos","X",""),"")</f>
        <v/>
      </c>
      <c r="BG69" s="85" t="str">
        <f>IFERROR(IF(INDEX('Criterio de matriz competencias'!$F:$F,MATCH(BG$1,'Criterio de matriz competencias'!$A:$A,0))="Todos","X",""),"")</f>
        <v/>
      </c>
      <c r="BH69" s="85" t="str">
        <f>IFERROR(IF(INDEX('Criterio de matriz competencias'!$F:$F,MATCH(BH$1,'Criterio de matriz competencias'!$A:$A,0))="Todos","X",""),"")</f>
        <v/>
      </c>
      <c r="BI69" s="85" t="str">
        <f>IFERROR(IF(INDEX('Criterio de matriz competencias'!$F:$F,MATCH(BI$1,'Criterio de matriz competencias'!$A:$A,0))="Todos","X",""),"")</f>
        <v/>
      </c>
      <c r="BJ69" s="85" t="str">
        <f>IFERROR(IF(INDEX('Criterio de matriz competencias'!$F:$F,MATCH(BJ$1,'Criterio de matriz competencias'!$A:$A,0))="Todos","X",""),"")</f>
        <v/>
      </c>
    </row>
    <row r="70" spans="1:62" x14ac:dyDescent="0.3">
      <c r="A70" s="134"/>
      <c r="B70" s="134"/>
      <c r="C70" s="85"/>
      <c r="D70" s="85"/>
      <c r="E70" s="85"/>
      <c r="F70" s="85"/>
      <c r="G70" s="85"/>
      <c r="H70" s="85"/>
      <c r="I70" s="85"/>
      <c r="J70" s="85"/>
      <c r="K70" s="85"/>
      <c r="L70" s="85"/>
      <c r="M70" s="85"/>
      <c r="N70" s="85"/>
      <c r="O70" s="85"/>
      <c r="P70" s="85"/>
      <c r="Q70" s="85"/>
      <c r="R70" s="85"/>
      <c r="S70" s="85"/>
      <c r="T70" s="85"/>
      <c r="U70" s="85"/>
      <c r="V70" s="85"/>
      <c r="W70" s="85"/>
      <c r="X70" s="85"/>
      <c r="Y70" s="85"/>
      <c r="Z70" s="85"/>
      <c r="AA70" s="85"/>
      <c r="AB70" s="85"/>
      <c r="AC70" s="85"/>
      <c r="AD70" s="85"/>
      <c r="AE70" s="85"/>
      <c r="AF70" s="85"/>
      <c r="AG70" s="85"/>
      <c r="AH70" s="85"/>
      <c r="AI70" s="85"/>
      <c r="AJ70" s="85"/>
      <c r="AK70" s="85"/>
      <c r="AL70" s="85"/>
      <c r="AM70" s="85"/>
      <c r="AN70" s="85"/>
      <c r="AO70" s="85"/>
      <c r="AP70" s="85"/>
      <c r="AQ70" s="85"/>
      <c r="AR70" s="85"/>
      <c r="AS70" s="85"/>
      <c r="AT70" s="85"/>
      <c r="AU70" s="85"/>
      <c r="AV70" s="85"/>
      <c r="AW70" s="85"/>
      <c r="AX70" s="85"/>
      <c r="AY70" s="85"/>
      <c r="AZ70" s="85"/>
      <c r="BA70" s="85"/>
      <c r="BB70" s="85"/>
      <c r="BC70" s="85"/>
      <c r="BD70" s="85" t="str">
        <f>IFERROR(IF(INDEX('Criterio de matriz competencias'!$F:$F,MATCH(BD$1,'Criterio de matriz competencias'!$A:$A,0))="Todos","X",""),"")</f>
        <v/>
      </c>
      <c r="BE70" s="85" t="str">
        <f>IFERROR(IF(INDEX('Criterio de matriz competencias'!$F:$F,MATCH(BE$1,'Criterio de matriz competencias'!$A:$A,0))="Todos","X",""),"")</f>
        <v/>
      </c>
      <c r="BF70" s="85" t="str">
        <f>IFERROR(IF(INDEX('Criterio de matriz competencias'!$F:$F,MATCH(BF$1,'Criterio de matriz competencias'!$A:$A,0))="Todos","X",""),"")</f>
        <v/>
      </c>
      <c r="BG70" s="85" t="str">
        <f>IFERROR(IF(INDEX('Criterio de matriz competencias'!$F:$F,MATCH(BG$1,'Criterio de matriz competencias'!$A:$A,0))="Todos","X",""),"")</f>
        <v/>
      </c>
      <c r="BH70" s="85" t="str">
        <f>IFERROR(IF(INDEX('Criterio de matriz competencias'!$F:$F,MATCH(BH$1,'Criterio de matriz competencias'!$A:$A,0))="Todos","X",""),"")</f>
        <v/>
      </c>
      <c r="BI70" s="85" t="str">
        <f>IFERROR(IF(INDEX('Criterio de matriz competencias'!$F:$F,MATCH(BI$1,'Criterio de matriz competencias'!$A:$A,0))="Todos","X",""),"")</f>
        <v/>
      </c>
      <c r="BJ70" s="85" t="str">
        <f>IFERROR(IF(INDEX('Criterio de matriz competencias'!$F:$F,MATCH(BJ$1,'Criterio de matriz competencias'!$A:$A,0))="Todos","X",""),"")</f>
        <v/>
      </c>
    </row>
    <row r="71" spans="1:62" x14ac:dyDescent="0.3">
      <c r="A71" s="134"/>
      <c r="B71" s="134"/>
      <c r="C71" s="85"/>
      <c r="D71" s="85"/>
      <c r="E71" s="85"/>
      <c r="F71" s="85"/>
      <c r="G71" s="85"/>
      <c r="H71" s="85"/>
      <c r="I71" s="85"/>
      <c r="J71" s="85"/>
      <c r="K71" s="85"/>
      <c r="L71" s="85"/>
      <c r="M71" s="85"/>
      <c r="N71" s="85"/>
      <c r="O71" s="85"/>
      <c r="P71" s="85"/>
      <c r="Q71" s="85"/>
      <c r="R71" s="85"/>
      <c r="S71" s="85"/>
      <c r="T71" s="85"/>
      <c r="U71" s="85"/>
      <c r="V71" s="85"/>
      <c r="W71" s="85"/>
      <c r="X71" s="85"/>
      <c r="Y71" s="85"/>
      <c r="Z71" s="85"/>
      <c r="AA71" s="85"/>
      <c r="AB71" s="85"/>
      <c r="AC71" s="85"/>
      <c r="AD71" s="85"/>
      <c r="AE71" s="85"/>
      <c r="AF71" s="85"/>
      <c r="AG71" s="85"/>
      <c r="AH71" s="85"/>
      <c r="AI71" s="85"/>
      <c r="AJ71" s="85"/>
      <c r="AK71" s="85"/>
      <c r="AL71" s="85"/>
      <c r="AM71" s="85"/>
      <c r="AN71" s="85"/>
      <c r="AO71" s="85"/>
      <c r="AP71" s="85"/>
      <c r="AQ71" s="85"/>
      <c r="AR71" s="85"/>
      <c r="AS71" s="85"/>
      <c r="AT71" s="85"/>
      <c r="AU71" s="85"/>
      <c r="AV71" s="85"/>
      <c r="AW71" s="85"/>
      <c r="AX71" s="85"/>
      <c r="AY71" s="85"/>
      <c r="AZ71" s="85"/>
      <c r="BA71" s="85"/>
      <c r="BB71" s="85"/>
      <c r="BC71" s="85"/>
      <c r="BD71" s="85" t="str">
        <f>IFERROR(IF(INDEX('Criterio de matriz competencias'!$F:$F,MATCH(BD$1,'Criterio de matriz competencias'!$A:$A,0))="Todos","X",""),"")</f>
        <v/>
      </c>
      <c r="BE71" s="85" t="str">
        <f>IFERROR(IF(INDEX('Criterio de matriz competencias'!$F:$F,MATCH(BE$1,'Criterio de matriz competencias'!$A:$A,0))="Todos","X",""),"")</f>
        <v/>
      </c>
      <c r="BF71" s="85" t="str">
        <f>IFERROR(IF(INDEX('Criterio de matriz competencias'!$F:$F,MATCH(BF$1,'Criterio de matriz competencias'!$A:$A,0))="Todos","X",""),"")</f>
        <v/>
      </c>
      <c r="BG71" s="85" t="str">
        <f>IFERROR(IF(INDEX('Criterio de matriz competencias'!$F:$F,MATCH(BG$1,'Criterio de matriz competencias'!$A:$A,0))="Todos","X",""),"")</f>
        <v/>
      </c>
      <c r="BH71" s="85" t="str">
        <f>IFERROR(IF(INDEX('Criterio de matriz competencias'!$F:$F,MATCH(BH$1,'Criterio de matriz competencias'!$A:$A,0))="Todos","X",""),"")</f>
        <v/>
      </c>
      <c r="BI71" s="85" t="str">
        <f>IFERROR(IF(INDEX('Criterio de matriz competencias'!$F:$F,MATCH(BI$1,'Criterio de matriz competencias'!$A:$A,0))="Todos","X",""),"")</f>
        <v/>
      </c>
      <c r="BJ71" s="85" t="str">
        <f>IFERROR(IF(INDEX('Criterio de matriz competencias'!$F:$F,MATCH(BJ$1,'Criterio de matriz competencias'!$A:$A,0))="Todos","X",""),"")</f>
        <v/>
      </c>
    </row>
    <row r="72" spans="1:62" x14ac:dyDescent="0.3">
      <c r="A72" s="134"/>
      <c r="B72" s="134"/>
      <c r="C72" s="85"/>
      <c r="D72" s="85"/>
      <c r="E72" s="85"/>
      <c r="F72" s="85"/>
      <c r="G72" s="85"/>
      <c r="H72" s="85"/>
      <c r="I72" s="85"/>
      <c r="J72" s="85"/>
      <c r="K72" s="85"/>
      <c r="L72" s="85"/>
      <c r="M72" s="85"/>
      <c r="N72" s="85"/>
      <c r="O72" s="85"/>
      <c r="P72" s="85"/>
      <c r="Q72" s="85"/>
      <c r="R72" s="85"/>
      <c r="S72" s="85"/>
      <c r="T72" s="85"/>
      <c r="U72" s="85"/>
      <c r="V72" s="85"/>
      <c r="W72" s="85"/>
      <c r="X72" s="85"/>
      <c r="Y72" s="85"/>
      <c r="Z72" s="85"/>
      <c r="AA72" s="85"/>
      <c r="AB72" s="85"/>
      <c r="AC72" s="85"/>
      <c r="AD72" s="85"/>
      <c r="AE72" s="85"/>
      <c r="AF72" s="85"/>
      <c r="AG72" s="85"/>
      <c r="AH72" s="85"/>
      <c r="AI72" s="85"/>
      <c r="AJ72" s="85"/>
      <c r="AK72" s="85"/>
      <c r="AL72" s="85"/>
      <c r="AM72" s="85"/>
      <c r="AN72" s="85"/>
      <c r="AO72" s="85"/>
      <c r="AP72" s="85"/>
      <c r="AQ72" s="85"/>
      <c r="AR72" s="85"/>
      <c r="AS72" s="85"/>
      <c r="AT72" s="85"/>
      <c r="AU72" s="85"/>
      <c r="AV72" s="85"/>
      <c r="AW72" s="85"/>
      <c r="AX72" s="85"/>
      <c r="AY72" s="85"/>
      <c r="AZ72" s="85"/>
      <c r="BA72" s="85"/>
      <c r="BB72" s="85"/>
      <c r="BC72" s="85"/>
      <c r="BD72" s="85" t="str">
        <f>IFERROR(IF(INDEX('Criterio de matriz competencias'!$F:$F,MATCH(BD$1,'Criterio de matriz competencias'!$A:$A,0))="Todos","X",""),"")</f>
        <v/>
      </c>
      <c r="BE72" s="85" t="str">
        <f>IFERROR(IF(INDEX('Criterio de matriz competencias'!$F:$F,MATCH(BE$1,'Criterio de matriz competencias'!$A:$A,0))="Todos","X",""),"")</f>
        <v/>
      </c>
      <c r="BF72" s="85" t="str">
        <f>IFERROR(IF(INDEX('Criterio de matriz competencias'!$F:$F,MATCH(BF$1,'Criterio de matriz competencias'!$A:$A,0))="Todos","X",""),"")</f>
        <v/>
      </c>
      <c r="BG72" s="85" t="str">
        <f>IFERROR(IF(INDEX('Criterio de matriz competencias'!$F:$F,MATCH(BG$1,'Criterio de matriz competencias'!$A:$A,0))="Todos","X",""),"")</f>
        <v/>
      </c>
      <c r="BH72" s="85" t="str">
        <f>IFERROR(IF(INDEX('Criterio de matriz competencias'!$F:$F,MATCH(BH$1,'Criterio de matriz competencias'!$A:$A,0))="Todos","X",""),"")</f>
        <v/>
      </c>
      <c r="BI72" s="85" t="str">
        <f>IFERROR(IF(INDEX('Criterio de matriz competencias'!$F:$F,MATCH(BI$1,'Criterio de matriz competencias'!$A:$A,0))="Todos","X",""),"")</f>
        <v/>
      </c>
      <c r="BJ72" s="85" t="str">
        <f>IFERROR(IF(INDEX('Criterio de matriz competencias'!$F:$F,MATCH(BJ$1,'Criterio de matriz competencias'!$A:$A,0))="Todos","X",""),"")</f>
        <v/>
      </c>
    </row>
    <row r="73" spans="1:62" x14ac:dyDescent="0.3">
      <c r="A73" s="134"/>
      <c r="B73" s="134"/>
      <c r="C73" s="85"/>
      <c r="D73" s="85"/>
      <c r="E73" s="85"/>
      <c r="F73" s="85"/>
      <c r="G73" s="85"/>
      <c r="H73" s="85"/>
      <c r="I73" s="85"/>
      <c r="J73" s="85"/>
      <c r="K73" s="85"/>
      <c r="L73" s="85"/>
      <c r="M73" s="85"/>
      <c r="N73" s="85"/>
      <c r="O73" s="85"/>
      <c r="P73" s="85"/>
      <c r="Q73" s="85"/>
      <c r="R73" s="85"/>
      <c r="S73" s="85"/>
      <c r="T73" s="85"/>
      <c r="U73" s="85"/>
      <c r="V73" s="85"/>
      <c r="W73" s="85"/>
      <c r="X73" s="85"/>
      <c r="Y73" s="85"/>
      <c r="Z73" s="85"/>
      <c r="AA73" s="85"/>
      <c r="AB73" s="85"/>
      <c r="AC73" s="85"/>
      <c r="AD73" s="85"/>
      <c r="AE73" s="85"/>
      <c r="AF73" s="85"/>
      <c r="AG73" s="85"/>
      <c r="AH73" s="85"/>
      <c r="AI73" s="85"/>
      <c r="AJ73" s="85"/>
      <c r="AK73" s="85"/>
      <c r="AL73" s="85"/>
      <c r="AM73" s="85"/>
      <c r="AN73" s="85"/>
      <c r="AO73" s="85"/>
      <c r="AP73" s="85"/>
      <c r="AQ73" s="85"/>
      <c r="AR73" s="85"/>
      <c r="AS73" s="85"/>
      <c r="AT73" s="85"/>
      <c r="AU73" s="85"/>
      <c r="AV73" s="85"/>
      <c r="AW73" s="85"/>
      <c r="AX73" s="85"/>
      <c r="AY73" s="85"/>
      <c r="AZ73" s="85"/>
      <c r="BA73" s="85"/>
      <c r="BB73" s="85"/>
      <c r="BC73" s="85"/>
      <c r="BD73" s="85" t="str">
        <f>IFERROR(IF(INDEX('Criterio de matriz competencias'!$F:$F,MATCH(BD$1,'Criterio de matriz competencias'!$A:$A,0))="Todos","X",""),"")</f>
        <v/>
      </c>
      <c r="BE73" s="85" t="str">
        <f>IFERROR(IF(INDEX('Criterio de matriz competencias'!$F:$F,MATCH(BE$1,'Criterio de matriz competencias'!$A:$A,0))="Todos","X",""),"")</f>
        <v/>
      </c>
      <c r="BF73" s="85" t="str">
        <f>IFERROR(IF(INDEX('Criterio de matriz competencias'!$F:$F,MATCH(BF$1,'Criterio de matriz competencias'!$A:$A,0))="Todos","X",""),"")</f>
        <v/>
      </c>
      <c r="BG73" s="85" t="str">
        <f>IFERROR(IF(INDEX('Criterio de matriz competencias'!$F:$F,MATCH(BG$1,'Criterio de matriz competencias'!$A:$A,0))="Todos","X",""),"")</f>
        <v/>
      </c>
      <c r="BH73" s="85" t="str">
        <f>IFERROR(IF(INDEX('Criterio de matriz competencias'!$F:$F,MATCH(BH$1,'Criterio de matriz competencias'!$A:$A,0))="Todos","X",""),"")</f>
        <v/>
      </c>
      <c r="BI73" s="85" t="str">
        <f>IFERROR(IF(INDEX('Criterio de matriz competencias'!$F:$F,MATCH(BI$1,'Criterio de matriz competencias'!$A:$A,0))="Todos","X",""),"")</f>
        <v/>
      </c>
      <c r="BJ73" s="85" t="str">
        <f>IFERROR(IF(INDEX('Criterio de matriz competencias'!$F:$F,MATCH(BJ$1,'Criterio de matriz competencias'!$A:$A,0))="Todos","X",""),"")</f>
        <v/>
      </c>
    </row>
    <row r="74" spans="1:62" x14ac:dyDescent="0.3">
      <c r="A74" s="134"/>
      <c r="B74" s="134"/>
      <c r="C74" s="85"/>
      <c r="D74" s="85"/>
      <c r="E74" s="85"/>
      <c r="F74" s="85"/>
      <c r="G74" s="85"/>
      <c r="H74" s="85"/>
      <c r="I74" s="85"/>
      <c r="J74" s="85"/>
      <c r="K74" s="85"/>
      <c r="L74" s="85"/>
      <c r="M74" s="85"/>
      <c r="N74" s="85"/>
      <c r="O74" s="85"/>
      <c r="P74" s="85"/>
      <c r="Q74" s="85"/>
      <c r="R74" s="85"/>
      <c r="S74" s="85"/>
      <c r="T74" s="85"/>
      <c r="U74" s="85"/>
      <c r="V74" s="85"/>
      <c r="W74" s="85"/>
      <c r="X74" s="85"/>
      <c r="Y74" s="85"/>
      <c r="Z74" s="85"/>
      <c r="AA74" s="85"/>
      <c r="AB74" s="85"/>
      <c r="AC74" s="85"/>
      <c r="AD74" s="85"/>
      <c r="AE74" s="85"/>
      <c r="AF74" s="85"/>
      <c r="AG74" s="85"/>
      <c r="AH74" s="85"/>
      <c r="AI74" s="85"/>
      <c r="AJ74" s="85"/>
      <c r="AK74" s="85"/>
      <c r="AL74" s="85"/>
      <c r="AM74" s="85"/>
      <c r="AN74" s="85"/>
      <c r="AO74" s="85"/>
      <c r="AP74" s="85"/>
      <c r="AQ74" s="85"/>
      <c r="AR74" s="85"/>
      <c r="AS74" s="85"/>
      <c r="AT74" s="85"/>
      <c r="AU74" s="85"/>
      <c r="AV74" s="85"/>
      <c r="AW74" s="85"/>
      <c r="AX74" s="85"/>
      <c r="AY74" s="85"/>
      <c r="AZ74" s="85"/>
      <c r="BA74" s="85"/>
      <c r="BB74" s="85"/>
      <c r="BC74" s="85"/>
      <c r="BD74" s="85" t="str">
        <f>IFERROR(IF(INDEX('Criterio de matriz competencias'!$F:$F,MATCH(BD$1,'Criterio de matriz competencias'!$A:$A,0))="Todos","X",""),"")</f>
        <v/>
      </c>
      <c r="BE74" s="85" t="str">
        <f>IFERROR(IF(INDEX('Criterio de matriz competencias'!$F:$F,MATCH(BE$1,'Criterio de matriz competencias'!$A:$A,0))="Todos","X",""),"")</f>
        <v/>
      </c>
      <c r="BF74" s="85" t="str">
        <f>IFERROR(IF(INDEX('Criterio de matriz competencias'!$F:$F,MATCH(BF$1,'Criterio de matriz competencias'!$A:$A,0))="Todos","X",""),"")</f>
        <v/>
      </c>
      <c r="BG74" s="85" t="str">
        <f>IFERROR(IF(INDEX('Criterio de matriz competencias'!$F:$F,MATCH(BG$1,'Criterio de matriz competencias'!$A:$A,0))="Todos","X",""),"")</f>
        <v/>
      </c>
      <c r="BH74" s="85" t="str">
        <f>IFERROR(IF(INDEX('Criterio de matriz competencias'!$F:$F,MATCH(BH$1,'Criterio de matriz competencias'!$A:$A,0))="Todos","X",""),"")</f>
        <v/>
      </c>
      <c r="BI74" s="85" t="str">
        <f>IFERROR(IF(INDEX('Criterio de matriz competencias'!$F:$F,MATCH(BI$1,'Criterio de matriz competencias'!$A:$A,0))="Todos","X",""),"")</f>
        <v/>
      </c>
      <c r="BJ74" s="85" t="str">
        <f>IFERROR(IF(INDEX('Criterio de matriz competencias'!$F:$F,MATCH(BJ$1,'Criterio de matriz competencias'!$A:$A,0))="Todos","X",""),"")</f>
        <v/>
      </c>
    </row>
    <row r="75" spans="1:62" x14ac:dyDescent="0.3">
      <c r="A75" s="134"/>
      <c r="B75" s="134"/>
      <c r="C75" s="85"/>
      <c r="D75" s="85"/>
      <c r="E75" s="85"/>
      <c r="F75" s="85"/>
      <c r="G75" s="85"/>
      <c r="H75" s="85"/>
      <c r="I75" s="85"/>
      <c r="J75" s="85"/>
      <c r="K75" s="85"/>
      <c r="L75" s="85"/>
      <c r="M75" s="85"/>
      <c r="N75" s="85"/>
      <c r="O75" s="85"/>
      <c r="P75" s="85"/>
      <c r="Q75" s="85"/>
      <c r="R75" s="85"/>
      <c r="S75" s="85"/>
      <c r="T75" s="85"/>
      <c r="U75" s="85"/>
      <c r="V75" s="85"/>
      <c r="W75" s="85"/>
      <c r="X75" s="85"/>
      <c r="Y75" s="85"/>
      <c r="Z75" s="85"/>
      <c r="AA75" s="85"/>
      <c r="AB75" s="85"/>
      <c r="AC75" s="85"/>
      <c r="AD75" s="85"/>
      <c r="AE75" s="85"/>
      <c r="AF75" s="85"/>
      <c r="AG75" s="85"/>
      <c r="AH75" s="85"/>
      <c r="AI75" s="85"/>
      <c r="AJ75" s="85"/>
      <c r="AK75" s="85"/>
      <c r="AL75" s="85"/>
      <c r="AM75" s="85"/>
      <c r="AN75" s="85"/>
      <c r="AO75" s="85"/>
      <c r="AP75" s="85"/>
      <c r="AQ75" s="85"/>
      <c r="AR75" s="85"/>
      <c r="AS75" s="85"/>
      <c r="AT75" s="85"/>
      <c r="AU75" s="85"/>
      <c r="AV75" s="85"/>
      <c r="AW75" s="85"/>
      <c r="AX75" s="85"/>
      <c r="AY75" s="85"/>
      <c r="AZ75" s="85"/>
      <c r="BA75" s="85"/>
      <c r="BB75" s="85"/>
      <c r="BC75" s="85"/>
      <c r="BD75" s="85" t="str">
        <f>IFERROR(IF(INDEX('Criterio de matriz competencias'!$F:$F,MATCH(BD$1,'Criterio de matriz competencias'!$A:$A,0))="Todos","X",""),"")</f>
        <v/>
      </c>
      <c r="BE75" s="85" t="str">
        <f>IFERROR(IF(INDEX('Criterio de matriz competencias'!$F:$F,MATCH(BE$1,'Criterio de matriz competencias'!$A:$A,0))="Todos","X",""),"")</f>
        <v/>
      </c>
      <c r="BF75" s="85" t="str">
        <f>IFERROR(IF(INDEX('Criterio de matriz competencias'!$F:$F,MATCH(BF$1,'Criterio de matriz competencias'!$A:$A,0))="Todos","X",""),"")</f>
        <v/>
      </c>
      <c r="BG75" s="85" t="str">
        <f>IFERROR(IF(INDEX('Criterio de matriz competencias'!$F:$F,MATCH(BG$1,'Criterio de matriz competencias'!$A:$A,0))="Todos","X",""),"")</f>
        <v/>
      </c>
      <c r="BH75" s="85" t="str">
        <f>IFERROR(IF(INDEX('Criterio de matriz competencias'!$F:$F,MATCH(BH$1,'Criterio de matriz competencias'!$A:$A,0))="Todos","X",""),"")</f>
        <v/>
      </c>
      <c r="BI75" s="85" t="str">
        <f>IFERROR(IF(INDEX('Criterio de matriz competencias'!$F:$F,MATCH(BI$1,'Criterio de matriz competencias'!$A:$A,0))="Todos","X",""),"")</f>
        <v/>
      </c>
      <c r="BJ75" s="85" t="str">
        <f>IFERROR(IF(INDEX('Criterio de matriz competencias'!$F:$F,MATCH(BJ$1,'Criterio de matriz competencias'!$A:$A,0))="Todos","X",""),"")</f>
        <v/>
      </c>
    </row>
    <row r="76" spans="1:62" x14ac:dyDescent="0.3">
      <c r="A76" s="134"/>
      <c r="B76" s="134"/>
      <c r="C76" s="85"/>
      <c r="D76" s="85"/>
      <c r="E76" s="85"/>
      <c r="F76" s="85"/>
      <c r="G76" s="85"/>
      <c r="H76" s="85"/>
      <c r="I76" s="85"/>
      <c r="J76" s="85"/>
      <c r="K76" s="85"/>
      <c r="L76" s="85"/>
      <c r="M76" s="85"/>
      <c r="N76" s="85"/>
      <c r="O76" s="85"/>
      <c r="P76" s="85"/>
      <c r="Q76" s="85"/>
      <c r="R76" s="85"/>
      <c r="S76" s="85"/>
      <c r="T76" s="85"/>
      <c r="U76" s="85"/>
      <c r="V76" s="85"/>
      <c r="W76" s="85"/>
      <c r="X76" s="85"/>
      <c r="Y76" s="85"/>
      <c r="Z76" s="85"/>
      <c r="AA76" s="85"/>
      <c r="AB76" s="85"/>
      <c r="AC76" s="85"/>
      <c r="AD76" s="85"/>
      <c r="AE76" s="85"/>
      <c r="AF76" s="85"/>
      <c r="AG76" s="85"/>
      <c r="AH76" s="85"/>
      <c r="AI76" s="85"/>
      <c r="AJ76" s="85"/>
      <c r="AK76" s="85"/>
      <c r="AL76" s="85"/>
      <c r="AM76" s="85"/>
      <c r="AN76" s="85"/>
      <c r="AO76" s="85"/>
      <c r="AP76" s="85"/>
      <c r="AQ76" s="85"/>
      <c r="AR76" s="85"/>
      <c r="AS76" s="85"/>
      <c r="AT76" s="85"/>
      <c r="AU76" s="85"/>
      <c r="AV76" s="85"/>
      <c r="AW76" s="85"/>
      <c r="AX76" s="85"/>
      <c r="AY76" s="85"/>
      <c r="AZ76" s="85"/>
      <c r="BA76" s="85"/>
      <c r="BB76" s="85"/>
      <c r="BC76" s="85"/>
      <c r="BD76" s="85" t="str">
        <f>IFERROR(IF(INDEX('Criterio de matriz competencias'!$F:$F,MATCH(BD$1,'Criterio de matriz competencias'!$A:$A,0))="Todos","X",""),"")</f>
        <v/>
      </c>
      <c r="BE76" s="85" t="str">
        <f>IFERROR(IF(INDEX('Criterio de matriz competencias'!$F:$F,MATCH(BE$1,'Criterio de matriz competencias'!$A:$A,0))="Todos","X",""),"")</f>
        <v/>
      </c>
      <c r="BF76" s="85" t="str">
        <f>IFERROR(IF(INDEX('Criterio de matriz competencias'!$F:$F,MATCH(BF$1,'Criterio de matriz competencias'!$A:$A,0))="Todos","X",""),"")</f>
        <v/>
      </c>
      <c r="BG76" s="85" t="str">
        <f>IFERROR(IF(INDEX('Criterio de matriz competencias'!$F:$F,MATCH(BG$1,'Criterio de matriz competencias'!$A:$A,0))="Todos","X",""),"")</f>
        <v/>
      </c>
      <c r="BH76" s="85" t="str">
        <f>IFERROR(IF(INDEX('Criterio de matriz competencias'!$F:$F,MATCH(BH$1,'Criterio de matriz competencias'!$A:$A,0))="Todos","X",""),"")</f>
        <v/>
      </c>
      <c r="BI76" s="85" t="str">
        <f>IFERROR(IF(INDEX('Criterio de matriz competencias'!$F:$F,MATCH(BI$1,'Criterio de matriz competencias'!$A:$A,0))="Todos","X",""),"")</f>
        <v/>
      </c>
      <c r="BJ76" s="85" t="str">
        <f>IFERROR(IF(INDEX('Criterio de matriz competencias'!$F:$F,MATCH(BJ$1,'Criterio de matriz competencias'!$A:$A,0))="Todos","X",""),"")</f>
        <v/>
      </c>
    </row>
    <row r="77" spans="1:62" x14ac:dyDescent="0.3">
      <c r="A77" s="134"/>
      <c r="B77" s="134"/>
      <c r="C77" s="85"/>
      <c r="D77" s="85"/>
      <c r="E77" s="85"/>
      <c r="F77" s="85"/>
      <c r="G77" s="85"/>
      <c r="H77" s="85"/>
      <c r="I77" s="85"/>
      <c r="J77" s="85"/>
      <c r="K77" s="85"/>
      <c r="L77" s="85"/>
      <c r="M77" s="85"/>
      <c r="N77" s="85"/>
      <c r="O77" s="85"/>
      <c r="P77" s="85"/>
      <c r="Q77" s="85"/>
      <c r="R77" s="85"/>
      <c r="S77" s="85"/>
      <c r="T77" s="85"/>
      <c r="U77" s="85"/>
      <c r="V77" s="85"/>
      <c r="W77" s="85"/>
      <c r="X77" s="85"/>
      <c r="Y77" s="85"/>
      <c r="Z77" s="85"/>
      <c r="AA77" s="85"/>
      <c r="AB77" s="85"/>
      <c r="AC77" s="85"/>
      <c r="AD77" s="85"/>
      <c r="AE77" s="85"/>
      <c r="AF77" s="85"/>
      <c r="AG77" s="85"/>
      <c r="AH77" s="85"/>
      <c r="AI77" s="85"/>
      <c r="AJ77" s="85"/>
      <c r="AK77" s="85"/>
      <c r="AL77" s="85"/>
      <c r="AM77" s="85"/>
      <c r="AN77" s="85"/>
      <c r="AO77" s="85"/>
      <c r="AP77" s="85"/>
      <c r="AQ77" s="85"/>
      <c r="AR77" s="85"/>
      <c r="AS77" s="85"/>
      <c r="AT77" s="85"/>
      <c r="AU77" s="85"/>
      <c r="AV77" s="85"/>
      <c r="AW77" s="85"/>
      <c r="AX77" s="85"/>
      <c r="AY77" s="85"/>
      <c r="AZ77" s="85"/>
      <c r="BA77" s="85"/>
      <c r="BB77" s="85"/>
      <c r="BC77" s="85"/>
      <c r="BD77" s="85" t="str">
        <f>IFERROR(IF(INDEX('Criterio de matriz competencias'!$F:$F,MATCH(BD$1,'Criterio de matriz competencias'!$A:$A,0))="Todos","X",""),"")</f>
        <v/>
      </c>
      <c r="BE77" s="85" t="str">
        <f>IFERROR(IF(INDEX('Criterio de matriz competencias'!$F:$F,MATCH(BE$1,'Criterio de matriz competencias'!$A:$A,0))="Todos","X",""),"")</f>
        <v/>
      </c>
      <c r="BF77" s="85" t="str">
        <f>IFERROR(IF(INDEX('Criterio de matriz competencias'!$F:$F,MATCH(BF$1,'Criterio de matriz competencias'!$A:$A,0))="Todos","X",""),"")</f>
        <v/>
      </c>
      <c r="BG77" s="85" t="str">
        <f>IFERROR(IF(INDEX('Criterio de matriz competencias'!$F:$F,MATCH(BG$1,'Criterio de matriz competencias'!$A:$A,0))="Todos","X",""),"")</f>
        <v/>
      </c>
      <c r="BH77" s="85" t="str">
        <f>IFERROR(IF(INDEX('Criterio de matriz competencias'!$F:$F,MATCH(BH$1,'Criterio de matriz competencias'!$A:$A,0))="Todos","X",""),"")</f>
        <v/>
      </c>
      <c r="BI77" s="85" t="str">
        <f>IFERROR(IF(INDEX('Criterio de matriz competencias'!$F:$F,MATCH(BI$1,'Criterio de matriz competencias'!$A:$A,0))="Todos","X",""),"")</f>
        <v/>
      </c>
      <c r="BJ77" s="85" t="str">
        <f>IFERROR(IF(INDEX('Criterio de matriz competencias'!$F:$F,MATCH(BJ$1,'Criterio de matriz competencias'!$A:$A,0))="Todos","X",""),"")</f>
        <v/>
      </c>
    </row>
    <row r="78" spans="1:62" x14ac:dyDescent="0.3">
      <c r="A78" s="134"/>
      <c r="B78" s="134"/>
      <c r="C78" s="85"/>
      <c r="D78" s="85"/>
      <c r="E78" s="85"/>
      <c r="F78" s="85"/>
      <c r="G78" s="85"/>
      <c r="H78" s="85"/>
      <c r="I78" s="85"/>
      <c r="J78" s="85"/>
      <c r="K78" s="85"/>
      <c r="L78" s="85"/>
      <c r="M78" s="85"/>
      <c r="N78" s="85"/>
      <c r="O78" s="85"/>
      <c r="P78" s="85"/>
      <c r="Q78" s="85"/>
      <c r="R78" s="85"/>
      <c r="S78" s="85"/>
      <c r="T78" s="85"/>
      <c r="U78" s="85"/>
      <c r="V78" s="85"/>
      <c r="W78" s="85"/>
      <c r="X78" s="85"/>
      <c r="Y78" s="85"/>
      <c r="Z78" s="85"/>
      <c r="AA78" s="85"/>
      <c r="AB78" s="85"/>
      <c r="AC78" s="85"/>
      <c r="AD78" s="85"/>
      <c r="AE78" s="85"/>
      <c r="AF78" s="85"/>
      <c r="AG78" s="85"/>
      <c r="AH78" s="85"/>
      <c r="AI78" s="85"/>
      <c r="AJ78" s="85"/>
      <c r="AK78" s="85"/>
      <c r="AL78" s="85"/>
      <c r="AM78" s="85"/>
      <c r="AN78" s="85"/>
      <c r="AO78" s="85"/>
      <c r="AP78" s="85"/>
      <c r="AQ78" s="85"/>
      <c r="AR78" s="85"/>
      <c r="AS78" s="85"/>
      <c r="AT78" s="85"/>
      <c r="AU78" s="85"/>
      <c r="AV78" s="85"/>
      <c r="AW78" s="85"/>
      <c r="AX78" s="85"/>
      <c r="AY78" s="85"/>
      <c r="AZ78" s="85"/>
      <c r="BA78" s="85"/>
      <c r="BB78" s="85"/>
      <c r="BC78" s="85"/>
      <c r="BD78" s="85" t="str">
        <f>IFERROR(IF(INDEX('Criterio de matriz competencias'!$F:$F,MATCH(BD$1,'Criterio de matriz competencias'!$A:$A,0))="Todos","X",""),"")</f>
        <v/>
      </c>
      <c r="BE78" s="85" t="str">
        <f>IFERROR(IF(INDEX('Criterio de matriz competencias'!$F:$F,MATCH(BE$1,'Criterio de matriz competencias'!$A:$A,0))="Todos","X",""),"")</f>
        <v/>
      </c>
      <c r="BF78" s="85" t="str">
        <f>IFERROR(IF(INDEX('Criterio de matriz competencias'!$F:$F,MATCH(BF$1,'Criterio de matriz competencias'!$A:$A,0))="Todos","X",""),"")</f>
        <v/>
      </c>
      <c r="BG78" s="85" t="str">
        <f>IFERROR(IF(INDEX('Criterio de matriz competencias'!$F:$F,MATCH(BG$1,'Criterio de matriz competencias'!$A:$A,0))="Todos","X",""),"")</f>
        <v/>
      </c>
      <c r="BH78" s="85" t="str">
        <f>IFERROR(IF(INDEX('Criterio de matriz competencias'!$F:$F,MATCH(BH$1,'Criterio de matriz competencias'!$A:$A,0))="Todos","X",""),"")</f>
        <v/>
      </c>
      <c r="BI78" s="85" t="str">
        <f>IFERROR(IF(INDEX('Criterio de matriz competencias'!$F:$F,MATCH(BI$1,'Criterio de matriz competencias'!$A:$A,0))="Todos","X",""),"")</f>
        <v/>
      </c>
      <c r="BJ78" s="85" t="str">
        <f>IFERROR(IF(INDEX('Criterio de matriz competencias'!$F:$F,MATCH(BJ$1,'Criterio de matriz competencias'!$A:$A,0))="Todos","X",""),"")</f>
        <v/>
      </c>
    </row>
    <row r="79" spans="1:62" x14ac:dyDescent="0.3">
      <c r="A79" s="134"/>
      <c r="B79" s="134"/>
      <c r="C79" s="85"/>
      <c r="D79" s="85"/>
      <c r="E79" s="85"/>
      <c r="F79" s="85"/>
      <c r="G79" s="85"/>
      <c r="H79" s="85"/>
      <c r="I79" s="85"/>
      <c r="J79" s="85"/>
      <c r="K79" s="85"/>
      <c r="L79" s="85"/>
      <c r="M79" s="85"/>
      <c r="N79" s="85"/>
      <c r="O79" s="85"/>
      <c r="P79" s="85"/>
      <c r="Q79" s="85"/>
      <c r="R79" s="85"/>
      <c r="S79" s="85"/>
      <c r="T79" s="85"/>
      <c r="U79" s="85"/>
      <c r="V79" s="85"/>
      <c r="W79" s="85"/>
      <c r="X79" s="85"/>
      <c r="Y79" s="85"/>
      <c r="Z79" s="85"/>
      <c r="AA79" s="85"/>
      <c r="AB79" s="85"/>
      <c r="AC79" s="85"/>
      <c r="AD79" s="85"/>
      <c r="AE79" s="85"/>
      <c r="AF79" s="85"/>
      <c r="AG79" s="85"/>
      <c r="AH79" s="85"/>
      <c r="AI79" s="85"/>
      <c r="AJ79" s="85"/>
      <c r="AK79" s="85"/>
      <c r="AL79" s="85"/>
      <c r="AM79" s="85"/>
      <c r="AN79" s="85"/>
      <c r="AO79" s="85"/>
      <c r="AP79" s="85"/>
      <c r="AQ79" s="85"/>
      <c r="AR79" s="85"/>
      <c r="AS79" s="85"/>
      <c r="AT79" s="85"/>
      <c r="AU79" s="85"/>
      <c r="AV79" s="85"/>
      <c r="AW79" s="85"/>
      <c r="AX79" s="85"/>
      <c r="AY79" s="85"/>
      <c r="AZ79" s="85"/>
      <c r="BA79" s="85"/>
      <c r="BB79" s="85"/>
      <c r="BC79" s="85"/>
      <c r="BD79" s="85" t="str">
        <f>IFERROR(IF(INDEX('Criterio de matriz competencias'!$F:$F,MATCH(BD$1,'Criterio de matriz competencias'!$A:$A,0))="Todos","X",""),"")</f>
        <v/>
      </c>
      <c r="BE79" s="85" t="str">
        <f>IFERROR(IF(INDEX('Criterio de matriz competencias'!$F:$F,MATCH(BE$1,'Criterio de matriz competencias'!$A:$A,0))="Todos","X",""),"")</f>
        <v/>
      </c>
      <c r="BF79" s="85" t="str">
        <f>IFERROR(IF(INDEX('Criterio de matriz competencias'!$F:$F,MATCH(BF$1,'Criterio de matriz competencias'!$A:$A,0))="Todos","X",""),"")</f>
        <v/>
      </c>
      <c r="BG79" s="85" t="str">
        <f>IFERROR(IF(INDEX('Criterio de matriz competencias'!$F:$F,MATCH(BG$1,'Criterio de matriz competencias'!$A:$A,0))="Todos","X",""),"")</f>
        <v/>
      </c>
      <c r="BH79" s="85" t="str">
        <f>IFERROR(IF(INDEX('Criterio de matriz competencias'!$F:$F,MATCH(BH$1,'Criterio de matriz competencias'!$A:$A,0))="Todos","X",""),"")</f>
        <v/>
      </c>
      <c r="BI79" s="85" t="str">
        <f>IFERROR(IF(INDEX('Criterio de matriz competencias'!$F:$F,MATCH(BI$1,'Criterio de matriz competencias'!$A:$A,0))="Todos","X",""),"")</f>
        <v/>
      </c>
      <c r="BJ79" s="85" t="str">
        <f>IFERROR(IF(INDEX('Criterio de matriz competencias'!$F:$F,MATCH(BJ$1,'Criterio de matriz competencias'!$A:$A,0))="Todos","X",""),"")</f>
        <v/>
      </c>
    </row>
    <row r="80" spans="1:62" x14ac:dyDescent="0.3">
      <c r="A80" s="134"/>
      <c r="B80" s="134"/>
      <c r="C80" s="85"/>
      <c r="D80" s="85"/>
      <c r="E80" s="85"/>
      <c r="F80" s="85"/>
      <c r="G80" s="85"/>
      <c r="H80" s="85"/>
      <c r="I80" s="85"/>
      <c r="J80" s="85"/>
      <c r="K80" s="85"/>
      <c r="L80" s="85"/>
      <c r="M80" s="85"/>
      <c r="N80" s="85"/>
      <c r="O80" s="85"/>
      <c r="P80" s="85"/>
      <c r="Q80" s="85"/>
      <c r="R80" s="85"/>
      <c r="S80" s="85"/>
      <c r="T80" s="85"/>
      <c r="U80" s="85"/>
      <c r="V80" s="85"/>
      <c r="W80" s="85"/>
      <c r="X80" s="85"/>
      <c r="Y80" s="85"/>
      <c r="Z80" s="85"/>
      <c r="AA80" s="85"/>
      <c r="AB80" s="85"/>
      <c r="AC80" s="85"/>
      <c r="AD80" s="85"/>
      <c r="AE80" s="85"/>
      <c r="AF80" s="85"/>
      <c r="AG80" s="85"/>
      <c r="AH80" s="85"/>
      <c r="AI80" s="85"/>
      <c r="AJ80" s="85"/>
      <c r="AK80" s="85"/>
      <c r="AL80" s="85"/>
      <c r="AM80" s="85"/>
      <c r="AN80" s="85"/>
      <c r="AO80" s="85"/>
      <c r="AP80" s="85"/>
      <c r="AQ80" s="85"/>
      <c r="AR80" s="85"/>
      <c r="AS80" s="85"/>
      <c r="AT80" s="85"/>
      <c r="AU80" s="85"/>
      <c r="AV80" s="85"/>
      <c r="AW80" s="85"/>
      <c r="AX80" s="85"/>
      <c r="AY80" s="85"/>
      <c r="AZ80" s="85"/>
      <c r="BA80" s="85"/>
      <c r="BB80" s="85"/>
      <c r="BC80" s="85"/>
      <c r="BD80" s="85" t="str">
        <f>IFERROR(IF(INDEX('Criterio de matriz competencias'!$F:$F,MATCH(BD$1,'Criterio de matriz competencias'!$A:$A,0))="Todos","X",""),"")</f>
        <v/>
      </c>
      <c r="BE80" s="85" t="str">
        <f>IFERROR(IF(INDEX('Criterio de matriz competencias'!$F:$F,MATCH(BE$1,'Criterio de matriz competencias'!$A:$A,0))="Todos","X",""),"")</f>
        <v/>
      </c>
      <c r="BF80" s="85" t="str">
        <f>IFERROR(IF(INDEX('Criterio de matriz competencias'!$F:$F,MATCH(BF$1,'Criterio de matriz competencias'!$A:$A,0))="Todos","X",""),"")</f>
        <v/>
      </c>
      <c r="BG80" s="85" t="str">
        <f>IFERROR(IF(INDEX('Criterio de matriz competencias'!$F:$F,MATCH(BG$1,'Criterio de matriz competencias'!$A:$A,0))="Todos","X",""),"")</f>
        <v/>
      </c>
      <c r="BH80" s="85" t="str">
        <f>IFERROR(IF(INDEX('Criterio de matriz competencias'!$F:$F,MATCH(BH$1,'Criterio de matriz competencias'!$A:$A,0))="Todos","X",""),"")</f>
        <v/>
      </c>
      <c r="BI80" s="85" t="str">
        <f>IFERROR(IF(INDEX('Criterio de matriz competencias'!$F:$F,MATCH(BI$1,'Criterio de matriz competencias'!$A:$A,0))="Todos","X",""),"")</f>
        <v/>
      </c>
      <c r="BJ80" s="85" t="str">
        <f>IFERROR(IF(INDEX('Criterio de matriz competencias'!$F:$F,MATCH(BJ$1,'Criterio de matriz competencias'!$A:$A,0))="Todos","X",""),"")</f>
        <v/>
      </c>
    </row>
    <row r="81" spans="1:62" x14ac:dyDescent="0.3">
      <c r="A81" s="134"/>
      <c r="B81" s="134"/>
      <c r="C81" s="85"/>
      <c r="D81" s="85"/>
      <c r="E81" s="85"/>
      <c r="F81" s="85"/>
      <c r="G81" s="85"/>
      <c r="H81" s="85"/>
      <c r="I81" s="85"/>
      <c r="J81" s="85"/>
      <c r="K81" s="85"/>
      <c r="L81" s="85"/>
      <c r="M81" s="85"/>
      <c r="N81" s="85"/>
      <c r="O81" s="85"/>
      <c r="P81" s="85"/>
      <c r="Q81" s="85"/>
      <c r="R81" s="85"/>
      <c r="S81" s="85"/>
      <c r="T81" s="85"/>
      <c r="U81" s="85"/>
      <c r="V81" s="85"/>
      <c r="W81" s="85"/>
      <c r="X81" s="85"/>
      <c r="Y81" s="85"/>
      <c r="Z81" s="85"/>
      <c r="AA81" s="85"/>
      <c r="AB81" s="85"/>
      <c r="AC81" s="85"/>
      <c r="AD81" s="85"/>
      <c r="AE81" s="85"/>
      <c r="AF81" s="85"/>
      <c r="AG81" s="85"/>
      <c r="AH81" s="85"/>
      <c r="AI81" s="85"/>
      <c r="AJ81" s="85"/>
      <c r="AK81" s="85"/>
      <c r="AL81" s="85"/>
      <c r="AM81" s="85"/>
      <c r="AN81" s="85"/>
      <c r="AO81" s="85"/>
      <c r="AP81" s="85"/>
      <c r="AQ81" s="85"/>
      <c r="AR81" s="85"/>
      <c r="AS81" s="85"/>
      <c r="AT81" s="85"/>
      <c r="AU81" s="85"/>
      <c r="AV81" s="85"/>
      <c r="AW81" s="85"/>
      <c r="AX81" s="85"/>
      <c r="AY81" s="85"/>
      <c r="AZ81" s="85"/>
      <c r="BA81" s="85"/>
      <c r="BB81" s="85"/>
      <c r="BC81" s="85"/>
      <c r="BD81" s="85" t="str">
        <f>IFERROR(IF(INDEX('Criterio de matriz competencias'!$F:$F,MATCH(BD$1,'Criterio de matriz competencias'!$A:$A,0))="Todos","X",""),"")</f>
        <v/>
      </c>
      <c r="BE81" s="85" t="str">
        <f>IFERROR(IF(INDEX('Criterio de matriz competencias'!$F:$F,MATCH(BE$1,'Criterio de matriz competencias'!$A:$A,0))="Todos","X",""),"")</f>
        <v/>
      </c>
      <c r="BF81" s="85" t="str">
        <f>IFERROR(IF(INDEX('Criterio de matriz competencias'!$F:$F,MATCH(BF$1,'Criterio de matriz competencias'!$A:$A,0))="Todos","X",""),"")</f>
        <v/>
      </c>
      <c r="BG81" s="85" t="str">
        <f>IFERROR(IF(INDEX('Criterio de matriz competencias'!$F:$F,MATCH(BG$1,'Criterio de matriz competencias'!$A:$A,0))="Todos","X",""),"")</f>
        <v/>
      </c>
      <c r="BH81" s="85" t="str">
        <f>IFERROR(IF(INDEX('Criterio de matriz competencias'!$F:$F,MATCH(BH$1,'Criterio de matriz competencias'!$A:$A,0))="Todos","X",""),"")</f>
        <v/>
      </c>
      <c r="BI81" s="85" t="str">
        <f>IFERROR(IF(INDEX('Criterio de matriz competencias'!$F:$F,MATCH(BI$1,'Criterio de matriz competencias'!$A:$A,0))="Todos","X",""),"")</f>
        <v/>
      </c>
      <c r="BJ81" s="85" t="str">
        <f>IFERROR(IF(INDEX('Criterio de matriz competencias'!$F:$F,MATCH(BJ$1,'Criterio de matriz competencias'!$A:$A,0))="Todos","X",""),"")</f>
        <v/>
      </c>
    </row>
    <row r="82" spans="1:62" x14ac:dyDescent="0.3">
      <c r="A82" s="134"/>
      <c r="B82" s="134"/>
      <c r="C82" s="85"/>
      <c r="D82" s="85"/>
      <c r="E82" s="85"/>
      <c r="F82" s="85"/>
      <c r="G82" s="85"/>
      <c r="H82" s="85"/>
      <c r="I82" s="85"/>
      <c r="J82" s="85"/>
      <c r="K82" s="85"/>
      <c r="L82" s="85"/>
      <c r="M82" s="85"/>
      <c r="N82" s="85"/>
      <c r="O82" s="85"/>
      <c r="P82" s="85"/>
      <c r="Q82" s="85"/>
      <c r="R82" s="85"/>
      <c r="S82" s="85"/>
      <c r="T82" s="85"/>
      <c r="U82" s="85"/>
      <c r="V82" s="85"/>
      <c r="W82" s="85"/>
      <c r="X82" s="85"/>
      <c r="Y82" s="85"/>
      <c r="Z82" s="85"/>
      <c r="AA82" s="85"/>
      <c r="AB82" s="85"/>
      <c r="AC82" s="85"/>
      <c r="AD82" s="85"/>
      <c r="AE82" s="85"/>
      <c r="AF82" s="85"/>
      <c r="AG82" s="85"/>
      <c r="AH82" s="85"/>
      <c r="AI82" s="85"/>
      <c r="AJ82" s="85"/>
      <c r="AK82" s="85"/>
      <c r="AL82" s="85"/>
      <c r="AM82" s="85"/>
      <c r="AN82" s="85"/>
      <c r="AO82" s="85"/>
      <c r="AP82" s="85"/>
      <c r="AQ82" s="85"/>
      <c r="AR82" s="85"/>
      <c r="AS82" s="85"/>
      <c r="AT82" s="85"/>
      <c r="AU82" s="85"/>
      <c r="AV82" s="85"/>
      <c r="AW82" s="85"/>
      <c r="AX82" s="85"/>
      <c r="AY82" s="85"/>
      <c r="AZ82" s="85"/>
      <c r="BA82" s="85"/>
      <c r="BB82" s="85"/>
      <c r="BC82" s="85"/>
      <c r="BD82" s="85" t="str">
        <f>IFERROR(IF(INDEX('Criterio de matriz competencias'!$F:$F,MATCH(BD$1,'Criterio de matriz competencias'!$A:$A,0))="Todos","X",""),"")</f>
        <v/>
      </c>
      <c r="BE82" s="85" t="str">
        <f>IFERROR(IF(INDEX('Criterio de matriz competencias'!$F:$F,MATCH(BE$1,'Criterio de matriz competencias'!$A:$A,0))="Todos","X",""),"")</f>
        <v/>
      </c>
      <c r="BF82" s="85" t="str">
        <f>IFERROR(IF(INDEX('Criterio de matriz competencias'!$F:$F,MATCH(BF$1,'Criterio de matriz competencias'!$A:$A,0))="Todos","X",""),"")</f>
        <v/>
      </c>
      <c r="BG82" s="85" t="str">
        <f>IFERROR(IF(INDEX('Criterio de matriz competencias'!$F:$F,MATCH(BG$1,'Criterio de matriz competencias'!$A:$A,0))="Todos","X",""),"")</f>
        <v/>
      </c>
      <c r="BH82" s="85" t="str">
        <f>IFERROR(IF(INDEX('Criterio de matriz competencias'!$F:$F,MATCH(BH$1,'Criterio de matriz competencias'!$A:$A,0))="Todos","X",""),"")</f>
        <v/>
      </c>
      <c r="BI82" s="85" t="str">
        <f>IFERROR(IF(INDEX('Criterio de matriz competencias'!$F:$F,MATCH(BI$1,'Criterio de matriz competencias'!$A:$A,0))="Todos","X",""),"")</f>
        <v/>
      </c>
      <c r="BJ82" s="85" t="str">
        <f>IFERROR(IF(INDEX('Criterio de matriz competencias'!$F:$F,MATCH(BJ$1,'Criterio de matriz competencias'!$A:$A,0))="Todos","X",""),"")</f>
        <v/>
      </c>
    </row>
    <row r="83" spans="1:62" x14ac:dyDescent="0.3">
      <c r="A83" s="134"/>
      <c r="B83" s="134"/>
      <c r="C83" s="85"/>
      <c r="D83" s="85"/>
      <c r="E83" s="85"/>
      <c r="F83" s="85"/>
      <c r="G83" s="85"/>
      <c r="H83" s="85"/>
      <c r="I83" s="85"/>
      <c r="J83" s="85"/>
      <c r="K83" s="85"/>
      <c r="L83" s="85"/>
      <c r="M83" s="85"/>
      <c r="N83" s="85"/>
      <c r="O83" s="85"/>
      <c r="P83" s="85"/>
      <c r="Q83" s="85"/>
      <c r="R83" s="85"/>
      <c r="S83" s="85"/>
      <c r="T83" s="85"/>
      <c r="U83" s="85"/>
      <c r="V83" s="85"/>
      <c r="W83" s="85"/>
      <c r="X83" s="85"/>
      <c r="Y83" s="85"/>
      <c r="Z83" s="85"/>
      <c r="AA83" s="85"/>
      <c r="AB83" s="85"/>
      <c r="AC83" s="85"/>
      <c r="AD83" s="85"/>
      <c r="AE83" s="85"/>
      <c r="AF83" s="85"/>
      <c r="AG83" s="85"/>
      <c r="AH83" s="85"/>
      <c r="AI83" s="85"/>
      <c r="AJ83" s="85"/>
      <c r="AK83" s="85"/>
      <c r="AL83" s="85"/>
      <c r="AM83" s="85"/>
      <c r="AN83" s="85"/>
      <c r="AO83" s="85"/>
      <c r="AP83" s="85"/>
      <c r="AQ83" s="85"/>
      <c r="AR83" s="85"/>
      <c r="AS83" s="85"/>
      <c r="AT83" s="85"/>
      <c r="AU83" s="85"/>
      <c r="AV83" s="85"/>
      <c r="AW83" s="85"/>
      <c r="AX83" s="85"/>
      <c r="AY83" s="85"/>
      <c r="AZ83" s="85"/>
      <c r="BA83" s="85"/>
      <c r="BB83" s="85"/>
      <c r="BC83" s="85"/>
      <c r="BD83" s="85" t="str">
        <f>IFERROR(IF(INDEX('Criterio de matriz competencias'!$F:$F,MATCH(BD$1,'Criterio de matriz competencias'!$A:$A,0))="Todos","X",""),"")</f>
        <v/>
      </c>
      <c r="BE83" s="85" t="str">
        <f>IFERROR(IF(INDEX('Criterio de matriz competencias'!$F:$F,MATCH(BE$1,'Criterio de matriz competencias'!$A:$A,0))="Todos","X",""),"")</f>
        <v/>
      </c>
      <c r="BF83" s="85" t="str">
        <f>IFERROR(IF(INDEX('Criterio de matriz competencias'!$F:$F,MATCH(BF$1,'Criterio de matriz competencias'!$A:$A,0))="Todos","X",""),"")</f>
        <v/>
      </c>
      <c r="BG83" s="85" t="str">
        <f>IFERROR(IF(INDEX('Criterio de matriz competencias'!$F:$F,MATCH(BG$1,'Criterio de matriz competencias'!$A:$A,0))="Todos","X",""),"")</f>
        <v/>
      </c>
      <c r="BH83" s="85" t="str">
        <f>IFERROR(IF(INDEX('Criterio de matriz competencias'!$F:$F,MATCH(BH$1,'Criterio de matriz competencias'!$A:$A,0))="Todos","X",""),"")</f>
        <v/>
      </c>
      <c r="BI83" s="85" t="str">
        <f>IFERROR(IF(INDEX('Criterio de matriz competencias'!$F:$F,MATCH(BI$1,'Criterio de matriz competencias'!$A:$A,0))="Todos","X",""),"")</f>
        <v/>
      </c>
      <c r="BJ83" s="85" t="str">
        <f>IFERROR(IF(INDEX('Criterio de matriz competencias'!$F:$F,MATCH(BJ$1,'Criterio de matriz competencias'!$A:$A,0))="Todos","X",""),"")</f>
        <v/>
      </c>
    </row>
    <row r="84" spans="1:62" x14ac:dyDescent="0.3">
      <c r="A84" s="134"/>
      <c r="B84" s="134"/>
      <c r="C84" s="85"/>
      <c r="D84" s="85"/>
      <c r="E84" s="85"/>
      <c r="F84" s="85"/>
      <c r="G84" s="85"/>
      <c r="H84" s="85"/>
      <c r="I84" s="85"/>
      <c r="J84" s="85"/>
      <c r="K84" s="85"/>
      <c r="L84" s="85"/>
      <c r="M84" s="85"/>
      <c r="N84" s="85"/>
      <c r="O84" s="85"/>
      <c r="P84" s="85"/>
      <c r="Q84" s="85"/>
      <c r="R84" s="85"/>
      <c r="S84" s="85"/>
      <c r="T84" s="85"/>
      <c r="U84" s="85"/>
      <c r="V84" s="85"/>
      <c r="W84" s="85"/>
      <c r="X84" s="85"/>
      <c r="Y84" s="85"/>
      <c r="Z84" s="85"/>
      <c r="AA84" s="85"/>
      <c r="AB84" s="85"/>
      <c r="AC84" s="85"/>
      <c r="AD84" s="85"/>
      <c r="AE84" s="85"/>
      <c r="AF84" s="85"/>
      <c r="AG84" s="85"/>
      <c r="AH84" s="85"/>
      <c r="AI84" s="85"/>
      <c r="AJ84" s="85"/>
      <c r="AK84" s="85"/>
      <c r="AL84" s="85"/>
      <c r="AM84" s="85"/>
      <c r="AN84" s="85"/>
      <c r="AO84" s="85"/>
      <c r="AP84" s="85"/>
      <c r="AQ84" s="85"/>
      <c r="AR84" s="85"/>
      <c r="AS84" s="85"/>
      <c r="AT84" s="85"/>
      <c r="AU84" s="85"/>
      <c r="AV84" s="85"/>
      <c r="AW84" s="85"/>
      <c r="AX84" s="85"/>
      <c r="AY84" s="85"/>
      <c r="AZ84" s="85"/>
      <c r="BA84" s="85"/>
      <c r="BB84" s="85"/>
      <c r="BC84" s="85"/>
      <c r="BD84" s="85" t="str">
        <f>IFERROR(IF(INDEX('Criterio de matriz competencias'!$F:$F,MATCH(BD$1,'Criterio de matriz competencias'!$A:$A,0))="Todos","X",""),"")</f>
        <v/>
      </c>
      <c r="BE84" s="85" t="str">
        <f>IFERROR(IF(INDEX('Criterio de matriz competencias'!$F:$F,MATCH(BE$1,'Criterio de matriz competencias'!$A:$A,0))="Todos","X",""),"")</f>
        <v/>
      </c>
      <c r="BF84" s="85" t="str">
        <f>IFERROR(IF(INDEX('Criterio de matriz competencias'!$F:$F,MATCH(BF$1,'Criterio de matriz competencias'!$A:$A,0))="Todos","X",""),"")</f>
        <v/>
      </c>
      <c r="BG84" s="85" t="str">
        <f>IFERROR(IF(INDEX('Criterio de matriz competencias'!$F:$F,MATCH(BG$1,'Criterio de matriz competencias'!$A:$A,0))="Todos","X",""),"")</f>
        <v/>
      </c>
      <c r="BH84" s="85" t="str">
        <f>IFERROR(IF(INDEX('Criterio de matriz competencias'!$F:$F,MATCH(BH$1,'Criterio de matriz competencias'!$A:$A,0))="Todos","X",""),"")</f>
        <v/>
      </c>
      <c r="BI84" s="85" t="str">
        <f>IFERROR(IF(INDEX('Criterio de matriz competencias'!$F:$F,MATCH(BI$1,'Criterio de matriz competencias'!$A:$A,0))="Todos","X",""),"")</f>
        <v/>
      </c>
      <c r="BJ84" s="85" t="str">
        <f>IFERROR(IF(INDEX('Criterio de matriz competencias'!$F:$F,MATCH(BJ$1,'Criterio de matriz competencias'!$A:$A,0))="Todos","X",""),"")</f>
        <v/>
      </c>
    </row>
    <row r="85" spans="1:62" x14ac:dyDescent="0.3">
      <c r="A85" s="134"/>
      <c r="B85" s="134"/>
      <c r="C85" s="85"/>
      <c r="D85" s="85"/>
      <c r="E85" s="85"/>
      <c r="F85" s="85"/>
      <c r="G85" s="85"/>
      <c r="H85" s="85"/>
      <c r="I85" s="85"/>
      <c r="J85" s="85"/>
      <c r="K85" s="85"/>
      <c r="L85" s="85"/>
      <c r="M85" s="85"/>
      <c r="N85" s="85"/>
      <c r="O85" s="85"/>
      <c r="P85" s="85"/>
      <c r="Q85" s="85"/>
      <c r="R85" s="85"/>
      <c r="S85" s="85"/>
      <c r="T85" s="85"/>
      <c r="U85" s="85"/>
      <c r="V85" s="85"/>
      <c r="W85" s="85"/>
      <c r="X85" s="85"/>
      <c r="Y85" s="85"/>
      <c r="Z85" s="85"/>
      <c r="AA85" s="85"/>
      <c r="AB85" s="85"/>
      <c r="AC85" s="85"/>
      <c r="AD85" s="85"/>
      <c r="AE85" s="85"/>
      <c r="AF85" s="85"/>
      <c r="AG85" s="85"/>
      <c r="AH85" s="85"/>
      <c r="AI85" s="85"/>
      <c r="AJ85" s="85"/>
      <c r="AK85" s="85"/>
      <c r="AL85" s="85"/>
      <c r="AM85" s="85"/>
      <c r="AN85" s="85"/>
      <c r="AO85" s="85"/>
      <c r="AP85" s="85"/>
      <c r="AQ85" s="85"/>
      <c r="AR85" s="85"/>
      <c r="AS85" s="85"/>
      <c r="AT85" s="85"/>
      <c r="AU85" s="85"/>
      <c r="AV85" s="85"/>
      <c r="AW85" s="85"/>
      <c r="AX85" s="85"/>
      <c r="AY85" s="85"/>
      <c r="AZ85" s="85"/>
      <c r="BA85" s="85"/>
      <c r="BB85" s="85"/>
      <c r="BC85" s="85"/>
      <c r="BD85" s="85" t="str">
        <f>IFERROR(IF(INDEX('Criterio de matriz competencias'!$F:$F,MATCH(BD$1,'Criterio de matriz competencias'!$A:$A,0))="Todos","X",""),"")</f>
        <v/>
      </c>
      <c r="BE85" s="85" t="str">
        <f>IFERROR(IF(INDEX('Criterio de matriz competencias'!$F:$F,MATCH(BE$1,'Criterio de matriz competencias'!$A:$A,0))="Todos","X",""),"")</f>
        <v/>
      </c>
      <c r="BF85" s="85" t="str">
        <f>IFERROR(IF(INDEX('Criterio de matriz competencias'!$F:$F,MATCH(BF$1,'Criterio de matriz competencias'!$A:$A,0))="Todos","X",""),"")</f>
        <v/>
      </c>
      <c r="BG85" s="85" t="str">
        <f>IFERROR(IF(INDEX('Criterio de matriz competencias'!$F:$F,MATCH(BG$1,'Criterio de matriz competencias'!$A:$A,0))="Todos","X",""),"")</f>
        <v/>
      </c>
      <c r="BH85" s="85" t="str">
        <f>IFERROR(IF(INDEX('Criterio de matriz competencias'!$F:$F,MATCH(BH$1,'Criterio de matriz competencias'!$A:$A,0))="Todos","X",""),"")</f>
        <v/>
      </c>
      <c r="BI85" s="85" t="str">
        <f>IFERROR(IF(INDEX('Criterio de matriz competencias'!$F:$F,MATCH(BI$1,'Criterio de matriz competencias'!$A:$A,0))="Todos","X",""),"")</f>
        <v/>
      </c>
      <c r="BJ85" s="85" t="str">
        <f>IFERROR(IF(INDEX('Criterio de matriz competencias'!$F:$F,MATCH(BJ$1,'Criterio de matriz competencias'!$A:$A,0))="Todos","X",""),"")</f>
        <v/>
      </c>
    </row>
    <row r="86" spans="1:62" x14ac:dyDescent="0.3">
      <c r="A86" s="134"/>
      <c r="B86" s="134"/>
      <c r="C86" s="85"/>
      <c r="D86" s="85"/>
      <c r="E86" s="85"/>
      <c r="F86" s="85"/>
      <c r="G86" s="85"/>
      <c r="H86" s="85"/>
      <c r="I86" s="85"/>
      <c r="J86" s="85"/>
      <c r="K86" s="85"/>
      <c r="L86" s="85"/>
      <c r="M86" s="85"/>
      <c r="N86" s="85"/>
      <c r="O86" s="85"/>
      <c r="P86" s="85"/>
      <c r="Q86" s="85"/>
      <c r="R86" s="85"/>
      <c r="S86" s="85"/>
      <c r="T86" s="85"/>
      <c r="U86" s="85"/>
      <c r="V86" s="85"/>
      <c r="W86" s="85"/>
      <c r="X86" s="85"/>
      <c r="Y86" s="85"/>
      <c r="Z86" s="85"/>
      <c r="AA86" s="85"/>
      <c r="AB86" s="85"/>
      <c r="AC86" s="85"/>
      <c r="AD86" s="85"/>
      <c r="AE86" s="85"/>
      <c r="AF86" s="85"/>
      <c r="AG86" s="85"/>
      <c r="AH86" s="85"/>
      <c r="AI86" s="85"/>
      <c r="AJ86" s="85"/>
      <c r="AK86" s="85"/>
      <c r="AL86" s="85"/>
      <c r="AM86" s="85"/>
      <c r="AN86" s="85"/>
      <c r="AO86" s="85"/>
      <c r="AP86" s="85"/>
      <c r="AQ86" s="85"/>
      <c r="AR86" s="85"/>
      <c r="AS86" s="85"/>
      <c r="AT86" s="85"/>
      <c r="AU86" s="85"/>
      <c r="AV86" s="85"/>
      <c r="AW86" s="85"/>
      <c r="AX86" s="85"/>
      <c r="AY86" s="85"/>
      <c r="AZ86" s="85"/>
      <c r="BA86" s="85"/>
      <c r="BB86" s="85"/>
      <c r="BC86" s="85"/>
      <c r="BD86" s="85" t="str">
        <f>IFERROR(IF(INDEX('Criterio de matriz competencias'!$F:$F,MATCH(BD$1,'Criterio de matriz competencias'!$A:$A,0))="Todos","X",""),"")</f>
        <v/>
      </c>
      <c r="BE86" s="85" t="str">
        <f>IFERROR(IF(INDEX('Criterio de matriz competencias'!$F:$F,MATCH(BE$1,'Criterio de matriz competencias'!$A:$A,0))="Todos","X",""),"")</f>
        <v/>
      </c>
      <c r="BF86" s="85" t="str">
        <f>IFERROR(IF(INDEX('Criterio de matriz competencias'!$F:$F,MATCH(BF$1,'Criterio de matriz competencias'!$A:$A,0))="Todos","X",""),"")</f>
        <v/>
      </c>
      <c r="BG86" s="85" t="str">
        <f>IFERROR(IF(INDEX('Criterio de matriz competencias'!$F:$F,MATCH(BG$1,'Criterio de matriz competencias'!$A:$A,0))="Todos","X",""),"")</f>
        <v/>
      </c>
      <c r="BH86" s="85" t="str">
        <f>IFERROR(IF(INDEX('Criterio de matriz competencias'!$F:$F,MATCH(BH$1,'Criterio de matriz competencias'!$A:$A,0))="Todos","X",""),"")</f>
        <v/>
      </c>
      <c r="BI86" s="85" t="str">
        <f>IFERROR(IF(INDEX('Criterio de matriz competencias'!$F:$F,MATCH(BI$1,'Criterio de matriz competencias'!$A:$A,0))="Todos","X",""),"")</f>
        <v/>
      </c>
      <c r="BJ86" s="85" t="str">
        <f>IFERROR(IF(INDEX('Criterio de matriz competencias'!$F:$F,MATCH(BJ$1,'Criterio de matriz competencias'!$A:$A,0))="Todos","X",""),"")</f>
        <v/>
      </c>
    </row>
    <row r="87" spans="1:62" x14ac:dyDescent="0.3">
      <c r="A87" s="134"/>
      <c r="B87" s="134"/>
      <c r="C87" s="85"/>
      <c r="D87" s="85"/>
      <c r="E87" s="85"/>
      <c r="F87" s="85"/>
      <c r="G87" s="85"/>
      <c r="H87" s="85"/>
      <c r="I87" s="85"/>
      <c r="J87" s="85"/>
      <c r="K87" s="85"/>
      <c r="L87" s="85"/>
      <c r="M87" s="85"/>
      <c r="N87" s="85"/>
      <c r="O87" s="85"/>
      <c r="P87" s="85"/>
      <c r="Q87" s="85"/>
      <c r="R87" s="85"/>
      <c r="S87" s="85"/>
      <c r="T87" s="85"/>
      <c r="U87" s="85"/>
      <c r="V87" s="85"/>
      <c r="W87" s="85"/>
      <c r="X87" s="85"/>
      <c r="Y87" s="85"/>
      <c r="Z87" s="85"/>
      <c r="AA87" s="85"/>
      <c r="AB87" s="85"/>
      <c r="AC87" s="85"/>
      <c r="AD87" s="85"/>
      <c r="AE87" s="85"/>
      <c r="AF87" s="85"/>
      <c r="AG87" s="85"/>
      <c r="AH87" s="85"/>
      <c r="AI87" s="85"/>
      <c r="AJ87" s="85"/>
      <c r="AK87" s="85"/>
      <c r="AL87" s="85"/>
      <c r="AM87" s="85"/>
      <c r="AN87" s="85"/>
      <c r="AO87" s="85"/>
      <c r="AP87" s="85"/>
      <c r="AQ87" s="85"/>
      <c r="AR87" s="85"/>
      <c r="AS87" s="85"/>
      <c r="AT87" s="85"/>
      <c r="AU87" s="85"/>
      <c r="AV87" s="85"/>
      <c r="AW87" s="85"/>
      <c r="AX87" s="85"/>
      <c r="AY87" s="85"/>
      <c r="AZ87" s="85"/>
      <c r="BA87" s="85"/>
      <c r="BB87" s="85"/>
      <c r="BC87" s="85"/>
      <c r="BD87" s="85" t="str">
        <f>IFERROR(IF(INDEX('Criterio de matriz competencias'!$F:$F,MATCH(BD$1,'Criterio de matriz competencias'!$A:$A,0))="Todos","X",""),"")</f>
        <v/>
      </c>
      <c r="BE87" s="85" t="str">
        <f>IFERROR(IF(INDEX('Criterio de matriz competencias'!$F:$F,MATCH(BE$1,'Criterio de matriz competencias'!$A:$A,0))="Todos","X",""),"")</f>
        <v/>
      </c>
      <c r="BF87" s="85" t="str">
        <f>IFERROR(IF(INDEX('Criterio de matriz competencias'!$F:$F,MATCH(BF$1,'Criterio de matriz competencias'!$A:$A,0))="Todos","X",""),"")</f>
        <v/>
      </c>
      <c r="BG87" s="85" t="str">
        <f>IFERROR(IF(INDEX('Criterio de matriz competencias'!$F:$F,MATCH(BG$1,'Criterio de matriz competencias'!$A:$A,0))="Todos","X",""),"")</f>
        <v/>
      </c>
      <c r="BH87" s="85" t="str">
        <f>IFERROR(IF(INDEX('Criterio de matriz competencias'!$F:$F,MATCH(BH$1,'Criterio de matriz competencias'!$A:$A,0))="Todos","X",""),"")</f>
        <v/>
      </c>
      <c r="BI87" s="85" t="str">
        <f>IFERROR(IF(INDEX('Criterio de matriz competencias'!$F:$F,MATCH(BI$1,'Criterio de matriz competencias'!$A:$A,0))="Todos","X",""),"")</f>
        <v/>
      </c>
      <c r="BJ87" s="85" t="str">
        <f>IFERROR(IF(INDEX('Criterio de matriz competencias'!$F:$F,MATCH(BJ$1,'Criterio de matriz competencias'!$A:$A,0))="Todos","X",""),"")</f>
        <v/>
      </c>
    </row>
    <row r="88" spans="1:62" x14ac:dyDescent="0.3">
      <c r="A88" s="134"/>
      <c r="B88" s="134"/>
      <c r="C88" s="85"/>
      <c r="D88" s="85"/>
      <c r="E88" s="85"/>
      <c r="F88" s="85"/>
      <c r="G88" s="85"/>
      <c r="H88" s="85"/>
      <c r="I88" s="85"/>
      <c r="J88" s="85"/>
      <c r="K88" s="85"/>
      <c r="L88" s="85"/>
      <c r="M88" s="85"/>
      <c r="N88" s="85"/>
      <c r="O88" s="85"/>
      <c r="P88" s="85"/>
      <c r="Q88" s="85"/>
      <c r="R88" s="85"/>
      <c r="S88" s="85"/>
      <c r="T88" s="85"/>
      <c r="U88" s="85"/>
      <c r="V88" s="85"/>
      <c r="W88" s="85"/>
      <c r="X88" s="85"/>
      <c r="Y88" s="85"/>
      <c r="Z88" s="85"/>
      <c r="AA88" s="85"/>
      <c r="AB88" s="85"/>
      <c r="AC88" s="85"/>
      <c r="AD88" s="85"/>
      <c r="AE88" s="85"/>
      <c r="AF88" s="85"/>
      <c r="AG88" s="85"/>
      <c r="AH88" s="85"/>
      <c r="AI88" s="85"/>
      <c r="AJ88" s="85"/>
      <c r="AK88" s="85"/>
      <c r="AL88" s="85"/>
      <c r="AM88" s="85"/>
      <c r="AN88" s="85"/>
      <c r="AO88" s="85"/>
      <c r="AP88" s="85"/>
      <c r="AQ88" s="85"/>
      <c r="AR88" s="85"/>
      <c r="AS88" s="85"/>
      <c r="AT88" s="85"/>
      <c r="AU88" s="85"/>
      <c r="AV88" s="85"/>
      <c r="AW88" s="85"/>
      <c r="AX88" s="85"/>
      <c r="AY88" s="85"/>
      <c r="AZ88" s="85"/>
      <c r="BA88" s="85"/>
      <c r="BB88" s="85"/>
      <c r="BC88" s="85"/>
      <c r="BD88" s="85" t="str">
        <f>IFERROR(IF(INDEX('Criterio de matriz competencias'!$F:$F,MATCH(BD$1,'Criterio de matriz competencias'!$A:$A,0))="Todos","X",""),"")</f>
        <v/>
      </c>
      <c r="BE88" s="85" t="str">
        <f>IFERROR(IF(INDEX('Criterio de matriz competencias'!$F:$F,MATCH(BE$1,'Criterio de matriz competencias'!$A:$A,0))="Todos","X",""),"")</f>
        <v/>
      </c>
      <c r="BF88" s="85" t="str">
        <f>IFERROR(IF(INDEX('Criterio de matriz competencias'!$F:$F,MATCH(BF$1,'Criterio de matriz competencias'!$A:$A,0))="Todos","X",""),"")</f>
        <v/>
      </c>
      <c r="BG88" s="85" t="str">
        <f>IFERROR(IF(INDEX('Criterio de matriz competencias'!$F:$F,MATCH(BG$1,'Criterio de matriz competencias'!$A:$A,0))="Todos","X",""),"")</f>
        <v/>
      </c>
      <c r="BH88" s="85" t="str">
        <f>IFERROR(IF(INDEX('Criterio de matriz competencias'!$F:$F,MATCH(BH$1,'Criterio de matriz competencias'!$A:$A,0))="Todos","X",""),"")</f>
        <v/>
      </c>
      <c r="BI88" s="85" t="str">
        <f>IFERROR(IF(INDEX('Criterio de matriz competencias'!$F:$F,MATCH(BI$1,'Criterio de matriz competencias'!$A:$A,0))="Todos","X",""),"")</f>
        <v/>
      </c>
      <c r="BJ88" s="85" t="str">
        <f>IFERROR(IF(INDEX('Criterio de matriz competencias'!$F:$F,MATCH(BJ$1,'Criterio de matriz competencias'!$A:$A,0))="Todos","X",""),"")</f>
        <v/>
      </c>
    </row>
    <row r="89" spans="1:62" x14ac:dyDescent="0.3">
      <c r="A89" s="134"/>
      <c r="B89" s="134"/>
      <c r="C89" s="85"/>
      <c r="D89" s="85"/>
      <c r="E89" s="85"/>
      <c r="F89" s="85"/>
      <c r="G89" s="85"/>
      <c r="H89" s="85"/>
      <c r="I89" s="85"/>
      <c r="J89" s="85"/>
      <c r="K89" s="85"/>
      <c r="L89" s="85"/>
      <c r="M89" s="85"/>
      <c r="N89" s="85"/>
      <c r="O89" s="85"/>
      <c r="P89" s="85"/>
      <c r="Q89" s="85"/>
      <c r="R89" s="85"/>
      <c r="S89" s="85"/>
      <c r="T89" s="85"/>
      <c r="U89" s="85"/>
      <c r="V89" s="85"/>
      <c r="W89" s="85"/>
      <c r="X89" s="85"/>
      <c r="Y89" s="85"/>
      <c r="Z89" s="85"/>
      <c r="AA89" s="85"/>
      <c r="AB89" s="85"/>
      <c r="AC89" s="85"/>
      <c r="AD89" s="85"/>
      <c r="AE89" s="85"/>
      <c r="AF89" s="85"/>
      <c r="AG89" s="85"/>
      <c r="AH89" s="85"/>
      <c r="AI89" s="85"/>
      <c r="AJ89" s="85"/>
      <c r="AK89" s="85"/>
      <c r="AL89" s="85"/>
      <c r="AM89" s="85"/>
      <c r="AN89" s="85"/>
      <c r="AO89" s="85"/>
      <c r="AP89" s="85"/>
      <c r="AQ89" s="85"/>
      <c r="AR89" s="85"/>
      <c r="AS89" s="85"/>
      <c r="AT89" s="85"/>
      <c r="AU89" s="85"/>
      <c r="AV89" s="85"/>
      <c r="AW89" s="85"/>
      <c r="AX89" s="85"/>
      <c r="AY89" s="85"/>
      <c r="AZ89" s="85"/>
      <c r="BA89" s="85"/>
      <c r="BB89" s="85"/>
      <c r="BC89" s="85"/>
      <c r="BD89" s="85" t="str">
        <f>IFERROR(IF(INDEX('Criterio de matriz competencias'!$F:$F,MATCH(BD$1,'Criterio de matriz competencias'!$A:$A,0))="Todos","X",""),"")</f>
        <v/>
      </c>
      <c r="BE89" s="85" t="str">
        <f>IFERROR(IF(INDEX('Criterio de matriz competencias'!$F:$F,MATCH(BE$1,'Criterio de matriz competencias'!$A:$A,0))="Todos","X",""),"")</f>
        <v/>
      </c>
      <c r="BF89" s="85" t="str">
        <f>IFERROR(IF(INDEX('Criterio de matriz competencias'!$F:$F,MATCH(BF$1,'Criterio de matriz competencias'!$A:$A,0))="Todos","X",""),"")</f>
        <v/>
      </c>
      <c r="BG89" s="85" t="str">
        <f>IFERROR(IF(INDEX('Criterio de matriz competencias'!$F:$F,MATCH(BG$1,'Criterio de matriz competencias'!$A:$A,0))="Todos","X",""),"")</f>
        <v/>
      </c>
      <c r="BH89" s="85" t="str">
        <f>IFERROR(IF(INDEX('Criterio de matriz competencias'!$F:$F,MATCH(BH$1,'Criterio de matriz competencias'!$A:$A,0))="Todos","X",""),"")</f>
        <v/>
      </c>
      <c r="BI89" s="85" t="str">
        <f>IFERROR(IF(INDEX('Criterio de matriz competencias'!$F:$F,MATCH(BI$1,'Criterio de matriz competencias'!$A:$A,0))="Todos","X",""),"")</f>
        <v/>
      </c>
      <c r="BJ89" s="85" t="str">
        <f>IFERROR(IF(INDEX('Criterio de matriz competencias'!$F:$F,MATCH(BJ$1,'Criterio de matriz competencias'!$A:$A,0))="Todos","X",""),"")</f>
        <v/>
      </c>
    </row>
    <row r="90" spans="1:62" x14ac:dyDescent="0.3">
      <c r="A90" s="134"/>
      <c r="B90" s="134"/>
      <c r="C90" s="85"/>
      <c r="D90" s="85"/>
      <c r="E90" s="85"/>
      <c r="F90" s="85"/>
      <c r="G90" s="85"/>
      <c r="H90" s="85"/>
      <c r="I90" s="85"/>
      <c r="J90" s="85"/>
      <c r="K90" s="85"/>
      <c r="L90" s="85"/>
      <c r="M90" s="85"/>
      <c r="N90" s="85"/>
      <c r="O90" s="85"/>
      <c r="P90" s="85"/>
      <c r="Q90" s="85"/>
      <c r="R90" s="85"/>
      <c r="S90" s="85"/>
      <c r="T90" s="85"/>
      <c r="U90" s="85"/>
      <c r="V90" s="85"/>
      <c r="W90" s="85"/>
      <c r="X90" s="85"/>
      <c r="Y90" s="85"/>
      <c r="Z90" s="85"/>
      <c r="AA90" s="85"/>
      <c r="AB90" s="85"/>
      <c r="AC90" s="85"/>
      <c r="AD90" s="85"/>
      <c r="AE90" s="85"/>
      <c r="AF90" s="85"/>
      <c r="AG90" s="85"/>
      <c r="AH90" s="85"/>
      <c r="AI90" s="85"/>
      <c r="AJ90" s="85"/>
      <c r="AK90" s="85"/>
      <c r="AL90" s="85"/>
      <c r="AM90" s="85"/>
      <c r="AN90" s="85"/>
      <c r="AO90" s="85"/>
      <c r="AP90" s="85"/>
      <c r="AQ90" s="85"/>
      <c r="AR90" s="85"/>
      <c r="AS90" s="85"/>
      <c r="AT90" s="85"/>
      <c r="AU90" s="85"/>
      <c r="AV90" s="85"/>
      <c r="AW90" s="85"/>
      <c r="AX90" s="85"/>
      <c r="AY90" s="85"/>
      <c r="AZ90" s="85"/>
      <c r="BA90" s="85"/>
      <c r="BB90" s="85"/>
      <c r="BC90" s="85"/>
      <c r="BD90" s="85" t="str">
        <f>IFERROR(IF(INDEX('Criterio de matriz competencias'!$F:$F,MATCH(BD$1,'Criterio de matriz competencias'!$A:$A,0))="Todos","X",""),"")</f>
        <v/>
      </c>
      <c r="BE90" s="85" t="str">
        <f>IFERROR(IF(INDEX('Criterio de matriz competencias'!$F:$F,MATCH(BE$1,'Criterio de matriz competencias'!$A:$A,0))="Todos","X",""),"")</f>
        <v/>
      </c>
      <c r="BF90" s="85" t="str">
        <f>IFERROR(IF(INDEX('Criterio de matriz competencias'!$F:$F,MATCH(BF$1,'Criterio de matriz competencias'!$A:$A,0))="Todos","X",""),"")</f>
        <v/>
      </c>
      <c r="BG90" s="85" t="str">
        <f>IFERROR(IF(INDEX('Criterio de matriz competencias'!$F:$F,MATCH(BG$1,'Criterio de matriz competencias'!$A:$A,0))="Todos","X",""),"")</f>
        <v/>
      </c>
      <c r="BH90" s="85" t="str">
        <f>IFERROR(IF(INDEX('Criterio de matriz competencias'!$F:$F,MATCH(BH$1,'Criterio de matriz competencias'!$A:$A,0))="Todos","X",""),"")</f>
        <v/>
      </c>
      <c r="BI90" s="85" t="str">
        <f>IFERROR(IF(INDEX('Criterio de matriz competencias'!$F:$F,MATCH(BI$1,'Criterio de matriz competencias'!$A:$A,0))="Todos","X",""),"")</f>
        <v/>
      </c>
      <c r="BJ90" s="85" t="str">
        <f>IFERROR(IF(INDEX('Criterio de matriz competencias'!$F:$F,MATCH(BJ$1,'Criterio de matriz competencias'!$A:$A,0))="Todos","X",""),"")</f>
        <v/>
      </c>
    </row>
    <row r="91" spans="1:62" x14ac:dyDescent="0.3">
      <c r="A91" s="134"/>
      <c r="B91" s="134"/>
      <c r="C91" s="85"/>
      <c r="D91" s="85"/>
      <c r="E91" s="85"/>
      <c r="F91" s="85"/>
      <c r="G91" s="85"/>
      <c r="H91" s="85"/>
      <c r="I91" s="85"/>
      <c r="J91" s="85"/>
      <c r="K91" s="85"/>
      <c r="L91" s="85"/>
      <c r="M91" s="85"/>
      <c r="N91" s="85"/>
      <c r="O91" s="85"/>
      <c r="P91" s="85"/>
      <c r="Q91" s="85"/>
      <c r="R91" s="85"/>
      <c r="S91" s="85"/>
      <c r="T91" s="85"/>
      <c r="U91" s="85"/>
      <c r="V91" s="85"/>
      <c r="W91" s="85"/>
      <c r="X91" s="85"/>
      <c r="Y91" s="85"/>
      <c r="Z91" s="85"/>
      <c r="AA91" s="85"/>
      <c r="AB91" s="85"/>
      <c r="AC91" s="85"/>
      <c r="AD91" s="85"/>
      <c r="AE91" s="85"/>
      <c r="AF91" s="85"/>
      <c r="AG91" s="85"/>
      <c r="AH91" s="85"/>
      <c r="AI91" s="85"/>
      <c r="AJ91" s="85"/>
      <c r="AK91" s="85"/>
      <c r="AL91" s="85"/>
      <c r="AM91" s="85"/>
      <c r="AN91" s="85"/>
      <c r="AO91" s="85"/>
      <c r="AP91" s="85"/>
      <c r="AQ91" s="85"/>
      <c r="AR91" s="85"/>
      <c r="AS91" s="85"/>
      <c r="AT91" s="85"/>
      <c r="AU91" s="85"/>
      <c r="AV91" s="85"/>
      <c r="AW91" s="85"/>
      <c r="AX91" s="85"/>
      <c r="AY91" s="85"/>
      <c r="AZ91" s="85"/>
      <c r="BA91" s="85"/>
      <c r="BB91" s="85"/>
      <c r="BC91" s="85"/>
      <c r="BD91" s="85" t="str">
        <f>IFERROR(IF(INDEX('Criterio de matriz competencias'!$F:$F,MATCH(BD$1,'Criterio de matriz competencias'!$A:$A,0))="Todos","X",""),"")</f>
        <v/>
      </c>
      <c r="BE91" s="85" t="str">
        <f>IFERROR(IF(INDEX('Criterio de matriz competencias'!$F:$F,MATCH(BE$1,'Criterio de matriz competencias'!$A:$A,0))="Todos","X",""),"")</f>
        <v/>
      </c>
      <c r="BF91" s="85" t="str">
        <f>IFERROR(IF(INDEX('Criterio de matriz competencias'!$F:$F,MATCH(BF$1,'Criterio de matriz competencias'!$A:$A,0))="Todos","X",""),"")</f>
        <v/>
      </c>
      <c r="BG91" s="85" t="str">
        <f>IFERROR(IF(INDEX('Criterio de matriz competencias'!$F:$F,MATCH(BG$1,'Criterio de matriz competencias'!$A:$A,0))="Todos","X",""),"")</f>
        <v/>
      </c>
      <c r="BH91" s="85" t="str">
        <f>IFERROR(IF(INDEX('Criterio de matriz competencias'!$F:$F,MATCH(BH$1,'Criterio de matriz competencias'!$A:$A,0))="Todos","X",""),"")</f>
        <v/>
      </c>
      <c r="BI91" s="85" t="str">
        <f>IFERROR(IF(INDEX('Criterio de matriz competencias'!$F:$F,MATCH(BI$1,'Criterio de matriz competencias'!$A:$A,0))="Todos","X",""),"")</f>
        <v/>
      </c>
      <c r="BJ91" s="85" t="str">
        <f>IFERROR(IF(INDEX('Criterio de matriz competencias'!$F:$F,MATCH(BJ$1,'Criterio de matriz competencias'!$A:$A,0))="Todos","X",""),"")</f>
        <v/>
      </c>
    </row>
    <row r="92" spans="1:62" x14ac:dyDescent="0.3">
      <c r="A92" s="134"/>
      <c r="B92" s="134"/>
      <c r="C92" s="85"/>
      <c r="D92" s="85"/>
      <c r="E92" s="85"/>
      <c r="F92" s="85"/>
      <c r="G92" s="85"/>
      <c r="H92" s="85"/>
      <c r="I92" s="85"/>
      <c r="J92" s="85"/>
      <c r="K92" s="85"/>
      <c r="L92" s="85"/>
      <c r="M92" s="85"/>
      <c r="N92" s="85"/>
      <c r="O92" s="85"/>
      <c r="P92" s="85"/>
      <c r="Q92" s="85"/>
      <c r="R92" s="85"/>
      <c r="S92" s="85"/>
      <c r="T92" s="85"/>
      <c r="U92" s="85"/>
      <c r="V92" s="85"/>
      <c r="W92" s="85"/>
      <c r="X92" s="85"/>
      <c r="Y92" s="85"/>
      <c r="Z92" s="85"/>
      <c r="AA92" s="85"/>
      <c r="AB92" s="85"/>
      <c r="AC92" s="85"/>
      <c r="AD92" s="85"/>
      <c r="AE92" s="85"/>
      <c r="AF92" s="85"/>
      <c r="AG92" s="85"/>
      <c r="AH92" s="85"/>
      <c r="AI92" s="85"/>
      <c r="AJ92" s="85"/>
      <c r="AK92" s="85"/>
      <c r="AL92" s="85"/>
      <c r="AM92" s="85"/>
      <c r="AN92" s="85"/>
      <c r="AO92" s="85"/>
      <c r="AP92" s="85"/>
      <c r="AQ92" s="85"/>
      <c r="AR92" s="85"/>
      <c r="AS92" s="85"/>
      <c r="AT92" s="85"/>
      <c r="AU92" s="85"/>
      <c r="AV92" s="85"/>
      <c r="AW92" s="85"/>
      <c r="AX92" s="85"/>
      <c r="AY92" s="85"/>
      <c r="AZ92" s="85"/>
      <c r="BA92" s="85"/>
      <c r="BB92" s="85"/>
      <c r="BC92" s="85"/>
      <c r="BD92" s="85" t="str">
        <f>IFERROR(IF(INDEX('Criterio de matriz competencias'!$F:$F,MATCH(BD$1,'Criterio de matriz competencias'!$A:$A,0))="Todos","X",""),"")</f>
        <v/>
      </c>
      <c r="BE92" s="85" t="str">
        <f>IFERROR(IF(INDEX('Criterio de matriz competencias'!$F:$F,MATCH(BE$1,'Criterio de matriz competencias'!$A:$A,0))="Todos","X",""),"")</f>
        <v/>
      </c>
      <c r="BF92" s="85" t="str">
        <f>IFERROR(IF(INDEX('Criterio de matriz competencias'!$F:$F,MATCH(BF$1,'Criterio de matriz competencias'!$A:$A,0))="Todos","X",""),"")</f>
        <v/>
      </c>
      <c r="BG92" s="85" t="str">
        <f>IFERROR(IF(INDEX('Criterio de matriz competencias'!$F:$F,MATCH(BG$1,'Criterio de matriz competencias'!$A:$A,0))="Todos","X",""),"")</f>
        <v/>
      </c>
      <c r="BH92" s="85" t="str">
        <f>IFERROR(IF(INDEX('Criterio de matriz competencias'!$F:$F,MATCH(BH$1,'Criterio de matriz competencias'!$A:$A,0))="Todos","X",""),"")</f>
        <v/>
      </c>
      <c r="BI92" s="85" t="str">
        <f>IFERROR(IF(INDEX('Criterio de matriz competencias'!$F:$F,MATCH(BI$1,'Criterio de matriz competencias'!$A:$A,0))="Todos","X",""),"")</f>
        <v/>
      </c>
      <c r="BJ92" s="85" t="str">
        <f>IFERROR(IF(INDEX('Criterio de matriz competencias'!$F:$F,MATCH(BJ$1,'Criterio de matriz competencias'!$A:$A,0))="Todos","X",""),"")</f>
        <v/>
      </c>
    </row>
    <row r="93" spans="1:62" x14ac:dyDescent="0.3">
      <c r="A93" s="134"/>
      <c r="B93" s="134"/>
      <c r="C93" s="85"/>
      <c r="D93" s="85"/>
      <c r="E93" s="85"/>
      <c r="F93" s="85"/>
      <c r="G93" s="85"/>
      <c r="H93" s="85"/>
      <c r="I93" s="85"/>
      <c r="J93" s="85"/>
      <c r="K93" s="85"/>
      <c r="L93" s="85"/>
      <c r="M93" s="85"/>
      <c r="N93" s="85"/>
      <c r="O93" s="85"/>
      <c r="P93" s="85"/>
      <c r="Q93" s="85"/>
      <c r="R93" s="85"/>
      <c r="S93" s="85"/>
      <c r="T93" s="85"/>
      <c r="U93" s="85"/>
      <c r="V93" s="85"/>
      <c r="W93" s="85"/>
      <c r="X93" s="85"/>
      <c r="Y93" s="85"/>
      <c r="Z93" s="85"/>
      <c r="AA93" s="85"/>
      <c r="AB93" s="85"/>
      <c r="AC93" s="85"/>
      <c r="AD93" s="85"/>
      <c r="AE93" s="85"/>
      <c r="AF93" s="85"/>
      <c r="AG93" s="85"/>
      <c r="AH93" s="85"/>
      <c r="AI93" s="85"/>
      <c r="AJ93" s="85"/>
      <c r="AK93" s="85"/>
      <c r="AL93" s="85"/>
      <c r="AM93" s="85"/>
      <c r="AN93" s="85"/>
      <c r="AO93" s="85"/>
      <c r="AP93" s="85"/>
      <c r="AQ93" s="85"/>
      <c r="AR93" s="85"/>
      <c r="AS93" s="85"/>
      <c r="AT93" s="85"/>
      <c r="AU93" s="85"/>
      <c r="AV93" s="85"/>
      <c r="AW93" s="85"/>
      <c r="AX93" s="85"/>
      <c r="AY93" s="85"/>
      <c r="AZ93" s="85"/>
      <c r="BA93" s="85"/>
      <c r="BB93" s="85"/>
      <c r="BC93" s="85"/>
      <c r="BD93" s="85" t="str">
        <f>IFERROR(IF(INDEX('Criterio de matriz competencias'!$F:$F,MATCH(BD$1,'Criterio de matriz competencias'!$A:$A,0))="Todos","X",""),"")</f>
        <v/>
      </c>
      <c r="BE93" s="85" t="str">
        <f>IFERROR(IF(INDEX('Criterio de matriz competencias'!$F:$F,MATCH(BE$1,'Criterio de matriz competencias'!$A:$A,0))="Todos","X",""),"")</f>
        <v/>
      </c>
      <c r="BF93" s="85" t="str">
        <f>IFERROR(IF(INDEX('Criterio de matriz competencias'!$F:$F,MATCH(BF$1,'Criterio de matriz competencias'!$A:$A,0))="Todos","X",""),"")</f>
        <v/>
      </c>
      <c r="BG93" s="85" t="str">
        <f>IFERROR(IF(INDEX('Criterio de matriz competencias'!$F:$F,MATCH(BG$1,'Criterio de matriz competencias'!$A:$A,0))="Todos","X",""),"")</f>
        <v/>
      </c>
      <c r="BH93" s="85" t="str">
        <f>IFERROR(IF(INDEX('Criterio de matriz competencias'!$F:$F,MATCH(BH$1,'Criterio de matriz competencias'!$A:$A,0))="Todos","X",""),"")</f>
        <v/>
      </c>
      <c r="BI93" s="85" t="str">
        <f>IFERROR(IF(INDEX('Criterio de matriz competencias'!$F:$F,MATCH(BI$1,'Criterio de matriz competencias'!$A:$A,0))="Todos","X",""),"")</f>
        <v/>
      </c>
      <c r="BJ93" s="85" t="str">
        <f>IFERROR(IF(INDEX('Criterio de matriz competencias'!$F:$F,MATCH(BJ$1,'Criterio de matriz competencias'!$A:$A,0))="Todos","X",""),"")</f>
        <v/>
      </c>
    </row>
    <row r="94" spans="1:62" x14ac:dyDescent="0.3">
      <c r="A94" s="134"/>
      <c r="B94" s="134"/>
      <c r="C94" s="85"/>
      <c r="D94" s="85"/>
      <c r="E94" s="85"/>
      <c r="F94" s="85"/>
      <c r="G94" s="85"/>
      <c r="H94" s="85"/>
      <c r="I94" s="85"/>
      <c r="J94" s="85"/>
      <c r="K94" s="85"/>
      <c r="L94" s="85"/>
      <c r="M94" s="85"/>
      <c r="N94" s="85"/>
      <c r="O94" s="85"/>
      <c r="P94" s="85"/>
      <c r="Q94" s="85"/>
      <c r="R94" s="85"/>
      <c r="S94" s="85"/>
      <c r="T94" s="85"/>
      <c r="U94" s="85"/>
      <c r="V94" s="85"/>
      <c r="W94" s="85"/>
      <c r="X94" s="85"/>
      <c r="Y94" s="85"/>
      <c r="Z94" s="85"/>
      <c r="AA94" s="85"/>
      <c r="AB94" s="85"/>
      <c r="AC94" s="85"/>
      <c r="AD94" s="85"/>
      <c r="AE94" s="85"/>
      <c r="AF94" s="85"/>
      <c r="AG94" s="85"/>
      <c r="AH94" s="85"/>
      <c r="AI94" s="85"/>
      <c r="AJ94" s="85"/>
      <c r="AK94" s="85"/>
      <c r="AL94" s="85"/>
      <c r="AM94" s="85"/>
      <c r="AN94" s="85"/>
      <c r="AO94" s="85"/>
      <c r="AP94" s="85"/>
      <c r="AQ94" s="85"/>
      <c r="AR94" s="85"/>
      <c r="AS94" s="85"/>
      <c r="AT94" s="85"/>
      <c r="AU94" s="85"/>
      <c r="AV94" s="85"/>
      <c r="AW94" s="85"/>
      <c r="AX94" s="85"/>
      <c r="AY94" s="85"/>
      <c r="AZ94" s="85"/>
      <c r="BA94" s="85"/>
      <c r="BB94" s="85"/>
      <c r="BC94" s="85"/>
      <c r="BD94" s="85" t="str">
        <f>IFERROR(IF(INDEX('Criterio de matriz competencias'!$F:$F,MATCH(BD$1,'Criterio de matriz competencias'!$A:$A,0))="Todos","X",""),"")</f>
        <v/>
      </c>
      <c r="BE94" s="85" t="str">
        <f>IFERROR(IF(INDEX('Criterio de matriz competencias'!$F:$F,MATCH(BE$1,'Criterio de matriz competencias'!$A:$A,0))="Todos","X",""),"")</f>
        <v/>
      </c>
      <c r="BF94" s="85" t="str">
        <f>IFERROR(IF(INDEX('Criterio de matriz competencias'!$F:$F,MATCH(BF$1,'Criterio de matriz competencias'!$A:$A,0))="Todos","X",""),"")</f>
        <v/>
      </c>
      <c r="BG94" s="85" t="str">
        <f>IFERROR(IF(INDEX('Criterio de matriz competencias'!$F:$F,MATCH(BG$1,'Criterio de matriz competencias'!$A:$A,0))="Todos","X",""),"")</f>
        <v/>
      </c>
      <c r="BH94" s="85" t="str">
        <f>IFERROR(IF(INDEX('Criterio de matriz competencias'!$F:$F,MATCH(BH$1,'Criterio de matriz competencias'!$A:$A,0))="Todos","X",""),"")</f>
        <v/>
      </c>
      <c r="BI94" s="85" t="str">
        <f>IFERROR(IF(INDEX('Criterio de matriz competencias'!$F:$F,MATCH(BI$1,'Criterio de matriz competencias'!$A:$A,0))="Todos","X",""),"")</f>
        <v/>
      </c>
      <c r="BJ94" s="85" t="str">
        <f>IFERROR(IF(INDEX('Criterio de matriz competencias'!$F:$F,MATCH(BJ$1,'Criterio de matriz competencias'!$A:$A,0))="Todos","X",""),"")</f>
        <v/>
      </c>
    </row>
    <row r="95" spans="1:62" x14ac:dyDescent="0.3">
      <c r="A95" s="134"/>
      <c r="B95" s="134"/>
      <c r="C95" s="85"/>
      <c r="D95" s="85"/>
      <c r="E95" s="85"/>
      <c r="F95" s="85"/>
      <c r="G95" s="85"/>
      <c r="H95" s="85"/>
      <c r="I95" s="85"/>
      <c r="J95" s="85"/>
      <c r="K95" s="85"/>
      <c r="L95" s="85"/>
      <c r="M95" s="85"/>
      <c r="N95" s="85"/>
      <c r="O95" s="85"/>
      <c r="P95" s="85"/>
      <c r="Q95" s="85"/>
      <c r="R95" s="85"/>
      <c r="S95" s="85"/>
      <c r="T95" s="85"/>
      <c r="U95" s="85"/>
      <c r="V95" s="85"/>
      <c r="W95" s="85"/>
      <c r="X95" s="85"/>
      <c r="Y95" s="85"/>
      <c r="Z95" s="85"/>
      <c r="AA95" s="85"/>
      <c r="AB95" s="85"/>
      <c r="AC95" s="85"/>
      <c r="AD95" s="85"/>
      <c r="AE95" s="85"/>
      <c r="AF95" s="85"/>
      <c r="AG95" s="85"/>
      <c r="AH95" s="85"/>
      <c r="AI95" s="85"/>
      <c r="AJ95" s="85"/>
      <c r="AK95" s="85"/>
      <c r="AL95" s="85"/>
      <c r="AM95" s="85"/>
      <c r="AN95" s="85"/>
      <c r="AO95" s="85"/>
      <c r="AP95" s="85"/>
      <c r="AQ95" s="85"/>
      <c r="AR95" s="85"/>
      <c r="AS95" s="85"/>
      <c r="AT95" s="85"/>
      <c r="AU95" s="85"/>
      <c r="AV95" s="85"/>
      <c r="AW95" s="85"/>
      <c r="AX95" s="85"/>
      <c r="AY95" s="85"/>
      <c r="AZ95" s="85"/>
      <c r="BA95" s="85"/>
      <c r="BB95" s="85"/>
      <c r="BC95" s="85"/>
      <c r="BD95" s="85" t="str">
        <f>IFERROR(IF(INDEX('Criterio de matriz competencias'!$F:$F,MATCH(BD$1,'Criterio de matriz competencias'!$A:$A,0))="Todos","X",""),"")</f>
        <v/>
      </c>
      <c r="BE95" s="85" t="str">
        <f>IFERROR(IF(INDEX('Criterio de matriz competencias'!$F:$F,MATCH(BE$1,'Criterio de matriz competencias'!$A:$A,0))="Todos","X",""),"")</f>
        <v/>
      </c>
      <c r="BF95" s="85" t="str">
        <f>IFERROR(IF(INDEX('Criterio de matriz competencias'!$F:$F,MATCH(BF$1,'Criterio de matriz competencias'!$A:$A,0))="Todos","X",""),"")</f>
        <v/>
      </c>
      <c r="BG95" s="85" t="str">
        <f>IFERROR(IF(INDEX('Criterio de matriz competencias'!$F:$F,MATCH(BG$1,'Criterio de matriz competencias'!$A:$A,0))="Todos","X",""),"")</f>
        <v/>
      </c>
      <c r="BH95" s="85" t="str">
        <f>IFERROR(IF(INDEX('Criterio de matriz competencias'!$F:$F,MATCH(BH$1,'Criterio de matriz competencias'!$A:$A,0))="Todos","X",""),"")</f>
        <v/>
      </c>
      <c r="BI95" s="85" t="str">
        <f>IFERROR(IF(INDEX('Criterio de matriz competencias'!$F:$F,MATCH(BI$1,'Criterio de matriz competencias'!$A:$A,0))="Todos","X",""),"")</f>
        <v/>
      </c>
      <c r="BJ95" s="85" t="str">
        <f>IFERROR(IF(INDEX('Criterio de matriz competencias'!$F:$F,MATCH(BJ$1,'Criterio de matriz competencias'!$A:$A,0))="Todos","X",""),"")</f>
        <v/>
      </c>
    </row>
    <row r="96" spans="1:62" x14ac:dyDescent="0.3">
      <c r="A96" s="134"/>
      <c r="B96" s="134"/>
      <c r="C96" s="85"/>
      <c r="D96" s="85"/>
      <c r="E96" s="85"/>
      <c r="F96" s="85"/>
      <c r="G96" s="85"/>
      <c r="H96" s="85"/>
      <c r="I96" s="85"/>
      <c r="J96" s="85"/>
      <c r="K96" s="85"/>
      <c r="L96" s="85"/>
      <c r="M96" s="85"/>
      <c r="N96" s="85"/>
      <c r="O96" s="85"/>
      <c r="P96" s="85"/>
      <c r="Q96" s="85"/>
      <c r="R96" s="85"/>
      <c r="S96" s="85"/>
      <c r="T96" s="85"/>
      <c r="U96" s="85"/>
      <c r="V96" s="85"/>
      <c r="W96" s="85"/>
      <c r="X96" s="85"/>
      <c r="Y96" s="85"/>
      <c r="Z96" s="85"/>
      <c r="AA96" s="85"/>
      <c r="AB96" s="85"/>
      <c r="AC96" s="85"/>
      <c r="AD96" s="85"/>
      <c r="AE96" s="85"/>
      <c r="AF96" s="85"/>
      <c r="AG96" s="85"/>
      <c r="AH96" s="85"/>
      <c r="AI96" s="85"/>
      <c r="AJ96" s="85"/>
      <c r="AK96" s="85"/>
      <c r="AL96" s="85"/>
      <c r="AM96" s="85"/>
      <c r="AN96" s="85"/>
      <c r="AO96" s="85"/>
      <c r="AP96" s="85"/>
      <c r="AQ96" s="85"/>
      <c r="AR96" s="85"/>
      <c r="AS96" s="85"/>
      <c r="AT96" s="85"/>
      <c r="AU96" s="85"/>
      <c r="AV96" s="85"/>
      <c r="AW96" s="85"/>
      <c r="AX96" s="85"/>
      <c r="AY96" s="85"/>
      <c r="AZ96" s="85"/>
      <c r="BA96" s="85"/>
      <c r="BB96" s="85"/>
      <c r="BC96" s="85"/>
      <c r="BD96" s="85" t="str">
        <f>IFERROR(IF(INDEX('Criterio de matriz competencias'!$F:$F,MATCH(BD$1,'Criterio de matriz competencias'!$A:$A,0))="Todos","X",""),"")</f>
        <v/>
      </c>
      <c r="BE96" s="85" t="str">
        <f>IFERROR(IF(INDEX('Criterio de matriz competencias'!$F:$F,MATCH(BE$1,'Criterio de matriz competencias'!$A:$A,0))="Todos","X",""),"")</f>
        <v/>
      </c>
      <c r="BF96" s="85" t="str">
        <f>IFERROR(IF(INDEX('Criterio de matriz competencias'!$F:$F,MATCH(BF$1,'Criterio de matriz competencias'!$A:$A,0))="Todos","X",""),"")</f>
        <v/>
      </c>
      <c r="BG96" s="85" t="str">
        <f>IFERROR(IF(INDEX('Criterio de matriz competencias'!$F:$F,MATCH(BG$1,'Criterio de matriz competencias'!$A:$A,0))="Todos","X",""),"")</f>
        <v/>
      </c>
      <c r="BH96" s="85" t="str">
        <f>IFERROR(IF(INDEX('Criterio de matriz competencias'!$F:$F,MATCH(BH$1,'Criterio de matriz competencias'!$A:$A,0))="Todos","X",""),"")</f>
        <v/>
      </c>
      <c r="BI96" s="85" t="str">
        <f>IFERROR(IF(INDEX('Criterio de matriz competencias'!$F:$F,MATCH(BI$1,'Criterio de matriz competencias'!$A:$A,0))="Todos","X",""),"")</f>
        <v/>
      </c>
      <c r="BJ96" s="85" t="str">
        <f>IFERROR(IF(INDEX('Criterio de matriz competencias'!$F:$F,MATCH(BJ$1,'Criterio de matriz competencias'!$A:$A,0))="Todos","X",""),"")</f>
        <v/>
      </c>
    </row>
    <row r="97" spans="1:62" x14ac:dyDescent="0.3">
      <c r="A97" s="134"/>
      <c r="B97" s="134"/>
      <c r="C97" s="85"/>
      <c r="D97" s="85"/>
      <c r="E97" s="85"/>
      <c r="F97" s="85"/>
      <c r="G97" s="85"/>
      <c r="H97" s="85"/>
      <c r="I97" s="85"/>
      <c r="J97" s="85"/>
      <c r="K97" s="85"/>
      <c r="L97" s="85"/>
      <c r="M97" s="85"/>
      <c r="N97" s="85"/>
      <c r="O97" s="85"/>
      <c r="P97" s="85"/>
      <c r="Q97" s="85"/>
      <c r="R97" s="85"/>
      <c r="S97" s="85"/>
      <c r="T97" s="85"/>
      <c r="U97" s="85"/>
      <c r="V97" s="85"/>
      <c r="W97" s="85"/>
      <c r="X97" s="85"/>
      <c r="Y97" s="85"/>
      <c r="Z97" s="85"/>
      <c r="AA97" s="85"/>
      <c r="AB97" s="85"/>
      <c r="AC97" s="85"/>
      <c r="AD97" s="85"/>
      <c r="AE97" s="85"/>
      <c r="AF97" s="85"/>
      <c r="AG97" s="85"/>
      <c r="AH97" s="85"/>
      <c r="AI97" s="85"/>
      <c r="AJ97" s="85"/>
      <c r="AK97" s="85"/>
      <c r="AL97" s="85"/>
      <c r="AM97" s="85"/>
      <c r="AN97" s="85"/>
      <c r="AO97" s="85"/>
      <c r="AP97" s="85"/>
      <c r="AQ97" s="85"/>
      <c r="AR97" s="85"/>
      <c r="AS97" s="85"/>
      <c r="AT97" s="85"/>
      <c r="AU97" s="85"/>
      <c r="AV97" s="85"/>
      <c r="AW97" s="85"/>
      <c r="AX97" s="85"/>
      <c r="AY97" s="85"/>
      <c r="AZ97" s="85"/>
      <c r="BA97" s="85"/>
      <c r="BB97" s="85"/>
      <c r="BC97" s="85"/>
      <c r="BD97" s="85" t="str">
        <f>IFERROR(IF(INDEX('Criterio de matriz competencias'!$F:$F,MATCH(BD$1,'Criterio de matriz competencias'!$A:$A,0))="Todos","X",""),"")</f>
        <v/>
      </c>
      <c r="BE97" s="85" t="str">
        <f>IFERROR(IF(INDEX('Criterio de matriz competencias'!$F:$F,MATCH(BE$1,'Criterio de matriz competencias'!$A:$A,0))="Todos","X",""),"")</f>
        <v/>
      </c>
      <c r="BF97" s="85" t="str">
        <f>IFERROR(IF(INDEX('Criterio de matriz competencias'!$F:$F,MATCH(BF$1,'Criterio de matriz competencias'!$A:$A,0))="Todos","X",""),"")</f>
        <v/>
      </c>
      <c r="BG97" s="85" t="str">
        <f>IFERROR(IF(INDEX('Criterio de matriz competencias'!$F:$F,MATCH(BG$1,'Criterio de matriz competencias'!$A:$A,0))="Todos","X",""),"")</f>
        <v/>
      </c>
      <c r="BH97" s="85" t="str">
        <f>IFERROR(IF(INDEX('Criterio de matriz competencias'!$F:$F,MATCH(BH$1,'Criterio de matriz competencias'!$A:$A,0))="Todos","X",""),"")</f>
        <v/>
      </c>
      <c r="BI97" s="85" t="str">
        <f>IFERROR(IF(INDEX('Criterio de matriz competencias'!$F:$F,MATCH(BI$1,'Criterio de matriz competencias'!$A:$A,0))="Todos","X",""),"")</f>
        <v/>
      </c>
      <c r="BJ97" s="85" t="str">
        <f>IFERROR(IF(INDEX('Criterio de matriz competencias'!$F:$F,MATCH(BJ$1,'Criterio de matriz competencias'!$A:$A,0))="Todos","X",""),"")</f>
        <v/>
      </c>
    </row>
    <row r="98" spans="1:62" x14ac:dyDescent="0.3">
      <c r="A98" s="134"/>
      <c r="B98" s="134"/>
      <c r="C98" s="85"/>
      <c r="D98" s="85"/>
      <c r="E98" s="85"/>
      <c r="F98" s="85"/>
      <c r="G98" s="85"/>
      <c r="H98" s="85"/>
      <c r="I98" s="85"/>
      <c r="J98" s="85"/>
      <c r="K98" s="85"/>
      <c r="L98" s="85"/>
      <c r="M98" s="85"/>
      <c r="N98" s="85"/>
      <c r="O98" s="85"/>
      <c r="P98" s="85"/>
      <c r="Q98" s="85"/>
      <c r="R98" s="85"/>
      <c r="S98" s="85"/>
      <c r="T98" s="85"/>
      <c r="U98" s="85"/>
      <c r="V98" s="85"/>
      <c r="W98" s="85"/>
      <c r="X98" s="85"/>
      <c r="Y98" s="85"/>
      <c r="Z98" s="85"/>
      <c r="AA98" s="85"/>
      <c r="AB98" s="85"/>
      <c r="AC98" s="85"/>
      <c r="AD98" s="85"/>
      <c r="AE98" s="85"/>
      <c r="AF98" s="85"/>
      <c r="AG98" s="85"/>
      <c r="AH98" s="85"/>
      <c r="AI98" s="85"/>
      <c r="AJ98" s="85"/>
      <c r="AK98" s="85"/>
      <c r="AL98" s="85"/>
      <c r="AM98" s="85"/>
      <c r="AN98" s="85"/>
      <c r="AO98" s="85"/>
      <c r="AP98" s="85"/>
      <c r="AQ98" s="85"/>
      <c r="AR98" s="85"/>
      <c r="AS98" s="85"/>
      <c r="AT98" s="85"/>
      <c r="AU98" s="85"/>
      <c r="AV98" s="85"/>
      <c r="AW98" s="85"/>
      <c r="AX98" s="85"/>
      <c r="AY98" s="85"/>
      <c r="AZ98" s="85"/>
      <c r="BA98" s="85"/>
      <c r="BB98" s="85"/>
      <c r="BC98" s="85"/>
      <c r="BD98" s="85" t="str">
        <f>IFERROR(IF(INDEX('Criterio de matriz competencias'!$F:$F,MATCH(BD$1,'Criterio de matriz competencias'!$A:$A,0))="Todos","X",""),"")</f>
        <v/>
      </c>
      <c r="BE98" s="85" t="str">
        <f>IFERROR(IF(INDEX('Criterio de matriz competencias'!$F:$F,MATCH(BE$1,'Criterio de matriz competencias'!$A:$A,0))="Todos","X",""),"")</f>
        <v/>
      </c>
      <c r="BF98" s="85" t="str">
        <f>IFERROR(IF(INDEX('Criterio de matriz competencias'!$F:$F,MATCH(BF$1,'Criterio de matriz competencias'!$A:$A,0))="Todos","X",""),"")</f>
        <v/>
      </c>
      <c r="BG98" s="85" t="str">
        <f>IFERROR(IF(INDEX('Criterio de matriz competencias'!$F:$F,MATCH(BG$1,'Criterio de matriz competencias'!$A:$A,0))="Todos","X",""),"")</f>
        <v/>
      </c>
      <c r="BH98" s="85" t="str">
        <f>IFERROR(IF(INDEX('Criterio de matriz competencias'!$F:$F,MATCH(BH$1,'Criterio de matriz competencias'!$A:$A,0))="Todos","X",""),"")</f>
        <v/>
      </c>
      <c r="BI98" s="85" t="str">
        <f>IFERROR(IF(INDEX('Criterio de matriz competencias'!$F:$F,MATCH(BI$1,'Criterio de matriz competencias'!$A:$A,0))="Todos","X",""),"")</f>
        <v/>
      </c>
      <c r="BJ98" s="85" t="str">
        <f>IFERROR(IF(INDEX('Criterio de matriz competencias'!$F:$F,MATCH(BJ$1,'Criterio de matriz competencias'!$A:$A,0))="Todos","X",""),"")</f>
        <v/>
      </c>
    </row>
    <row r="99" spans="1:62" x14ac:dyDescent="0.3">
      <c r="A99" s="134"/>
      <c r="B99" s="134"/>
      <c r="C99" s="85"/>
      <c r="D99" s="85"/>
      <c r="E99" s="85"/>
      <c r="F99" s="85"/>
      <c r="G99" s="85"/>
      <c r="H99" s="85"/>
      <c r="I99" s="85"/>
      <c r="J99" s="85"/>
      <c r="K99" s="85"/>
      <c r="L99" s="85"/>
      <c r="M99" s="85"/>
      <c r="N99" s="85"/>
      <c r="O99" s="85"/>
      <c r="P99" s="85"/>
      <c r="Q99" s="85"/>
      <c r="R99" s="85"/>
      <c r="S99" s="85"/>
      <c r="T99" s="85"/>
      <c r="U99" s="85"/>
      <c r="V99" s="85"/>
      <c r="W99" s="85"/>
      <c r="X99" s="85"/>
      <c r="Y99" s="85"/>
      <c r="Z99" s="85"/>
      <c r="AA99" s="85"/>
      <c r="AB99" s="85"/>
      <c r="AC99" s="85"/>
      <c r="AD99" s="85"/>
      <c r="AE99" s="85"/>
      <c r="AF99" s="85"/>
      <c r="AG99" s="85"/>
      <c r="AH99" s="85"/>
      <c r="AI99" s="85"/>
      <c r="AJ99" s="85"/>
      <c r="AK99" s="85"/>
      <c r="AL99" s="85"/>
      <c r="AM99" s="85"/>
      <c r="AN99" s="85"/>
      <c r="AO99" s="85"/>
      <c r="AP99" s="85"/>
      <c r="AQ99" s="85"/>
      <c r="AR99" s="85"/>
      <c r="AS99" s="85"/>
      <c r="AT99" s="85"/>
      <c r="AU99" s="85"/>
      <c r="AV99" s="85"/>
      <c r="AW99" s="85"/>
      <c r="AX99" s="85"/>
      <c r="AY99" s="85"/>
      <c r="AZ99" s="85"/>
      <c r="BA99" s="85"/>
      <c r="BB99" s="85"/>
      <c r="BC99" s="85"/>
      <c r="BD99" s="85" t="str">
        <f>IFERROR(IF(INDEX('Criterio de matriz competencias'!$F:$F,MATCH(BD$1,'Criterio de matriz competencias'!$A:$A,0))="Todos","X",""),"")</f>
        <v/>
      </c>
      <c r="BE99" s="85" t="str">
        <f>IFERROR(IF(INDEX('Criterio de matriz competencias'!$F:$F,MATCH(BE$1,'Criterio de matriz competencias'!$A:$A,0))="Todos","X",""),"")</f>
        <v/>
      </c>
      <c r="BF99" s="85" t="str">
        <f>IFERROR(IF(INDEX('Criterio de matriz competencias'!$F:$F,MATCH(BF$1,'Criterio de matriz competencias'!$A:$A,0))="Todos","X",""),"")</f>
        <v/>
      </c>
      <c r="BG99" s="85" t="str">
        <f>IFERROR(IF(INDEX('Criterio de matriz competencias'!$F:$F,MATCH(BG$1,'Criterio de matriz competencias'!$A:$A,0))="Todos","X",""),"")</f>
        <v/>
      </c>
      <c r="BH99" s="85" t="str">
        <f>IFERROR(IF(INDEX('Criterio de matriz competencias'!$F:$F,MATCH(BH$1,'Criterio de matriz competencias'!$A:$A,0))="Todos","X",""),"")</f>
        <v/>
      </c>
      <c r="BI99" s="85" t="str">
        <f>IFERROR(IF(INDEX('Criterio de matriz competencias'!$F:$F,MATCH(BI$1,'Criterio de matriz competencias'!$A:$A,0))="Todos","X",""),"")</f>
        <v/>
      </c>
      <c r="BJ99" s="85" t="str">
        <f>IFERROR(IF(INDEX('Criterio de matriz competencias'!$F:$F,MATCH(BJ$1,'Criterio de matriz competencias'!$A:$A,0))="Todos","X",""),"")</f>
        <v/>
      </c>
    </row>
    <row r="100" spans="1:62" x14ac:dyDescent="0.3">
      <c r="A100" s="134"/>
      <c r="B100" s="134"/>
      <c r="C100" s="85"/>
      <c r="D100" s="85"/>
      <c r="E100" s="85"/>
      <c r="F100" s="85"/>
      <c r="G100" s="85"/>
      <c r="H100" s="85"/>
      <c r="I100" s="85"/>
      <c r="J100" s="85"/>
      <c r="K100" s="85"/>
      <c r="L100" s="85"/>
      <c r="M100" s="85"/>
      <c r="N100" s="85"/>
      <c r="O100" s="85"/>
      <c r="P100" s="85"/>
      <c r="Q100" s="85"/>
      <c r="R100" s="85"/>
      <c r="S100" s="85"/>
      <c r="T100" s="85"/>
      <c r="U100" s="85"/>
      <c r="V100" s="85"/>
      <c r="W100" s="85"/>
      <c r="X100" s="85"/>
      <c r="Y100" s="85"/>
      <c r="Z100" s="85"/>
      <c r="AA100" s="85"/>
      <c r="AB100" s="85"/>
      <c r="AC100" s="85"/>
      <c r="AD100" s="85"/>
      <c r="AE100" s="85"/>
      <c r="AF100" s="85"/>
      <c r="AG100" s="85"/>
      <c r="AH100" s="85"/>
      <c r="AI100" s="85"/>
      <c r="AJ100" s="85"/>
      <c r="AK100" s="85"/>
      <c r="AL100" s="85"/>
      <c r="AM100" s="85"/>
      <c r="AN100" s="85"/>
      <c r="AO100" s="85"/>
      <c r="AP100" s="85"/>
      <c r="AQ100" s="85"/>
      <c r="AR100" s="85"/>
      <c r="AS100" s="85"/>
      <c r="AT100" s="85"/>
      <c r="AU100" s="85"/>
      <c r="AV100" s="85"/>
      <c r="AW100" s="85"/>
      <c r="AX100" s="85"/>
      <c r="AY100" s="85"/>
      <c r="AZ100" s="85"/>
      <c r="BA100" s="85"/>
      <c r="BB100" s="85"/>
      <c r="BC100" s="85"/>
      <c r="BD100" s="85" t="str">
        <f>IFERROR(IF(INDEX('Criterio de matriz competencias'!$F:$F,MATCH(BD$1,'Criterio de matriz competencias'!$A:$A,0))="Todos","X",""),"")</f>
        <v/>
      </c>
      <c r="BE100" s="85" t="str">
        <f>IFERROR(IF(INDEX('Criterio de matriz competencias'!$F:$F,MATCH(BE$1,'Criterio de matriz competencias'!$A:$A,0))="Todos","X",""),"")</f>
        <v/>
      </c>
      <c r="BF100" s="85" t="str">
        <f>IFERROR(IF(INDEX('Criterio de matriz competencias'!$F:$F,MATCH(BF$1,'Criterio de matriz competencias'!$A:$A,0))="Todos","X",""),"")</f>
        <v/>
      </c>
      <c r="BG100" s="85" t="str">
        <f>IFERROR(IF(INDEX('Criterio de matriz competencias'!$F:$F,MATCH(BG$1,'Criterio de matriz competencias'!$A:$A,0))="Todos","X",""),"")</f>
        <v/>
      </c>
      <c r="BH100" s="85" t="str">
        <f>IFERROR(IF(INDEX('Criterio de matriz competencias'!$F:$F,MATCH(BH$1,'Criterio de matriz competencias'!$A:$A,0))="Todos","X",""),"")</f>
        <v/>
      </c>
      <c r="BI100" s="85" t="str">
        <f>IFERROR(IF(INDEX('Criterio de matriz competencias'!$F:$F,MATCH(BI$1,'Criterio de matriz competencias'!$A:$A,0))="Todos","X",""),"")</f>
        <v/>
      </c>
      <c r="BJ100" s="85" t="str">
        <f>IFERROR(IF(INDEX('Criterio de matriz competencias'!$F:$F,MATCH(BJ$1,'Criterio de matriz competencias'!$A:$A,0))="Todos","X",""),"")</f>
        <v/>
      </c>
    </row>
  </sheetData>
  <sheetProtection algorithmName="SHA-512" hashValue="dWKvCNOWHe8jQDR09Ab/keQiLOBKv2Nhha7yCoMBZxumZTN4uPxA+120xxO8faY98aG207XNVuEsRjEIuojzQg==" saltValue="RviKTgBOnwrRtDl1bPO1OQ==" spinCount="100000" sheet="1" objects="1" scenarios="1"/>
  <conditionalFormatting sqref="A1:BJ1">
    <cfRule type="cellIs" dxfId="24" priority="6" stopIfTrue="1" operator="equal">
      <formula>"Y"</formula>
    </cfRule>
    <cfRule type="cellIs" dxfId="23" priority="7" stopIfTrue="1" operator="equal">
      <formula>"N"</formula>
    </cfRule>
  </conditionalFormatting>
  <conditionalFormatting sqref="A2:BJ100">
    <cfRule type="expression" dxfId="22" priority="5">
      <formula>MOD(ROW(),2)=0</formula>
    </cfRule>
  </conditionalFormatting>
  <dataValidations count="2">
    <dataValidation type="textLength" operator="lessThanOrEqual" allowBlank="1" showInputMessage="1" showErrorMessage="1" sqref="A1:B54" xr:uid="{AD8BAE9B-4A87-45F8-B391-4FD539B48E20}">
      <formula1>30</formula1>
    </dataValidation>
    <dataValidation type="list" errorStyle="warning" allowBlank="1" showDropDown="1" showInputMessage="1" showErrorMessage="1" sqref="C2:BJ100" xr:uid="{325D9194-25F4-4916-B1A8-2DC19AC2DDC7}">
      <formula1>"X,x"</formula1>
    </dataValidation>
  </dataValidations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95F3B-6A98-4EEE-AD82-9443CC00FCA0}">
  <sheetPr codeName="Hoja4"/>
  <dimension ref="A1:P72"/>
  <sheetViews>
    <sheetView zoomScale="80" zoomScaleNormal="80" workbookViewId="0">
      <pane xSplit="4" ySplit="1" topLeftCell="H6" activePane="bottomRight" state="frozen"/>
      <selection pane="topRight" activeCell="E1" sqref="E1"/>
      <selection pane="bottomLeft" activeCell="A2" sqref="A2"/>
      <selection pane="bottomRight" activeCell="G3" sqref="G3"/>
    </sheetView>
  </sheetViews>
  <sheetFormatPr baseColWidth="10" defaultColWidth="19.109375" defaultRowHeight="13.8" x14ac:dyDescent="0.3"/>
  <cols>
    <col min="1" max="1" width="23.109375" style="27" customWidth="1"/>
    <col min="2" max="2" width="29" style="27" customWidth="1"/>
    <col min="3" max="3" width="14.88671875" style="155" customWidth="1"/>
    <col min="4" max="4" width="27.109375" style="13" customWidth="1"/>
    <col min="5" max="5" width="16.109375" style="15" customWidth="1"/>
    <col min="6" max="6" width="17.5546875" style="13" customWidth="1"/>
    <col min="7" max="7" width="16.44140625" style="13" customWidth="1"/>
    <col min="8" max="8" width="60.5546875" style="13" customWidth="1"/>
    <col min="9" max="10" width="15.109375" style="13" bestFit="1" customWidth="1"/>
    <col min="11" max="11" width="24.109375" style="13" bestFit="1" customWidth="1"/>
    <col min="12" max="12" width="8" style="13" bestFit="1" customWidth="1"/>
    <col min="13" max="13" width="4.6640625" style="13" bestFit="1" customWidth="1"/>
    <col min="14" max="14" width="4.6640625" style="13" customWidth="1"/>
    <col min="15" max="15" width="16.5546875" style="14" customWidth="1"/>
    <col min="16" max="16" width="12" style="14" bestFit="1" customWidth="1"/>
    <col min="17" max="16384" width="19.109375" style="13"/>
  </cols>
  <sheetData>
    <row r="1" spans="1:16" s="21" customFormat="1" ht="136.5" customHeight="1" x14ac:dyDescent="0.3">
      <c r="A1" s="156" t="s">
        <v>50</v>
      </c>
      <c r="B1" s="156" t="s">
        <v>9</v>
      </c>
      <c r="C1" s="156" t="s">
        <v>11</v>
      </c>
      <c r="D1" s="156" t="s">
        <v>51</v>
      </c>
      <c r="E1" s="156" t="s">
        <v>52</v>
      </c>
      <c r="F1" s="156" t="s">
        <v>53</v>
      </c>
      <c r="G1" s="156" t="s">
        <v>54</v>
      </c>
      <c r="H1" s="156" t="s">
        <v>55</v>
      </c>
      <c r="I1" s="156" t="s">
        <v>56</v>
      </c>
      <c r="J1" s="156" t="s">
        <v>13</v>
      </c>
      <c r="K1" s="156" t="s">
        <v>57</v>
      </c>
      <c r="L1" s="156" t="s">
        <v>58</v>
      </c>
      <c r="M1" s="156" t="s">
        <v>59</v>
      </c>
      <c r="N1" s="156" t="s">
        <v>21</v>
      </c>
      <c r="O1" s="156" t="s">
        <v>60</v>
      </c>
      <c r="P1" s="156" t="s">
        <v>61</v>
      </c>
    </row>
    <row r="2" spans="1:16" ht="41.4" x14ac:dyDescent="0.3">
      <c r="A2" s="157" t="s">
        <v>62</v>
      </c>
      <c r="B2" s="157" t="s">
        <v>63</v>
      </c>
      <c r="C2" s="158" t="s">
        <v>64</v>
      </c>
      <c r="D2" s="157" t="s">
        <v>65</v>
      </c>
      <c r="E2" s="159" t="s">
        <v>66</v>
      </c>
      <c r="F2" s="159" t="s">
        <v>67</v>
      </c>
      <c r="G2" s="159" t="s">
        <v>68</v>
      </c>
      <c r="H2" s="157" t="s">
        <v>69</v>
      </c>
      <c r="I2" s="159" t="s">
        <v>70</v>
      </c>
      <c r="J2" s="159" t="s">
        <v>71</v>
      </c>
      <c r="K2" s="159" t="s">
        <v>72</v>
      </c>
      <c r="L2" s="159" t="s">
        <v>73</v>
      </c>
      <c r="M2" s="159"/>
      <c r="N2" s="159">
        <v>1</v>
      </c>
      <c r="O2" s="160"/>
      <c r="P2" s="160" t="s">
        <v>74</v>
      </c>
    </row>
    <row r="3" spans="1:16" ht="110.4" x14ac:dyDescent="0.3">
      <c r="A3" s="157" t="s">
        <v>75</v>
      </c>
      <c r="B3" s="157" t="s">
        <v>76</v>
      </c>
      <c r="C3" s="158" t="s">
        <v>77</v>
      </c>
      <c r="D3" s="157" t="s">
        <v>78</v>
      </c>
      <c r="E3" s="159" t="s">
        <v>79</v>
      </c>
      <c r="F3" s="159" t="s">
        <v>80</v>
      </c>
      <c r="G3" s="159" t="s">
        <v>81</v>
      </c>
      <c r="H3" s="157" t="s">
        <v>82</v>
      </c>
      <c r="I3" s="159" t="s">
        <v>70</v>
      </c>
      <c r="J3" s="159" t="s">
        <v>71</v>
      </c>
      <c r="K3" s="159" t="s">
        <v>83</v>
      </c>
      <c r="L3" s="159" t="s">
        <v>84</v>
      </c>
      <c r="M3" s="159">
        <v>365</v>
      </c>
      <c r="N3" s="159">
        <v>1</v>
      </c>
      <c r="O3" s="160"/>
      <c r="P3" s="160" t="s">
        <v>85</v>
      </c>
    </row>
    <row r="4" spans="1:16" ht="44.1" customHeight="1" x14ac:dyDescent="0.3">
      <c r="A4" s="157" t="s">
        <v>86</v>
      </c>
      <c r="B4" s="157" t="s">
        <v>87</v>
      </c>
      <c r="C4" s="158" t="s">
        <v>64</v>
      </c>
      <c r="D4" s="157" t="s">
        <v>88</v>
      </c>
      <c r="E4" s="159" t="s">
        <v>89</v>
      </c>
      <c r="F4" s="159" t="s">
        <v>90</v>
      </c>
      <c r="G4" s="159" t="s">
        <v>91</v>
      </c>
      <c r="H4" s="157" t="s">
        <v>92</v>
      </c>
      <c r="I4" s="159" t="s">
        <v>93</v>
      </c>
      <c r="J4" s="159" t="s">
        <v>94</v>
      </c>
      <c r="K4" s="159" t="s">
        <v>95</v>
      </c>
      <c r="L4" s="159" t="s">
        <v>73</v>
      </c>
      <c r="M4" s="159"/>
      <c r="N4" s="159">
        <v>1</v>
      </c>
      <c r="O4" s="160" t="s">
        <v>96</v>
      </c>
      <c r="P4" s="160"/>
    </row>
    <row r="5" spans="1:16" ht="41.4" x14ac:dyDescent="0.3">
      <c r="A5" s="157" t="s">
        <v>97</v>
      </c>
      <c r="B5" s="157" t="s">
        <v>98</v>
      </c>
      <c r="C5" s="158" t="s">
        <v>64</v>
      </c>
      <c r="D5" s="157" t="s">
        <v>99</v>
      </c>
      <c r="E5" s="159" t="s">
        <v>89</v>
      </c>
      <c r="F5" s="159" t="s">
        <v>100</v>
      </c>
      <c r="G5" s="159" t="s">
        <v>91</v>
      </c>
      <c r="H5" s="159" t="s">
        <v>101</v>
      </c>
      <c r="I5" s="159" t="s">
        <v>102</v>
      </c>
      <c r="J5" s="159" t="s">
        <v>94</v>
      </c>
      <c r="K5" s="159" t="s">
        <v>103</v>
      </c>
      <c r="L5" s="159" t="s">
        <v>73</v>
      </c>
      <c r="M5" s="159"/>
      <c r="N5" s="159">
        <v>1</v>
      </c>
      <c r="O5" s="160" t="s">
        <v>96</v>
      </c>
      <c r="P5" s="160"/>
    </row>
    <row r="6" spans="1:16" ht="88.5" customHeight="1" x14ac:dyDescent="0.3">
      <c r="A6" s="157" t="s">
        <v>104</v>
      </c>
      <c r="B6" s="157" t="s">
        <v>105</v>
      </c>
      <c r="C6" s="158" t="s">
        <v>64</v>
      </c>
      <c r="D6" s="161" t="s">
        <v>106</v>
      </c>
      <c r="E6" s="159" t="s">
        <v>107</v>
      </c>
      <c r="F6" s="159" t="s">
        <v>108</v>
      </c>
      <c r="G6" s="159" t="s">
        <v>109</v>
      </c>
      <c r="H6" s="159" t="s">
        <v>110</v>
      </c>
      <c r="I6" s="159" t="s">
        <v>70</v>
      </c>
      <c r="J6" s="159" t="s">
        <v>111</v>
      </c>
      <c r="K6" s="159" t="s">
        <v>112</v>
      </c>
      <c r="L6" s="159" t="s">
        <v>84</v>
      </c>
      <c r="M6" s="159">
        <v>365</v>
      </c>
      <c r="N6" s="159">
        <v>1</v>
      </c>
      <c r="O6" s="160"/>
      <c r="P6" s="160" t="s">
        <v>113</v>
      </c>
    </row>
    <row r="7" spans="1:16" ht="69" x14ac:dyDescent="0.3">
      <c r="A7" s="157" t="s">
        <v>114</v>
      </c>
      <c r="B7" s="157" t="s">
        <v>115</v>
      </c>
      <c r="C7" s="158" t="s">
        <v>64</v>
      </c>
      <c r="D7" s="157" t="s">
        <v>116</v>
      </c>
      <c r="E7" s="159" t="s">
        <v>117</v>
      </c>
      <c r="F7" s="159" t="s">
        <v>80</v>
      </c>
      <c r="G7" s="159" t="s">
        <v>68</v>
      </c>
      <c r="H7" s="157" t="s">
        <v>118</v>
      </c>
      <c r="I7" s="159" t="s">
        <v>70</v>
      </c>
      <c r="J7" s="159" t="s">
        <v>119</v>
      </c>
      <c r="K7" s="159" t="s">
        <v>120</v>
      </c>
      <c r="L7" s="159" t="s">
        <v>73</v>
      </c>
      <c r="M7" s="159"/>
      <c r="N7" s="159">
        <v>1</v>
      </c>
      <c r="O7" s="160" t="s">
        <v>121</v>
      </c>
      <c r="P7" s="160" t="s">
        <v>113</v>
      </c>
    </row>
    <row r="8" spans="1:16" ht="110.4" x14ac:dyDescent="0.3">
      <c r="A8" s="157" t="s">
        <v>122</v>
      </c>
      <c r="B8" s="157" t="s">
        <v>123</v>
      </c>
      <c r="C8" s="158" t="s">
        <v>124</v>
      </c>
      <c r="D8" s="161" t="s">
        <v>125</v>
      </c>
      <c r="E8" s="159" t="s">
        <v>107</v>
      </c>
      <c r="F8" s="159" t="s">
        <v>80</v>
      </c>
      <c r="G8" s="159" t="s">
        <v>126</v>
      </c>
      <c r="H8" s="159" t="s">
        <v>127</v>
      </c>
      <c r="I8" s="159" t="s">
        <v>128</v>
      </c>
      <c r="J8" s="159" t="s">
        <v>129</v>
      </c>
      <c r="K8" s="157" t="s">
        <v>130</v>
      </c>
      <c r="L8" s="157" t="s">
        <v>84</v>
      </c>
      <c r="M8" s="157">
        <v>365</v>
      </c>
      <c r="N8" s="157">
        <v>1</v>
      </c>
      <c r="O8" s="160" t="s">
        <v>96</v>
      </c>
      <c r="P8" s="160"/>
    </row>
    <row r="9" spans="1:16" ht="39.6" customHeight="1" x14ac:dyDescent="0.3">
      <c r="A9" s="157" t="s">
        <v>131</v>
      </c>
      <c r="B9" s="157" t="s">
        <v>132</v>
      </c>
      <c r="C9" s="158" t="s">
        <v>64</v>
      </c>
      <c r="D9" s="157" t="s">
        <v>133</v>
      </c>
      <c r="E9" s="159" t="s">
        <v>134</v>
      </c>
      <c r="F9" s="159" t="s">
        <v>80</v>
      </c>
      <c r="G9" s="159" t="s">
        <v>81</v>
      </c>
      <c r="H9" s="157" t="s">
        <v>135</v>
      </c>
      <c r="I9" s="159" t="s">
        <v>70</v>
      </c>
      <c r="J9" s="159" t="s">
        <v>71</v>
      </c>
      <c r="K9" s="159" t="s">
        <v>136</v>
      </c>
      <c r="L9" s="159" t="s">
        <v>84</v>
      </c>
      <c r="M9" s="159">
        <v>365</v>
      </c>
      <c r="N9" s="159">
        <v>1</v>
      </c>
      <c r="O9" s="160" t="s">
        <v>121</v>
      </c>
      <c r="P9" s="160" t="s">
        <v>113</v>
      </c>
    </row>
    <row r="10" spans="1:16" ht="77.099999999999994" customHeight="1" x14ac:dyDescent="0.3">
      <c r="A10" s="157" t="s">
        <v>137</v>
      </c>
      <c r="B10" s="157" t="s">
        <v>132</v>
      </c>
      <c r="C10" s="158" t="s">
        <v>64</v>
      </c>
      <c r="D10" s="157" t="s">
        <v>133</v>
      </c>
      <c r="E10" s="159" t="s">
        <v>89</v>
      </c>
      <c r="F10" s="159" t="s">
        <v>138</v>
      </c>
      <c r="G10" s="159" t="s">
        <v>139</v>
      </c>
      <c r="H10" s="157" t="s">
        <v>140</v>
      </c>
      <c r="I10" s="159" t="s">
        <v>141</v>
      </c>
      <c r="J10" s="159" t="s">
        <v>71</v>
      </c>
      <c r="K10" s="159" t="s">
        <v>142</v>
      </c>
      <c r="L10" s="159" t="s">
        <v>84</v>
      </c>
      <c r="M10" s="159">
        <v>1095</v>
      </c>
      <c r="N10" s="159">
        <v>2</v>
      </c>
      <c r="O10" s="162" t="s">
        <v>143</v>
      </c>
      <c r="P10" s="160"/>
    </row>
    <row r="11" spans="1:16" ht="82.8" x14ac:dyDescent="0.3">
      <c r="A11" s="157" t="s">
        <v>144</v>
      </c>
      <c r="B11" s="157" t="s">
        <v>145</v>
      </c>
      <c r="C11" s="158" t="s">
        <v>64</v>
      </c>
      <c r="D11" s="157" t="s">
        <v>146</v>
      </c>
      <c r="E11" s="159" t="s">
        <v>147</v>
      </c>
      <c r="F11" s="159" t="s">
        <v>148</v>
      </c>
      <c r="G11" s="159" t="s">
        <v>139</v>
      </c>
      <c r="H11" s="157" t="s">
        <v>149</v>
      </c>
      <c r="I11" s="159" t="s">
        <v>70</v>
      </c>
      <c r="J11" s="159" t="s">
        <v>71</v>
      </c>
      <c r="K11" s="159" t="s">
        <v>150</v>
      </c>
      <c r="L11" s="159" t="s">
        <v>84</v>
      </c>
      <c r="M11" s="159">
        <v>365</v>
      </c>
      <c r="N11" s="159">
        <v>2</v>
      </c>
      <c r="O11" s="160" t="s">
        <v>151</v>
      </c>
      <c r="P11" s="160" t="s">
        <v>152</v>
      </c>
    </row>
    <row r="12" spans="1:16" ht="41.4" x14ac:dyDescent="0.3">
      <c r="A12" s="157" t="s">
        <v>153</v>
      </c>
      <c r="B12" s="157" t="s">
        <v>145</v>
      </c>
      <c r="C12" s="158" t="s">
        <v>154</v>
      </c>
      <c r="D12" s="157" t="s">
        <v>146</v>
      </c>
      <c r="E12" s="159" t="s">
        <v>155</v>
      </c>
      <c r="F12" s="159" t="s">
        <v>156</v>
      </c>
      <c r="G12" s="159" t="s">
        <v>157</v>
      </c>
      <c r="H12" s="157" t="s">
        <v>158</v>
      </c>
      <c r="I12" s="159" t="s">
        <v>159</v>
      </c>
      <c r="J12" s="159" t="s">
        <v>160</v>
      </c>
      <c r="K12" s="159" t="s">
        <v>161</v>
      </c>
      <c r="L12" s="159" t="s">
        <v>84</v>
      </c>
      <c r="M12" s="159">
        <v>365</v>
      </c>
      <c r="N12" s="159">
        <v>8</v>
      </c>
      <c r="O12" s="160" t="s">
        <v>96</v>
      </c>
      <c r="P12" s="160"/>
    </row>
    <row r="13" spans="1:16" ht="55.2" x14ac:dyDescent="0.3">
      <c r="A13" s="157" t="s">
        <v>162</v>
      </c>
      <c r="B13" s="157" t="s">
        <v>163</v>
      </c>
      <c r="C13" s="158" t="s">
        <v>64</v>
      </c>
      <c r="D13" s="157" t="s">
        <v>164</v>
      </c>
      <c r="E13" s="159" t="s">
        <v>134</v>
      </c>
      <c r="F13" s="159" t="s">
        <v>80</v>
      </c>
      <c r="G13" s="159" t="s">
        <v>81</v>
      </c>
      <c r="H13" s="157" t="s">
        <v>165</v>
      </c>
      <c r="I13" s="159" t="s">
        <v>70</v>
      </c>
      <c r="J13" s="159" t="s">
        <v>166</v>
      </c>
      <c r="K13" s="159" t="s">
        <v>167</v>
      </c>
      <c r="L13" s="159" t="s">
        <v>84</v>
      </c>
      <c r="M13" s="159">
        <v>365</v>
      </c>
      <c r="N13" s="159">
        <v>1</v>
      </c>
      <c r="O13" s="160" t="s">
        <v>168</v>
      </c>
      <c r="P13" s="160" t="s">
        <v>169</v>
      </c>
    </row>
    <row r="14" spans="1:16" ht="27.6" x14ac:dyDescent="0.3">
      <c r="A14" s="157" t="s">
        <v>170</v>
      </c>
      <c r="B14" s="157" t="s">
        <v>163</v>
      </c>
      <c r="C14" s="158" t="s">
        <v>64</v>
      </c>
      <c r="D14" s="157" t="s">
        <v>164</v>
      </c>
      <c r="E14" s="159" t="s">
        <v>89</v>
      </c>
      <c r="F14" s="159" t="s">
        <v>171</v>
      </c>
      <c r="G14" s="159" t="s">
        <v>91</v>
      </c>
      <c r="H14" s="157" t="s">
        <v>172</v>
      </c>
      <c r="I14" s="159" t="s">
        <v>173</v>
      </c>
      <c r="J14" s="159" t="s">
        <v>174</v>
      </c>
      <c r="K14" s="159" t="s">
        <v>175</v>
      </c>
      <c r="L14" s="159" t="s">
        <v>84</v>
      </c>
      <c r="M14" s="159">
        <v>365</v>
      </c>
      <c r="N14" s="159">
        <v>2</v>
      </c>
      <c r="O14" s="160" t="s">
        <v>96</v>
      </c>
      <c r="P14" s="160"/>
    </row>
    <row r="15" spans="1:16" ht="55.2" x14ac:dyDescent="0.3">
      <c r="A15" s="157" t="s">
        <v>176</v>
      </c>
      <c r="B15" s="157" t="s">
        <v>177</v>
      </c>
      <c r="C15" s="158" t="s">
        <v>178</v>
      </c>
      <c r="D15" s="157" t="s">
        <v>179</v>
      </c>
      <c r="E15" s="159" t="s">
        <v>89</v>
      </c>
      <c r="F15" s="159" t="s">
        <v>180</v>
      </c>
      <c r="G15" s="159" t="s">
        <v>68</v>
      </c>
      <c r="H15" s="157" t="s">
        <v>181</v>
      </c>
      <c r="I15" s="159" t="s">
        <v>182</v>
      </c>
      <c r="J15" s="159" t="s">
        <v>183</v>
      </c>
      <c r="K15" s="159" t="s">
        <v>175</v>
      </c>
      <c r="L15" s="159" t="s">
        <v>84</v>
      </c>
      <c r="M15" s="159">
        <v>365</v>
      </c>
      <c r="N15" s="159">
        <v>2</v>
      </c>
      <c r="O15" s="160" t="s">
        <v>96</v>
      </c>
      <c r="P15" s="160"/>
    </row>
    <row r="16" spans="1:16" ht="41.4" x14ac:dyDescent="0.3">
      <c r="A16" s="157" t="s">
        <v>184</v>
      </c>
      <c r="B16" s="157" t="s">
        <v>185</v>
      </c>
      <c r="C16" s="158" t="s">
        <v>64</v>
      </c>
      <c r="D16" s="157" t="s">
        <v>186</v>
      </c>
      <c r="E16" s="159" t="s">
        <v>79</v>
      </c>
      <c r="F16" s="159" t="s">
        <v>187</v>
      </c>
      <c r="G16" s="159" t="s">
        <v>81</v>
      </c>
      <c r="H16" s="157" t="s">
        <v>188</v>
      </c>
      <c r="I16" s="159" t="s">
        <v>70</v>
      </c>
      <c r="J16" s="159" t="s">
        <v>71</v>
      </c>
      <c r="K16" s="159" t="s">
        <v>189</v>
      </c>
      <c r="L16" s="159" t="s">
        <v>84</v>
      </c>
      <c r="M16" s="159">
        <v>365</v>
      </c>
      <c r="N16" s="159">
        <v>1</v>
      </c>
      <c r="O16" s="160"/>
      <c r="P16" s="160" t="s">
        <v>190</v>
      </c>
    </row>
    <row r="17" spans="1:16" ht="41.4" x14ac:dyDescent="0.3">
      <c r="A17" s="157" t="s">
        <v>191</v>
      </c>
      <c r="B17" s="157" t="s">
        <v>185</v>
      </c>
      <c r="C17" s="158" t="s">
        <v>192</v>
      </c>
      <c r="D17" s="157" t="s">
        <v>186</v>
      </c>
      <c r="E17" s="159" t="s">
        <v>107</v>
      </c>
      <c r="F17" s="159" t="s">
        <v>193</v>
      </c>
      <c r="G17" s="159" t="s">
        <v>194</v>
      </c>
      <c r="H17" s="159" t="s">
        <v>195</v>
      </c>
      <c r="I17" s="159" t="s">
        <v>196</v>
      </c>
      <c r="J17" s="159" t="s">
        <v>197</v>
      </c>
      <c r="K17" s="159" t="s">
        <v>198</v>
      </c>
      <c r="L17" s="159" t="s">
        <v>84</v>
      </c>
      <c r="M17" s="159">
        <v>1095</v>
      </c>
      <c r="N17" s="159">
        <v>4</v>
      </c>
      <c r="O17" s="160" t="s">
        <v>96</v>
      </c>
      <c r="P17" s="160"/>
    </row>
    <row r="18" spans="1:16" ht="55.2" x14ac:dyDescent="0.3">
      <c r="A18" s="157" t="s">
        <v>199</v>
      </c>
      <c r="B18" s="157" t="s">
        <v>200</v>
      </c>
      <c r="C18" s="158" t="s">
        <v>64</v>
      </c>
      <c r="D18" s="157" t="s">
        <v>201</v>
      </c>
      <c r="E18" s="159" t="s">
        <v>107</v>
      </c>
      <c r="F18" s="159" t="s">
        <v>80</v>
      </c>
      <c r="G18" s="159" t="s">
        <v>202</v>
      </c>
      <c r="H18" s="159" t="s">
        <v>203</v>
      </c>
      <c r="I18" s="159" t="s">
        <v>70</v>
      </c>
      <c r="J18" s="159" t="s">
        <v>71</v>
      </c>
      <c r="K18" s="159" t="s">
        <v>189</v>
      </c>
      <c r="L18" s="159" t="s">
        <v>84</v>
      </c>
      <c r="M18" s="159">
        <v>365</v>
      </c>
      <c r="N18" s="159">
        <v>1</v>
      </c>
      <c r="O18" s="160" t="s">
        <v>168</v>
      </c>
      <c r="P18" s="160" t="s">
        <v>169</v>
      </c>
    </row>
    <row r="19" spans="1:16" ht="55.2" x14ac:dyDescent="0.3">
      <c r="A19" s="157" t="s">
        <v>204</v>
      </c>
      <c r="B19" s="157" t="s">
        <v>200</v>
      </c>
      <c r="C19" s="158" t="s">
        <v>154</v>
      </c>
      <c r="D19" s="157" t="s">
        <v>201</v>
      </c>
      <c r="E19" s="159" t="s">
        <v>107</v>
      </c>
      <c r="F19" s="159" t="s">
        <v>205</v>
      </c>
      <c r="G19" s="159" t="s">
        <v>202</v>
      </c>
      <c r="H19" s="159" t="s">
        <v>206</v>
      </c>
      <c r="I19" s="159" t="s">
        <v>196</v>
      </c>
      <c r="J19" s="159" t="s">
        <v>207</v>
      </c>
      <c r="K19" s="157" t="s">
        <v>208</v>
      </c>
      <c r="L19" s="157" t="s">
        <v>84</v>
      </c>
      <c r="M19" s="157">
        <v>365</v>
      </c>
      <c r="N19" s="157">
        <v>8</v>
      </c>
      <c r="O19" s="160" t="s">
        <v>96</v>
      </c>
      <c r="P19" s="160"/>
    </row>
    <row r="20" spans="1:16" ht="55.2" x14ac:dyDescent="0.3">
      <c r="A20" s="157" t="s">
        <v>209</v>
      </c>
      <c r="B20" s="157" t="s">
        <v>210</v>
      </c>
      <c r="C20" s="158" t="s">
        <v>64</v>
      </c>
      <c r="D20" s="157" t="s">
        <v>211</v>
      </c>
      <c r="E20" s="159" t="s">
        <v>212</v>
      </c>
      <c r="F20" s="159" t="s">
        <v>213</v>
      </c>
      <c r="G20" s="159" t="s">
        <v>81</v>
      </c>
      <c r="H20" s="157" t="s">
        <v>214</v>
      </c>
      <c r="I20" s="159" t="s">
        <v>70</v>
      </c>
      <c r="J20" s="159" t="s">
        <v>71</v>
      </c>
      <c r="K20" s="159" t="s">
        <v>215</v>
      </c>
      <c r="L20" s="159" t="s">
        <v>73</v>
      </c>
      <c r="M20" s="159"/>
      <c r="N20" s="159">
        <v>1</v>
      </c>
      <c r="O20" s="160" t="s">
        <v>168</v>
      </c>
      <c r="P20" s="160" t="s">
        <v>216</v>
      </c>
    </row>
    <row r="21" spans="1:16" ht="55.2" x14ac:dyDescent="0.3">
      <c r="A21" s="157" t="s">
        <v>217</v>
      </c>
      <c r="B21" s="157" t="s">
        <v>210</v>
      </c>
      <c r="C21" s="158" t="s">
        <v>64</v>
      </c>
      <c r="D21" s="157" t="s">
        <v>211</v>
      </c>
      <c r="E21" s="159" t="s">
        <v>218</v>
      </c>
      <c r="F21" s="159" t="s">
        <v>219</v>
      </c>
      <c r="G21" s="159" t="s">
        <v>157</v>
      </c>
      <c r="H21" s="157" t="s">
        <v>220</v>
      </c>
      <c r="I21" s="159" t="s">
        <v>70</v>
      </c>
      <c r="J21" s="159" t="s">
        <v>71</v>
      </c>
      <c r="K21" s="159" t="s">
        <v>221</v>
      </c>
      <c r="L21" s="159" t="s">
        <v>84</v>
      </c>
      <c r="M21" s="159">
        <v>365</v>
      </c>
      <c r="N21" s="159">
        <v>2</v>
      </c>
      <c r="O21" s="160" t="s">
        <v>168</v>
      </c>
      <c r="P21" s="160" t="s">
        <v>216</v>
      </c>
    </row>
    <row r="22" spans="1:16" ht="41.4" x14ac:dyDescent="0.3">
      <c r="A22" s="157" t="s">
        <v>222</v>
      </c>
      <c r="B22" s="157" t="s">
        <v>223</v>
      </c>
      <c r="C22" s="158" t="s">
        <v>64</v>
      </c>
      <c r="D22" s="157" t="s">
        <v>224</v>
      </c>
      <c r="E22" s="159" t="s">
        <v>225</v>
      </c>
      <c r="F22" s="159" t="s">
        <v>226</v>
      </c>
      <c r="G22" s="159" t="s">
        <v>227</v>
      </c>
      <c r="H22" s="157" t="s">
        <v>228</v>
      </c>
      <c r="I22" s="159" t="s">
        <v>196</v>
      </c>
      <c r="J22" s="159" t="s">
        <v>197</v>
      </c>
      <c r="K22" s="159" t="s">
        <v>229</v>
      </c>
      <c r="L22" s="159" t="s">
        <v>84</v>
      </c>
      <c r="M22" s="159">
        <v>365</v>
      </c>
      <c r="N22" s="159">
        <v>1</v>
      </c>
      <c r="O22" s="160"/>
      <c r="P22" s="160" t="s">
        <v>230</v>
      </c>
    </row>
    <row r="23" spans="1:16" ht="27.6" x14ac:dyDescent="0.3">
      <c r="A23" s="157" t="s">
        <v>231</v>
      </c>
      <c r="B23" s="157" t="s">
        <v>232</v>
      </c>
      <c r="C23" s="158" t="s">
        <v>64</v>
      </c>
      <c r="D23" s="157" t="s">
        <v>233</v>
      </c>
      <c r="E23" s="159" t="s">
        <v>234</v>
      </c>
      <c r="F23" s="159" t="s">
        <v>80</v>
      </c>
      <c r="G23" s="159" t="s">
        <v>139</v>
      </c>
      <c r="H23" s="157" t="s">
        <v>235</v>
      </c>
      <c r="I23" s="159" t="s">
        <v>70</v>
      </c>
      <c r="J23" s="159" t="s">
        <v>71</v>
      </c>
      <c r="K23" s="159" t="s">
        <v>221</v>
      </c>
      <c r="L23" s="159" t="s">
        <v>84</v>
      </c>
      <c r="M23" s="159">
        <v>365</v>
      </c>
      <c r="N23" s="159">
        <v>1</v>
      </c>
      <c r="O23" s="160"/>
      <c r="P23" s="160" t="s">
        <v>169</v>
      </c>
    </row>
    <row r="24" spans="1:16" ht="41.4" x14ac:dyDescent="0.3">
      <c r="A24" s="157" t="s">
        <v>236</v>
      </c>
      <c r="B24" s="157" t="s">
        <v>237</v>
      </c>
      <c r="C24" s="158" t="s">
        <v>64</v>
      </c>
      <c r="D24" s="157" t="s">
        <v>238</v>
      </c>
      <c r="E24" s="159" t="s">
        <v>234</v>
      </c>
      <c r="F24" s="159" t="s">
        <v>80</v>
      </c>
      <c r="G24" s="159" t="s">
        <v>239</v>
      </c>
      <c r="H24" s="157" t="s">
        <v>240</v>
      </c>
      <c r="I24" s="159" t="s">
        <v>70</v>
      </c>
      <c r="J24" s="159" t="s">
        <v>71</v>
      </c>
      <c r="K24" s="159" t="s">
        <v>221</v>
      </c>
      <c r="L24" s="159" t="s">
        <v>84</v>
      </c>
      <c r="M24" s="159">
        <v>365</v>
      </c>
      <c r="N24" s="159">
        <v>1</v>
      </c>
      <c r="O24" s="160"/>
      <c r="P24" s="160" t="s">
        <v>216</v>
      </c>
    </row>
    <row r="25" spans="1:16" ht="42" thickBot="1" x14ac:dyDescent="0.35">
      <c r="A25" s="157" t="s">
        <v>241</v>
      </c>
      <c r="B25" s="157" t="s">
        <v>242</v>
      </c>
      <c r="C25" s="158" t="s">
        <v>64</v>
      </c>
      <c r="D25" s="157" t="s">
        <v>243</v>
      </c>
      <c r="E25" s="159" t="s">
        <v>107</v>
      </c>
      <c r="F25" s="159" t="s">
        <v>244</v>
      </c>
      <c r="G25" s="159" t="s">
        <v>245</v>
      </c>
      <c r="H25" s="157" t="s">
        <v>246</v>
      </c>
      <c r="I25" s="159" t="s">
        <v>196</v>
      </c>
      <c r="J25" s="159" t="s">
        <v>247</v>
      </c>
      <c r="K25" s="163" t="s">
        <v>248</v>
      </c>
      <c r="L25" s="163" t="s">
        <v>84</v>
      </c>
      <c r="M25" s="163">
        <v>730</v>
      </c>
      <c r="N25" s="163">
        <v>1</v>
      </c>
      <c r="O25" s="160" t="s">
        <v>96</v>
      </c>
      <c r="P25" s="160"/>
    </row>
    <row r="26" spans="1:16" ht="55.8" thickBot="1" x14ac:dyDescent="0.35">
      <c r="A26" s="157" t="s">
        <v>249</v>
      </c>
      <c r="B26" s="157" t="s">
        <v>242</v>
      </c>
      <c r="C26" s="158" t="s">
        <v>250</v>
      </c>
      <c r="D26" s="157" t="s">
        <v>243</v>
      </c>
      <c r="E26" s="159" t="s">
        <v>107</v>
      </c>
      <c r="F26" s="159" t="s">
        <v>251</v>
      </c>
      <c r="G26" s="159" t="s">
        <v>252</v>
      </c>
      <c r="H26" s="159" t="s">
        <v>253</v>
      </c>
      <c r="I26" s="159" t="s">
        <v>70</v>
      </c>
      <c r="J26" s="164" t="s">
        <v>71</v>
      </c>
      <c r="K26" s="165" t="s">
        <v>254</v>
      </c>
      <c r="L26" s="166" t="s">
        <v>84</v>
      </c>
      <c r="M26" s="167">
        <v>1095</v>
      </c>
      <c r="N26" s="168">
        <v>5</v>
      </c>
      <c r="O26" s="169" t="s">
        <v>168</v>
      </c>
      <c r="P26" s="160" t="s">
        <v>113</v>
      </c>
    </row>
    <row r="27" spans="1:16" ht="44.1" customHeight="1" x14ac:dyDescent="0.3">
      <c r="A27" s="157" t="s">
        <v>255</v>
      </c>
      <c r="B27" s="157" t="s">
        <v>256</v>
      </c>
      <c r="C27" s="158" t="s">
        <v>257</v>
      </c>
      <c r="D27" s="157" t="s">
        <v>258</v>
      </c>
      <c r="E27" s="159" t="s">
        <v>259</v>
      </c>
      <c r="F27" s="159" t="s">
        <v>260</v>
      </c>
      <c r="G27" s="159" t="s">
        <v>261</v>
      </c>
      <c r="H27" s="157" t="s">
        <v>262</v>
      </c>
      <c r="I27" s="159" t="s">
        <v>263</v>
      </c>
      <c r="J27" s="159" t="s">
        <v>71</v>
      </c>
      <c r="K27" s="170" t="s">
        <v>175</v>
      </c>
      <c r="L27" s="170" t="s">
        <v>84</v>
      </c>
      <c r="M27" s="170">
        <v>365</v>
      </c>
      <c r="N27" s="170">
        <v>1</v>
      </c>
      <c r="O27" s="160"/>
      <c r="P27" s="160" t="s">
        <v>264</v>
      </c>
    </row>
    <row r="28" spans="1:16" ht="41.4" x14ac:dyDescent="0.3">
      <c r="A28" s="157" t="s">
        <v>265</v>
      </c>
      <c r="B28" s="157" t="s">
        <v>266</v>
      </c>
      <c r="C28" s="158" t="s">
        <v>64</v>
      </c>
      <c r="D28" s="157" t="s">
        <v>267</v>
      </c>
      <c r="E28" s="159" t="s">
        <v>259</v>
      </c>
      <c r="F28" s="159" t="s">
        <v>268</v>
      </c>
      <c r="G28" s="159" t="s">
        <v>139</v>
      </c>
      <c r="H28" s="157" t="s">
        <v>269</v>
      </c>
      <c r="I28" s="159" t="s">
        <v>70</v>
      </c>
      <c r="J28" s="159" t="s">
        <v>71</v>
      </c>
      <c r="K28" s="159" t="s">
        <v>175</v>
      </c>
      <c r="L28" s="159" t="s">
        <v>84</v>
      </c>
      <c r="M28" s="159">
        <v>365</v>
      </c>
      <c r="N28" s="159">
        <v>1</v>
      </c>
      <c r="O28" s="160"/>
      <c r="P28" s="160" t="s">
        <v>264</v>
      </c>
    </row>
    <row r="29" spans="1:16" ht="41.4" x14ac:dyDescent="0.3">
      <c r="A29" s="157" t="s">
        <v>270</v>
      </c>
      <c r="B29" s="157" t="s">
        <v>271</v>
      </c>
      <c r="C29" s="158" t="s">
        <v>64</v>
      </c>
      <c r="D29" s="157" t="s">
        <v>272</v>
      </c>
      <c r="E29" s="159" t="s">
        <v>107</v>
      </c>
      <c r="F29" s="159" t="s">
        <v>80</v>
      </c>
      <c r="G29" s="159" t="s">
        <v>273</v>
      </c>
      <c r="H29" s="159" t="s">
        <v>274</v>
      </c>
      <c r="I29" s="159" t="s">
        <v>70</v>
      </c>
      <c r="J29" s="159" t="s">
        <v>71</v>
      </c>
      <c r="K29" s="159" t="s">
        <v>275</v>
      </c>
      <c r="L29" s="159" t="s">
        <v>84</v>
      </c>
      <c r="M29" s="159">
        <v>365</v>
      </c>
      <c r="N29" s="159">
        <v>1</v>
      </c>
      <c r="O29" s="160" t="s">
        <v>121</v>
      </c>
      <c r="P29" s="160" t="s">
        <v>113</v>
      </c>
    </row>
    <row r="30" spans="1:16" ht="69" x14ac:dyDescent="0.3">
      <c r="A30" s="157" t="s">
        <v>276</v>
      </c>
      <c r="B30" s="157" t="s">
        <v>277</v>
      </c>
      <c r="C30" s="158" t="s">
        <v>64</v>
      </c>
      <c r="D30" s="157" t="s">
        <v>278</v>
      </c>
      <c r="E30" s="159" t="s">
        <v>107</v>
      </c>
      <c r="F30" s="159" t="s">
        <v>279</v>
      </c>
      <c r="G30" s="159" t="s">
        <v>273</v>
      </c>
      <c r="H30" s="159" t="s">
        <v>280</v>
      </c>
      <c r="I30" s="159" t="s">
        <v>196</v>
      </c>
      <c r="J30" s="159" t="s">
        <v>247</v>
      </c>
      <c r="K30" s="159" t="s">
        <v>281</v>
      </c>
      <c r="L30" s="159" t="s">
        <v>84</v>
      </c>
      <c r="M30" s="159">
        <v>365</v>
      </c>
      <c r="N30" s="159">
        <v>1</v>
      </c>
      <c r="O30" s="160" t="s">
        <v>282</v>
      </c>
      <c r="P30" s="160"/>
    </row>
    <row r="31" spans="1:16" ht="96.6" x14ac:dyDescent="0.3">
      <c r="A31" s="157" t="s">
        <v>283</v>
      </c>
      <c r="B31" s="157" t="s">
        <v>277</v>
      </c>
      <c r="C31" s="158" t="s">
        <v>192</v>
      </c>
      <c r="D31" s="157" t="s">
        <v>278</v>
      </c>
      <c r="E31" s="159" t="s">
        <v>107</v>
      </c>
      <c r="F31" s="159" t="s">
        <v>279</v>
      </c>
      <c r="G31" s="159" t="s">
        <v>273</v>
      </c>
      <c r="H31" s="159" t="s">
        <v>284</v>
      </c>
      <c r="I31" s="159" t="s">
        <v>70</v>
      </c>
      <c r="J31" s="159" t="s">
        <v>71</v>
      </c>
      <c r="K31" s="159" t="s">
        <v>275</v>
      </c>
      <c r="L31" s="159" t="s">
        <v>84</v>
      </c>
      <c r="M31" s="159">
        <v>365</v>
      </c>
      <c r="N31" s="159">
        <v>8</v>
      </c>
      <c r="O31" s="160" t="s">
        <v>285</v>
      </c>
      <c r="P31" s="160" t="s">
        <v>286</v>
      </c>
    </row>
    <row r="32" spans="1:16" ht="41.4" x14ac:dyDescent="0.3">
      <c r="A32" s="157" t="s">
        <v>287</v>
      </c>
      <c r="B32" s="157" t="s">
        <v>288</v>
      </c>
      <c r="C32" s="158" t="s">
        <v>64</v>
      </c>
      <c r="D32" s="157" t="s">
        <v>289</v>
      </c>
      <c r="E32" s="159" t="s">
        <v>134</v>
      </c>
      <c r="F32" s="159" t="s">
        <v>290</v>
      </c>
      <c r="G32" s="159" t="s">
        <v>81</v>
      </c>
      <c r="H32" s="157" t="s">
        <v>291</v>
      </c>
      <c r="I32" s="159" t="s">
        <v>70</v>
      </c>
      <c r="J32" s="159" t="s">
        <v>71</v>
      </c>
      <c r="K32" s="159" t="s">
        <v>292</v>
      </c>
      <c r="L32" s="159" t="s">
        <v>84</v>
      </c>
      <c r="M32" s="159">
        <v>730</v>
      </c>
      <c r="N32" s="159">
        <v>1</v>
      </c>
      <c r="O32" s="160" t="s">
        <v>293</v>
      </c>
      <c r="P32" s="160" t="s">
        <v>294</v>
      </c>
    </row>
    <row r="33" spans="1:16" ht="82.8" x14ac:dyDescent="0.3">
      <c r="A33" s="157" t="s">
        <v>295</v>
      </c>
      <c r="B33" s="157" t="s">
        <v>288</v>
      </c>
      <c r="C33" s="158" t="s">
        <v>64</v>
      </c>
      <c r="D33" s="157" t="s">
        <v>289</v>
      </c>
      <c r="E33" s="159" t="s">
        <v>296</v>
      </c>
      <c r="F33" s="159" t="s">
        <v>297</v>
      </c>
      <c r="G33" s="159" t="s">
        <v>273</v>
      </c>
      <c r="H33" s="157" t="s">
        <v>298</v>
      </c>
      <c r="I33" s="159" t="s">
        <v>70</v>
      </c>
      <c r="J33" s="159" t="s">
        <v>71</v>
      </c>
      <c r="K33" s="159" t="s">
        <v>275</v>
      </c>
      <c r="L33" s="159" t="s">
        <v>84</v>
      </c>
      <c r="M33" s="159">
        <v>365</v>
      </c>
      <c r="N33" s="159">
        <v>1</v>
      </c>
      <c r="O33" s="160" t="s">
        <v>293</v>
      </c>
      <c r="P33" s="160" t="s">
        <v>294</v>
      </c>
    </row>
    <row r="34" spans="1:16" ht="41.4" x14ac:dyDescent="0.3">
      <c r="A34" s="157" t="s">
        <v>299</v>
      </c>
      <c r="B34" s="157" t="s">
        <v>288</v>
      </c>
      <c r="C34" s="158" t="s">
        <v>64</v>
      </c>
      <c r="D34" s="157" t="s">
        <v>300</v>
      </c>
      <c r="E34" s="159" t="s">
        <v>301</v>
      </c>
      <c r="F34" s="159" t="s">
        <v>302</v>
      </c>
      <c r="G34" s="159" t="s">
        <v>81</v>
      </c>
      <c r="H34" s="157" t="s">
        <v>303</v>
      </c>
      <c r="I34" s="159" t="s">
        <v>70</v>
      </c>
      <c r="J34" s="159" t="s">
        <v>71</v>
      </c>
      <c r="K34" s="159" t="s">
        <v>275</v>
      </c>
      <c r="L34" s="159" t="s">
        <v>84</v>
      </c>
      <c r="M34" s="159">
        <v>365</v>
      </c>
      <c r="N34" s="159">
        <v>1</v>
      </c>
      <c r="O34" s="160" t="s">
        <v>293</v>
      </c>
      <c r="P34" s="160" t="s">
        <v>294</v>
      </c>
    </row>
    <row r="35" spans="1:16" ht="69" x14ac:dyDescent="0.3">
      <c r="A35" s="157" t="s">
        <v>304</v>
      </c>
      <c r="B35" s="157" t="s">
        <v>305</v>
      </c>
      <c r="C35" s="158" t="s">
        <v>306</v>
      </c>
      <c r="D35" s="157" t="s">
        <v>307</v>
      </c>
      <c r="E35" s="159" t="s">
        <v>107</v>
      </c>
      <c r="F35" s="159" t="s">
        <v>80</v>
      </c>
      <c r="G35" s="159" t="s">
        <v>308</v>
      </c>
      <c r="H35" s="159" t="s">
        <v>309</v>
      </c>
      <c r="I35" s="159" t="s">
        <v>70</v>
      </c>
      <c r="J35" s="159" t="s">
        <v>71</v>
      </c>
      <c r="K35" s="159" t="s">
        <v>275</v>
      </c>
      <c r="L35" s="159" t="s">
        <v>84</v>
      </c>
      <c r="M35" s="159">
        <v>365</v>
      </c>
      <c r="N35" s="159">
        <v>1</v>
      </c>
      <c r="O35" s="160" t="s">
        <v>310</v>
      </c>
      <c r="P35" s="160" t="s">
        <v>311</v>
      </c>
    </row>
    <row r="36" spans="1:16" ht="55.2" x14ac:dyDescent="0.3">
      <c r="A36" s="157" t="s">
        <v>312</v>
      </c>
      <c r="B36" s="157" t="s">
        <v>313</v>
      </c>
      <c r="C36" s="158" t="s">
        <v>306</v>
      </c>
      <c r="D36" s="157" t="s">
        <v>314</v>
      </c>
      <c r="E36" s="159" t="s">
        <v>315</v>
      </c>
      <c r="F36" s="159" t="s">
        <v>316</v>
      </c>
      <c r="G36" s="159" t="s">
        <v>317</v>
      </c>
      <c r="H36" s="159" t="s">
        <v>318</v>
      </c>
      <c r="I36" s="159" t="s">
        <v>70</v>
      </c>
      <c r="J36" s="159" t="s">
        <v>71</v>
      </c>
      <c r="K36" s="159" t="s">
        <v>275</v>
      </c>
      <c r="L36" s="159" t="s">
        <v>84</v>
      </c>
      <c r="M36" s="159">
        <v>365</v>
      </c>
      <c r="N36" s="159">
        <v>2</v>
      </c>
      <c r="O36" s="160" t="s">
        <v>121</v>
      </c>
      <c r="P36" s="160" t="s">
        <v>113</v>
      </c>
    </row>
    <row r="37" spans="1:16" ht="41.4" x14ac:dyDescent="0.3">
      <c r="A37" s="157" t="s">
        <v>319</v>
      </c>
      <c r="B37" s="157" t="s">
        <v>320</v>
      </c>
      <c r="C37" s="158" t="s">
        <v>64</v>
      </c>
      <c r="D37" s="157" t="s">
        <v>321</v>
      </c>
      <c r="E37" s="159" t="s">
        <v>107</v>
      </c>
      <c r="F37" s="159" t="s">
        <v>80</v>
      </c>
      <c r="G37" s="159" t="s">
        <v>322</v>
      </c>
      <c r="H37" s="159" t="s">
        <v>323</v>
      </c>
      <c r="I37" s="159" t="s">
        <v>70</v>
      </c>
      <c r="J37" s="159" t="s">
        <v>71</v>
      </c>
      <c r="K37" s="159" t="s">
        <v>275</v>
      </c>
      <c r="L37" s="159" t="s">
        <v>84</v>
      </c>
      <c r="M37" s="159">
        <v>365</v>
      </c>
      <c r="N37" s="159">
        <v>1</v>
      </c>
      <c r="O37" s="160" t="s">
        <v>121</v>
      </c>
      <c r="P37" s="160" t="s">
        <v>113</v>
      </c>
    </row>
    <row r="38" spans="1:16" ht="55.2" x14ac:dyDescent="0.3">
      <c r="A38" s="157" t="s">
        <v>324</v>
      </c>
      <c r="B38" s="157" t="s">
        <v>325</v>
      </c>
      <c r="C38" s="158" t="s">
        <v>64</v>
      </c>
      <c r="D38" s="157" t="s">
        <v>326</v>
      </c>
      <c r="E38" s="159" t="s">
        <v>327</v>
      </c>
      <c r="F38" s="159" t="s">
        <v>328</v>
      </c>
      <c r="G38" s="159" t="s">
        <v>329</v>
      </c>
      <c r="H38" s="157" t="s">
        <v>330</v>
      </c>
      <c r="I38" s="159" t="s">
        <v>331</v>
      </c>
      <c r="J38" s="159" t="s">
        <v>332</v>
      </c>
      <c r="K38" s="159" t="s">
        <v>333</v>
      </c>
      <c r="L38" s="159" t="s">
        <v>84</v>
      </c>
      <c r="M38" s="159">
        <v>365</v>
      </c>
      <c r="N38" s="159">
        <v>1</v>
      </c>
      <c r="O38" s="160" t="s">
        <v>96</v>
      </c>
      <c r="P38" s="160"/>
    </row>
    <row r="39" spans="1:16" ht="27.6" x14ac:dyDescent="0.3">
      <c r="A39" s="157" t="s">
        <v>334</v>
      </c>
      <c r="B39" s="157" t="s">
        <v>335</v>
      </c>
      <c r="C39" s="158" t="s">
        <v>64</v>
      </c>
      <c r="D39" s="157" t="s">
        <v>336</v>
      </c>
      <c r="E39" s="159" t="s">
        <v>337</v>
      </c>
      <c r="F39" s="159" t="s">
        <v>338</v>
      </c>
      <c r="G39" s="159" t="s">
        <v>81</v>
      </c>
      <c r="H39" s="157" t="s">
        <v>339</v>
      </c>
      <c r="I39" s="159" t="s">
        <v>70</v>
      </c>
      <c r="J39" s="159" t="s">
        <v>71</v>
      </c>
      <c r="K39" s="159" t="s">
        <v>275</v>
      </c>
      <c r="L39" s="159" t="s">
        <v>84</v>
      </c>
      <c r="M39" s="159">
        <v>365</v>
      </c>
      <c r="N39" s="159">
        <v>1</v>
      </c>
      <c r="O39" s="160"/>
      <c r="P39" s="160" t="s">
        <v>230</v>
      </c>
    </row>
    <row r="40" spans="1:16" ht="55.2" x14ac:dyDescent="0.3">
      <c r="A40" s="157" t="s">
        <v>340</v>
      </c>
      <c r="B40" s="157" t="s">
        <v>341</v>
      </c>
      <c r="C40" s="158" t="s">
        <v>64</v>
      </c>
      <c r="D40" s="157" t="s">
        <v>342</v>
      </c>
      <c r="E40" s="159" t="s">
        <v>343</v>
      </c>
      <c r="F40" s="159" t="s">
        <v>344</v>
      </c>
      <c r="G40" s="159" t="s">
        <v>91</v>
      </c>
      <c r="H40" s="157" t="s">
        <v>345</v>
      </c>
      <c r="I40" s="159" t="s">
        <v>70</v>
      </c>
      <c r="J40" s="159" t="s">
        <v>71</v>
      </c>
      <c r="K40" s="159" t="s">
        <v>275</v>
      </c>
      <c r="L40" s="159" t="s">
        <v>84</v>
      </c>
      <c r="M40" s="159">
        <v>365</v>
      </c>
      <c r="N40" s="159">
        <v>1</v>
      </c>
      <c r="O40" s="160"/>
      <c r="P40" s="160" t="s">
        <v>230</v>
      </c>
    </row>
    <row r="41" spans="1:16" ht="55.2" x14ac:dyDescent="0.3">
      <c r="A41" s="157" t="s">
        <v>346</v>
      </c>
      <c r="B41" s="157" t="s">
        <v>347</v>
      </c>
      <c r="C41" s="158" t="s">
        <v>64</v>
      </c>
      <c r="D41" s="157" t="s">
        <v>348</v>
      </c>
      <c r="E41" s="159" t="s">
        <v>349</v>
      </c>
      <c r="F41" s="160" t="s">
        <v>350</v>
      </c>
      <c r="G41" s="159" t="s">
        <v>81</v>
      </c>
      <c r="H41" s="157" t="s">
        <v>351</v>
      </c>
      <c r="I41" s="159" t="s">
        <v>70</v>
      </c>
      <c r="J41" s="159" t="s">
        <v>71</v>
      </c>
      <c r="K41" s="160" t="s">
        <v>83</v>
      </c>
      <c r="L41" s="160" t="s">
        <v>84</v>
      </c>
      <c r="M41" s="160">
        <v>365</v>
      </c>
      <c r="N41" s="160">
        <v>1</v>
      </c>
      <c r="O41" s="160"/>
      <c r="P41" s="160" t="s">
        <v>352</v>
      </c>
    </row>
    <row r="42" spans="1:16" ht="41.4" x14ac:dyDescent="0.3">
      <c r="A42" s="157" t="s">
        <v>353</v>
      </c>
      <c r="B42" s="157" t="s">
        <v>354</v>
      </c>
      <c r="C42" s="158" t="s">
        <v>64</v>
      </c>
      <c r="D42" s="157" t="s">
        <v>355</v>
      </c>
      <c r="E42" s="159" t="s">
        <v>107</v>
      </c>
      <c r="F42" s="160" t="s">
        <v>356</v>
      </c>
      <c r="G42" s="159" t="s">
        <v>357</v>
      </c>
      <c r="H42" s="157" t="s">
        <v>358</v>
      </c>
      <c r="I42" s="159" t="s">
        <v>196</v>
      </c>
      <c r="J42" s="159" t="s">
        <v>247</v>
      </c>
      <c r="K42" s="160" t="s">
        <v>275</v>
      </c>
      <c r="L42" s="160" t="s">
        <v>84</v>
      </c>
      <c r="M42" s="160">
        <v>365</v>
      </c>
      <c r="N42" s="160">
        <v>1</v>
      </c>
      <c r="O42" s="160" t="s">
        <v>96</v>
      </c>
      <c r="P42" s="160"/>
    </row>
    <row r="43" spans="1:16" ht="41.4" x14ac:dyDescent="0.3">
      <c r="A43" s="157" t="s">
        <v>359</v>
      </c>
      <c r="B43" s="157" t="s">
        <v>354</v>
      </c>
      <c r="C43" s="158" t="s">
        <v>306</v>
      </c>
      <c r="D43" s="157" t="s">
        <v>355</v>
      </c>
      <c r="E43" s="159" t="s">
        <v>79</v>
      </c>
      <c r="F43" s="160" t="s">
        <v>356</v>
      </c>
      <c r="G43" s="159" t="s">
        <v>81</v>
      </c>
      <c r="H43" s="157" t="s">
        <v>360</v>
      </c>
      <c r="I43" s="159" t="s">
        <v>70</v>
      </c>
      <c r="J43" s="159" t="s">
        <v>71</v>
      </c>
      <c r="K43" s="160" t="s">
        <v>361</v>
      </c>
      <c r="L43" s="160" t="s">
        <v>73</v>
      </c>
      <c r="M43" s="160"/>
      <c r="N43" s="160">
        <v>8</v>
      </c>
      <c r="O43" s="160"/>
      <c r="P43" s="160" t="s">
        <v>190</v>
      </c>
    </row>
    <row r="44" spans="1:16" ht="110.4" x14ac:dyDescent="0.3">
      <c r="A44" s="157" t="s">
        <v>362</v>
      </c>
      <c r="B44" s="157" t="s">
        <v>363</v>
      </c>
      <c r="C44" s="158" t="s">
        <v>64</v>
      </c>
      <c r="D44" s="157" t="s">
        <v>364</v>
      </c>
      <c r="E44" s="159" t="s">
        <v>296</v>
      </c>
      <c r="F44" s="159" t="s">
        <v>365</v>
      </c>
      <c r="G44" s="159" t="s">
        <v>366</v>
      </c>
      <c r="H44" s="157" t="s">
        <v>367</v>
      </c>
      <c r="I44" s="159" t="s">
        <v>70</v>
      </c>
      <c r="J44" s="159" t="s">
        <v>71</v>
      </c>
      <c r="K44" s="157" t="s">
        <v>368</v>
      </c>
      <c r="L44" s="157" t="s">
        <v>73</v>
      </c>
      <c r="M44" s="157"/>
      <c r="N44" s="157">
        <v>1</v>
      </c>
      <c r="O44" s="160"/>
      <c r="P44" s="160" t="s">
        <v>286</v>
      </c>
    </row>
    <row r="45" spans="1:16" ht="55.2" x14ac:dyDescent="0.3">
      <c r="A45" s="157" t="s">
        <v>369</v>
      </c>
      <c r="B45" s="157" t="s">
        <v>370</v>
      </c>
      <c r="C45" s="158" t="s">
        <v>64</v>
      </c>
      <c r="D45" s="157" t="s">
        <v>364</v>
      </c>
      <c r="E45" s="159" t="s">
        <v>371</v>
      </c>
      <c r="F45" s="159" t="s">
        <v>372</v>
      </c>
      <c r="G45" s="159" t="s">
        <v>373</v>
      </c>
      <c r="H45" s="157" t="s">
        <v>374</v>
      </c>
      <c r="I45" s="159" t="s">
        <v>375</v>
      </c>
      <c r="J45" s="159" t="s">
        <v>376</v>
      </c>
      <c r="K45" s="159" t="s">
        <v>377</v>
      </c>
      <c r="L45" s="159" t="s">
        <v>73</v>
      </c>
      <c r="M45" s="159"/>
      <c r="N45" s="159">
        <v>1</v>
      </c>
      <c r="O45" s="160" t="s">
        <v>96</v>
      </c>
      <c r="P45" s="160"/>
    </row>
    <row r="46" spans="1:16" ht="88.5" customHeight="1" x14ac:dyDescent="0.3">
      <c r="A46" s="157" t="s">
        <v>378</v>
      </c>
      <c r="B46" s="157" t="s">
        <v>379</v>
      </c>
      <c r="C46" s="158" t="s">
        <v>380</v>
      </c>
      <c r="D46" s="157" t="s">
        <v>381</v>
      </c>
      <c r="E46" s="159" t="s">
        <v>107</v>
      </c>
      <c r="F46" s="159" t="s">
        <v>80</v>
      </c>
      <c r="G46" s="159" t="s">
        <v>382</v>
      </c>
      <c r="H46" s="157" t="s">
        <v>383</v>
      </c>
      <c r="I46" s="159" t="s">
        <v>384</v>
      </c>
      <c r="J46" s="159" t="s">
        <v>385</v>
      </c>
      <c r="K46" s="159" t="s">
        <v>386</v>
      </c>
      <c r="L46" s="159" t="s">
        <v>84</v>
      </c>
      <c r="M46" s="159">
        <v>365</v>
      </c>
      <c r="N46" s="159">
        <v>1</v>
      </c>
      <c r="O46" s="160" t="s">
        <v>107</v>
      </c>
      <c r="P46" s="160" t="s">
        <v>387</v>
      </c>
    </row>
    <row r="47" spans="1:16" ht="88.5" customHeight="1" x14ac:dyDescent="0.3">
      <c r="A47" s="157" t="s">
        <v>388</v>
      </c>
      <c r="B47" s="157" t="s">
        <v>389</v>
      </c>
      <c r="C47" s="158" t="s">
        <v>387</v>
      </c>
      <c r="D47" s="157" t="s">
        <v>390</v>
      </c>
      <c r="E47" s="159" t="s">
        <v>107</v>
      </c>
      <c r="F47" s="159" t="s">
        <v>80</v>
      </c>
      <c r="G47" s="159" t="s">
        <v>382</v>
      </c>
      <c r="H47" s="157" t="s">
        <v>391</v>
      </c>
      <c r="I47" s="159" t="s">
        <v>384</v>
      </c>
      <c r="J47" s="159" t="s">
        <v>392</v>
      </c>
      <c r="K47" s="159" t="s">
        <v>393</v>
      </c>
      <c r="L47" s="159" t="s">
        <v>84</v>
      </c>
      <c r="M47" s="159">
        <v>365</v>
      </c>
      <c r="N47" s="159">
        <v>1</v>
      </c>
      <c r="O47" s="160" t="s">
        <v>107</v>
      </c>
      <c r="P47" s="160" t="s">
        <v>387</v>
      </c>
    </row>
    <row r="48" spans="1:16" ht="89.4" customHeight="1" x14ac:dyDescent="0.3">
      <c r="A48" s="157" t="s">
        <v>394</v>
      </c>
      <c r="B48" s="157" t="s">
        <v>395</v>
      </c>
      <c r="C48" s="158" t="s">
        <v>396</v>
      </c>
      <c r="D48" s="157" t="s">
        <v>397</v>
      </c>
      <c r="E48" s="159" t="s">
        <v>107</v>
      </c>
      <c r="F48" s="159" t="s">
        <v>80</v>
      </c>
      <c r="G48" s="159" t="s">
        <v>382</v>
      </c>
      <c r="H48" s="157" t="s">
        <v>398</v>
      </c>
      <c r="I48" s="159" t="s">
        <v>384</v>
      </c>
      <c r="J48" s="159" t="s">
        <v>399</v>
      </c>
      <c r="K48" s="159" t="s">
        <v>400</v>
      </c>
      <c r="L48" s="159" t="s">
        <v>84</v>
      </c>
      <c r="M48" s="159">
        <v>365</v>
      </c>
      <c r="N48" s="159">
        <v>1</v>
      </c>
      <c r="O48" s="160" t="s">
        <v>107</v>
      </c>
      <c r="P48" s="160" t="s">
        <v>396</v>
      </c>
    </row>
    <row r="49" spans="1:16" ht="93.9" customHeight="1" x14ac:dyDescent="0.3">
      <c r="A49" s="157" t="s">
        <v>401</v>
      </c>
      <c r="B49" s="157" t="s">
        <v>402</v>
      </c>
      <c r="C49" s="158" t="s">
        <v>403</v>
      </c>
      <c r="D49" s="157" t="s">
        <v>404</v>
      </c>
      <c r="E49" s="159" t="s">
        <v>107</v>
      </c>
      <c r="F49" s="159" t="s">
        <v>80</v>
      </c>
      <c r="G49" s="159" t="s">
        <v>405</v>
      </c>
      <c r="H49" s="157" t="s">
        <v>406</v>
      </c>
      <c r="I49" s="159" t="s">
        <v>407</v>
      </c>
      <c r="J49" s="159" t="s">
        <v>408</v>
      </c>
      <c r="K49" s="159" t="s">
        <v>409</v>
      </c>
      <c r="L49" s="159" t="s">
        <v>84</v>
      </c>
      <c r="M49" s="159">
        <v>365</v>
      </c>
      <c r="N49" s="159">
        <v>4</v>
      </c>
      <c r="O49" s="160" t="s">
        <v>107</v>
      </c>
      <c r="P49" s="160" t="s">
        <v>410</v>
      </c>
    </row>
    <row r="50" spans="1:16" ht="89.4" customHeight="1" x14ac:dyDescent="0.3">
      <c r="A50" s="157" t="s">
        <v>411</v>
      </c>
      <c r="B50" s="157" t="s">
        <v>389</v>
      </c>
      <c r="C50" s="158" t="s">
        <v>396</v>
      </c>
      <c r="D50" s="157" t="s">
        <v>412</v>
      </c>
      <c r="E50" s="159" t="s">
        <v>107</v>
      </c>
      <c r="F50" s="159" t="s">
        <v>80</v>
      </c>
      <c r="G50" s="159" t="s">
        <v>382</v>
      </c>
      <c r="H50" s="157" t="s">
        <v>413</v>
      </c>
      <c r="I50" s="159" t="s">
        <v>384</v>
      </c>
      <c r="J50" s="159" t="s">
        <v>414</v>
      </c>
      <c r="K50" s="159" t="s">
        <v>415</v>
      </c>
      <c r="L50" s="159" t="s">
        <v>84</v>
      </c>
      <c r="M50" s="159">
        <v>365</v>
      </c>
      <c r="N50" s="159">
        <v>1</v>
      </c>
      <c r="O50" s="160" t="s">
        <v>107</v>
      </c>
      <c r="P50" s="160" t="s">
        <v>396</v>
      </c>
    </row>
    <row r="51" spans="1:16" ht="82.5" customHeight="1" x14ac:dyDescent="0.3">
      <c r="A51" s="157" t="s">
        <v>416</v>
      </c>
      <c r="B51" s="157" t="s">
        <v>417</v>
      </c>
      <c r="C51" s="158" t="s">
        <v>396</v>
      </c>
      <c r="D51" s="157" t="s">
        <v>418</v>
      </c>
      <c r="E51" s="159" t="s">
        <v>107</v>
      </c>
      <c r="F51" s="159" t="s">
        <v>80</v>
      </c>
      <c r="G51" s="159" t="s">
        <v>382</v>
      </c>
      <c r="H51" s="157" t="s">
        <v>419</v>
      </c>
      <c r="I51" s="159" t="s">
        <v>384</v>
      </c>
      <c r="J51" s="159" t="s">
        <v>420</v>
      </c>
      <c r="K51" s="159" t="s">
        <v>421</v>
      </c>
      <c r="L51" s="159" t="s">
        <v>84</v>
      </c>
      <c r="M51" s="159">
        <v>365</v>
      </c>
      <c r="N51" s="159">
        <v>1</v>
      </c>
      <c r="O51" s="160" t="s">
        <v>107</v>
      </c>
      <c r="P51" s="160" t="s">
        <v>396</v>
      </c>
    </row>
    <row r="52" spans="1:16" ht="55.2" x14ac:dyDescent="0.3">
      <c r="A52" s="83" t="s">
        <v>422</v>
      </c>
      <c r="B52" s="83" t="s">
        <v>200</v>
      </c>
      <c r="C52" s="154" t="s">
        <v>154</v>
      </c>
      <c r="D52" s="83" t="s">
        <v>201</v>
      </c>
      <c r="E52" s="84" t="s">
        <v>107</v>
      </c>
      <c r="F52" s="84" t="s">
        <v>205</v>
      </c>
      <c r="G52" s="84" t="s">
        <v>202</v>
      </c>
      <c r="H52" s="83" t="s">
        <v>206</v>
      </c>
      <c r="I52" s="84" t="s">
        <v>196</v>
      </c>
      <c r="J52" s="84" t="s">
        <v>207</v>
      </c>
      <c r="K52" s="84" t="s">
        <v>208</v>
      </c>
      <c r="L52" s="84" t="s">
        <v>84</v>
      </c>
      <c r="M52" s="84">
        <v>365</v>
      </c>
      <c r="N52" s="84">
        <v>8</v>
      </c>
      <c r="O52" s="85" t="s">
        <v>96</v>
      </c>
      <c r="P52" s="85"/>
    </row>
    <row r="53" spans="1:16" x14ac:dyDescent="0.3">
      <c r="A53" s="83"/>
      <c r="B53" s="83"/>
      <c r="C53" s="154"/>
      <c r="D53" s="83"/>
      <c r="E53" s="84"/>
      <c r="F53" s="84"/>
      <c r="G53" s="84"/>
      <c r="H53" s="83"/>
      <c r="I53" s="84"/>
      <c r="J53" s="84"/>
      <c r="K53" s="84"/>
      <c r="L53" s="84"/>
      <c r="M53" s="84"/>
      <c r="N53" s="84"/>
      <c r="O53" s="85"/>
      <c r="P53" s="85"/>
    </row>
    <row r="54" spans="1:16" x14ac:dyDescent="0.3">
      <c r="A54" s="83"/>
      <c r="B54" s="83"/>
      <c r="C54" s="154"/>
      <c r="D54" s="83"/>
      <c r="E54" s="84"/>
      <c r="F54" s="84"/>
      <c r="G54" s="84"/>
      <c r="H54" s="83"/>
      <c r="I54" s="84"/>
      <c r="J54" s="84"/>
      <c r="K54" s="84"/>
      <c r="L54" s="84"/>
      <c r="M54" s="84"/>
      <c r="N54" s="84"/>
      <c r="O54" s="85"/>
      <c r="P54" s="85"/>
    </row>
    <row r="55" spans="1:16" x14ac:dyDescent="0.3">
      <c r="A55" s="83"/>
      <c r="B55" s="83"/>
      <c r="C55" s="154"/>
      <c r="D55" s="83"/>
      <c r="E55" s="84"/>
      <c r="F55" s="84"/>
      <c r="G55" s="84"/>
      <c r="H55" s="83"/>
      <c r="I55" s="84"/>
      <c r="J55" s="84"/>
      <c r="K55" s="84"/>
      <c r="L55" s="84"/>
      <c r="M55" s="84"/>
      <c r="N55" s="84"/>
      <c r="O55" s="85"/>
      <c r="P55" s="85"/>
    </row>
    <row r="56" spans="1:16" x14ac:dyDescent="0.3">
      <c r="A56" s="83"/>
      <c r="B56" s="83"/>
      <c r="C56" s="154"/>
      <c r="D56" s="83"/>
      <c r="E56" s="84"/>
      <c r="F56" s="84"/>
      <c r="G56" s="84"/>
      <c r="H56" s="83"/>
      <c r="I56" s="84"/>
      <c r="J56" s="84"/>
      <c r="K56" s="84"/>
      <c r="L56" s="84"/>
      <c r="M56" s="84"/>
      <c r="N56" s="84"/>
      <c r="O56" s="85"/>
      <c r="P56" s="85"/>
    </row>
    <row r="57" spans="1:16" x14ac:dyDescent="0.3">
      <c r="A57" s="83"/>
      <c r="B57" s="83"/>
      <c r="C57" s="154"/>
      <c r="D57" s="83"/>
      <c r="E57" s="84"/>
      <c r="F57" s="84"/>
      <c r="G57" s="84"/>
      <c r="H57" s="83"/>
      <c r="I57" s="84"/>
      <c r="J57" s="84"/>
      <c r="K57" s="84"/>
      <c r="L57" s="84"/>
      <c r="M57" s="84"/>
      <c r="N57" s="84"/>
      <c r="O57" s="85"/>
      <c r="P57" s="85"/>
    </row>
    <row r="58" spans="1:16" x14ac:dyDescent="0.3">
      <c r="A58" s="83"/>
      <c r="B58" s="83"/>
      <c r="C58" s="154"/>
      <c r="D58" s="83"/>
      <c r="E58" s="84"/>
      <c r="F58" s="84"/>
      <c r="G58" s="84"/>
      <c r="H58" s="83"/>
      <c r="I58" s="84"/>
      <c r="J58" s="84"/>
      <c r="K58" s="84"/>
      <c r="L58" s="84"/>
      <c r="M58" s="84"/>
      <c r="N58" s="84"/>
      <c r="O58" s="85"/>
      <c r="P58" s="85"/>
    </row>
    <row r="59" spans="1:16" x14ac:dyDescent="0.3">
      <c r="A59" s="83"/>
      <c r="B59" s="83"/>
      <c r="C59" s="154"/>
      <c r="D59" s="83"/>
      <c r="E59" s="84"/>
      <c r="F59" s="84"/>
      <c r="G59" s="84"/>
      <c r="H59" s="83"/>
      <c r="I59" s="84"/>
      <c r="J59" s="84"/>
      <c r="K59" s="84"/>
      <c r="L59" s="84"/>
      <c r="M59" s="84"/>
      <c r="N59" s="84"/>
      <c r="O59" s="85"/>
      <c r="P59" s="85"/>
    </row>
    <row r="60" spans="1:16" x14ac:dyDescent="0.3">
      <c r="A60" s="83"/>
      <c r="B60" s="83"/>
      <c r="C60" s="154"/>
      <c r="D60" s="83"/>
      <c r="E60" s="84"/>
      <c r="F60" s="84"/>
      <c r="G60" s="84"/>
      <c r="H60" s="83"/>
      <c r="I60" s="84"/>
      <c r="J60" s="84"/>
      <c r="K60" s="84"/>
      <c r="L60" s="84"/>
      <c r="M60" s="84"/>
      <c r="N60" s="84"/>
      <c r="O60" s="85"/>
      <c r="P60" s="85"/>
    </row>
    <row r="61" spans="1:16" x14ac:dyDescent="0.3">
      <c r="A61" s="83"/>
      <c r="B61" s="83"/>
      <c r="C61" s="154"/>
      <c r="D61" s="83"/>
      <c r="E61" s="84"/>
      <c r="F61" s="84"/>
      <c r="G61" s="84"/>
      <c r="H61" s="83"/>
      <c r="I61" s="84"/>
      <c r="J61" s="84"/>
      <c r="K61" s="84"/>
      <c r="L61" s="84"/>
      <c r="M61" s="84"/>
      <c r="N61" s="84"/>
      <c r="O61" s="85"/>
      <c r="P61" s="85"/>
    </row>
    <row r="62" spans="1:16" x14ac:dyDescent="0.3">
      <c r="A62" s="83"/>
      <c r="B62" s="83"/>
      <c r="C62" s="154"/>
      <c r="D62" s="83"/>
      <c r="E62" s="84"/>
      <c r="F62" s="84"/>
      <c r="G62" s="84"/>
      <c r="H62" s="83"/>
      <c r="I62" s="84"/>
      <c r="J62" s="84"/>
      <c r="K62" s="84"/>
      <c r="L62" s="84"/>
      <c r="M62" s="84"/>
      <c r="N62" s="84"/>
      <c r="O62" s="85"/>
      <c r="P62" s="85"/>
    </row>
    <row r="63" spans="1:16" x14ac:dyDescent="0.3">
      <c r="A63" s="83"/>
      <c r="B63" s="83"/>
      <c r="C63" s="154"/>
      <c r="D63" s="83"/>
      <c r="E63" s="84"/>
      <c r="F63" s="84"/>
      <c r="G63" s="84"/>
      <c r="H63" s="83"/>
      <c r="I63" s="84"/>
      <c r="J63" s="84"/>
      <c r="K63" s="84"/>
      <c r="L63" s="84"/>
      <c r="M63" s="84"/>
      <c r="N63" s="84"/>
      <c r="O63" s="85"/>
      <c r="P63" s="85"/>
    </row>
    <row r="64" spans="1:16" x14ac:dyDescent="0.3">
      <c r="A64" s="83"/>
      <c r="B64" s="83"/>
      <c r="C64" s="154"/>
      <c r="D64" s="83"/>
      <c r="E64" s="84"/>
      <c r="F64" s="84"/>
      <c r="G64" s="84"/>
      <c r="H64" s="83"/>
      <c r="I64" s="84"/>
      <c r="J64" s="84"/>
      <c r="K64" s="84"/>
      <c r="L64" s="84"/>
      <c r="M64" s="84"/>
      <c r="N64" s="84"/>
      <c r="O64" s="85"/>
      <c r="P64" s="85"/>
    </row>
    <row r="65" spans="1:16" x14ac:dyDescent="0.3">
      <c r="A65" s="83"/>
      <c r="B65" s="83"/>
      <c r="C65" s="154"/>
      <c r="D65" s="83"/>
      <c r="E65" s="84"/>
      <c r="F65" s="84"/>
      <c r="G65" s="84"/>
      <c r="H65" s="83"/>
      <c r="I65" s="84"/>
      <c r="J65" s="84"/>
      <c r="K65" s="84"/>
      <c r="L65" s="84"/>
      <c r="M65" s="84"/>
      <c r="N65" s="84"/>
      <c r="O65" s="85"/>
      <c r="P65" s="85"/>
    </row>
    <row r="66" spans="1:16" x14ac:dyDescent="0.3">
      <c r="A66" s="83"/>
      <c r="B66" s="83"/>
      <c r="C66" s="154"/>
      <c r="D66" s="83"/>
      <c r="E66" s="84"/>
      <c r="F66" s="84"/>
      <c r="G66" s="84"/>
      <c r="H66" s="83"/>
      <c r="I66" s="84"/>
      <c r="J66" s="84"/>
      <c r="K66" s="84"/>
      <c r="L66" s="84"/>
      <c r="M66" s="84"/>
      <c r="N66" s="84"/>
      <c r="O66" s="85"/>
      <c r="P66" s="85"/>
    </row>
    <row r="67" spans="1:16" x14ac:dyDescent="0.3">
      <c r="A67" s="83"/>
      <c r="B67" s="83"/>
      <c r="C67" s="154"/>
      <c r="D67" s="83"/>
      <c r="E67" s="84"/>
      <c r="F67" s="84"/>
      <c r="G67" s="84"/>
      <c r="H67" s="83"/>
      <c r="I67" s="84"/>
      <c r="J67" s="84"/>
      <c r="K67" s="84"/>
      <c r="L67" s="84"/>
      <c r="M67" s="84"/>
      <c r="N67" s="84"/>
      <c r="O67" s="85"/>
      <c r="P67" s="85"/>
    </row>
    <row r="68" spans="1:16" x14ac:dyDescent="0.3">
      <c r="A68" s="83"/>
      <c r="B68" s="83"/>
      <c r="C68" s="154"/>
      <c r="D68" s="83"/>
      <c r="E68" s="84"/>
      <c r="F68" s="84"/>
      <c r="G68" s="84"/>
      <c r="H68" s="83"/>
      <c r="I68" s="84"/>
      <c r="J68" s="84"/>
      <c r="K68" s="84"/>
      <c r="L68" s="84"/>
      <c r="M68" s="84"/>
      <c r="N68" s="84"/>
      <c r="O68" s="85"/>
      <c r="P68" s="85"/>
    </row>
    <row r="69" spans="1:16" x14ac:dyDescent="0.3">
      <c r="A69" s="83"/>
      <c r="B69" s="83"/>
      <c r="C69" s="154"/>
      <c r="D69" s="83"/>
      <c r="E69" s="84"/>
      <c r="F69" s="84"/>
      <c r="G69" s="84"/>
      <c r="H69" s="83"/>
      <c r="I69" s="84"/>
      <c r="J69" s="84"/>
      <c r="K69" s="84"/>
      <c r="L69" s="84"/>
      <c r="M69" s="84"/>
      <c r="N69" s="84"/>
      <c r="O69" s="85"/>
      <c r="P69" s="85"/>
    </row>
    <row r="70" spans="1:16" x14ac:dyDescent="0.3">
      <c r="A70" s="83"/>
      <c r="B70" s="83"/>
      <c r="C70" s="154"/>
      <c r="D70" s="83"/>
      <c r="E70" s="84"/>
      <c r="F70" s="84"/>
      <c r="G70" s="84"/>
      <c r="H70" s="83"/>
      <c r="I70" s="84"/>
      <c r="J70" s="84"/>
      <c r="K70" s="84"/>
      <c r="L70" s="84"/>
      <c r="M70" s="84"/>
      <c r="N70" s="84"/>
      <c r="O70" s="85"/>
      <c r="P70" s="85"/>
    </row>
    <row r="71" spans="1:16" x14ac:dyDescent="0.3">
      <c r="A71" s="83"/>
      <c r="B71" s="83"/>
      <c r="C71" s="154"/>
      <c r="D71" s="83"/>
      <c r="E71" s="84"/>
      <c r="F71" s="84"/>
      <c r="G71" s="84"/>
      <c r="H71" s="83"/>
      <c r="I71" s="84"/>
      <c r="J71" s="84"/>
      <c r="K71" s="84"/>
      <c r="L71" s="84"/>
      <c r="M71" s="84"/>
      <c r="N71" s="84"/>
      <c r="O71" s="85"/>
      <c r="P71" s="85"/>
    </row>
    <row r="72" spans="1:16" x14ac:dyDescent="0.3">
      <c r="A72" s="83"/>
      <c r="B72" s="83"/>
      <c r="C72" s="154"/>
      <c r="D72" s="83"/>
      <c r="E72" s="84"/>
      <c r="F72" s="84"/>
      <c r="G72" s="84"/>
      <c r="H72" s="83"/>
      <c r="I72" s="84"/>
      <c r="J72" s="84"/>
      <c r="K72" s="84"/>
      <c r="L72" s="84"/>
      <c r="M72" s="84"/>
      <c r="N72" s="84"/>
      <c r="O72" s="85"/>
      <c r="P72" s="85"/>
    </row>
  </sheetData>
  <sheetProtection algorithmName="SHA-512" hashValue="5Se75GpH8/gXiH7+Y0W/4ng6iJAKepHp/D+tuoAJenPa/mZ+Ig8d4KoB80LLHmnRwn0tWS6Xb2KqsEY4UB7vPQ==" saltValue="pnvdPdZTfh7RW/ZKb6S+fw==" spinCount="100000" sheet="1" objects="1" scenarios="1"/>
  <conditionalFormatting sqref="A1:P1">
    <cfRule type="cellIs" dxfId="21" priority="2" stopIfTrue="1" operator="equal">
      <formula>"Y"</formula>
    </cfRule>
    <cfRule type="cellIs" dxfId="20" priority="3" stopIfTrue="1" operator="equal">
      <formula>"N"</formula>
    </cfRule>
  </conditionalFormatting>
  <conditionalFormatting sqref="A2:P72">
    <cfRule type="expression" dxfId="19" priority="1">
      <formula>MOD(ROW(),2)=0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C5698-2608-4CF8-B03C-F6323D978866}">
  <sheetPr codeName="Hoja9">
    <tabColor rgb="FFFF0000"/>
  </sheetPr>
  <dimension ref="A1:J26"/>
  <sheetViews>
    <sheetView workbookViewId="0">
      <selection activeCell="A2" sqref="A2"/>
    </sheetView>
  </sheetViews>
  <sheetFormatPr baseColWidth="10" defaultColWidth="10.88671875" defaultRowHeight="14.4" x14ac:dyDescent="0.3"/>
  <cols>
    <col min="1" max="1" width="25.5546875" style="89" bestFit="1" customWidth="1"/>
    <col min="2" max="2" width="38.33203125" style="89" customWidth="1"/>
    <col min="3" max="3" width="9.109375" style="90" bestFit="1" customWidth="1"/>
    <col min="4" max="4" width="9" style="89" bestFit="1" customWidth="1"/>
    <col min="5" max="5" width="9.88671875" style="89" bestFit="1" customWidth="1"/>
    <col min="6" max="6" width="6.88671875" style="89" bestFit="1" customWidth="1"/>
    <col min="7" max="16384" width="10.88671875" style="89"/>
  </cols>
  <sheetData>
    <row r="1" spans="1:10" s="92" customFormat="1" x14ac:dyDescent="0.3">
      <c r="A1" s="99" t="s">
        <v>423</v>
      </c>
      <c r="B1" s="100" t="s">
        <v>50</v>
      </c>
      <c r="C1" s="101" t="s">
        <v>424</v>
      </c>
      <c r="D1" s="100" t="s">
        <v>425</v>
      </c>
      <c r="E1" s="100" t="s">
        <v>426</v>
      </c>
      <c r="F1" s="100" t="s">
        <v>21</v>
      </c>
      <c r="G1" s="100" t="s">
        <v>427</v>
      </c>
    </row>
    <row r="2" spans="1:10" x14ac:dyDescent="0.3">
      <c r="A2" s="89" t="str" cm="1">
        <f t="array" aca="1" ref="A2:G26" ca="1">IFERROR(
_xlfn._xlws.FILTER(BASE_OK!A2:G4951,(BASE_OK!G2:G4951="VENCIDA")*(BASE_OK!C2:C4951&lt;&gt;"")),
"Sin registros"
)</f>
        <v>ALDRICH, SERGIO RUBEN</v>
      </c>
      <c r="B2" s="89" t="str">
        <f ca="1"/>
        <v>Seguridad Basada en el Comportamiento (Observation Program) // HSMS.043 / Autoridad de Detener el Trabajo</v>
      </c>
      <c r="C2" s="90">
        <f ca="1"/>
        <v>45827</v>
      </c>
      <c r="D2" s="89" t="str">
        <f ca="1"/>
        <v>Periódica</v>
      </c>
      <c r="E2" s="89">
        <f ca="1"/>
        <v>365</v>
      </c>
      <c r="F2" s="89">
        <f ca="1"/>
        <v>1</v>
      </c>
      <c r="G2" s="89" t="str">
        <f ca="1"/>
        <v>VENCIDA</v>
      </c>
    </row>
    <row r="3" spans="1:10" x14ac:dyDescent="0.3">
      <c r="A3" s="89" t="str">
        <f ca="1"/>
        <v>ALDRICH, SERGIO RUBEN</v>
      </c>
      <c r="B3" s="89" t="str">
        <f ca="1"/>
        <v>Proteccion Contra Incendios (Todos)</v>
      </c>
      <c r="C3" s="90">
        <f ca="1"/>
        <v>45835</v>
      </c>
      <c r="D3" s="89" t="str">
        <f ca="1"/>
        <v>Periódica</v>
      </c>
      <c r="E3" s="89">
        <f ca="1"/>
        <v>365</v>
      </c>
      <c r="F3" s="89">
        <f ca="1"/>
        <v>1</v>
      </c>
      <c r="G3" s="89" t="str">
        <f ca="1"/>
        <v>VENCIDA</v>
      </c>
    </row>
    <row r="4" spans="1:10" x14ac:dyDescent="0.3">
      <c r="A4" s="89" t="str">
        <f ca="1"/>
        <v>ALDRICH, SERGIO RUBEN</v>
      </c>
      <c r="B4" s="89" t="str">
        <f ca="1"/>
        <v>Seguridad para Trabajos en Caliente</v>
      </c>
      <c r="C4" s="90">
        <f ca="1"/>
        <v>45835</v>
      </c>
      <c r="D4" s="89" t="str">
        <f ca="1"/>
        <v>Periódica</v>
      </c>
      <c r="E4" s="89">
        <f ca="1"/>
        <v>365</v>
      </c>
      <c r="F4" s="89">
        <f ca="1"/>
        <v>1</v>
      </c>
      <c r="G4" s="89" t="str">
        <f ca="1"/>
        <v>VENCIDA</v>
      </c>
    </row>
    <row r="5" spans="1:10" x14ac:dyDescent="0.3">
      <c r="A5" s="89" t="str">
        <f ca="1"/>
        <v>ALVARADO, JOSE RAMON</v>
      </c>
      <c r="B5" s="89" t="str">
        <f ca="1"/>
        <v>Seguridad Basada en el Comportamiento (Observation Program) // HSMS.043 / Autoridad de Detener el Trabajo</v>
      </c>
      <c r="C5" s="90">
        <f ca="1"/>
        <v>45838</v>
      </c>
      <c r="D5" s="89" t="str">
        <f ca="1"/>
        <v>Periódica</v>
      </c>
      <c r="E5" s="89">
        <f ca="1"/>
        <v>365</v>
      </c>
      <c r="F5" s="89">
        <f ca="1"/>
        <v>1</v>
      </c>
      <c r="G5" s="89" t="str">
        <f ca="1"/>
        <v>VENCIDA</v>
      </c>
    </row>
    <row r="6" spans="1:10" x14ac:dyDescent="0.3">
      <c r="A6" s="89" t="str">
        <f ca="1"/>
        <v>CAPURRO, GERARDO DANIEL</v>
      </c>
      <c r="B6" s="89" t="str">
        <f ca="1"/>
        <v>Seguridad Basada en el Comportamiento (Observation Program) // HSMS.043 / Autoridad de Detener el Trabajo</v>
      </c>
      <c r="C6" s="90">
        <f ca="1"/>
        <v>45827</v>
      </c>
      <c r="D6" s="89" t="str">
        <f ca="1"/>
        <v>Periódica</v>
      </c>
      <c r="E6" s="89">
        <f ca="1"/>
        <v>365</v>
      </c>
      <c r="F6" s="89">
        <f ca="1"/>
        <v>1</v>
      </c>
      <c r="G6" s="89" t="str">
        <f ca="1"/>
        <v>VENCIDA</v>
      </c>
    </row>
    <row r="7" spans="1:10" x14ac:dyDescent="0.3">
      <c r="A7" s="89" t="str">
        <f ca="1"/>
        <v>CAPURRO, GERARDO DANIEL</v>
      </c>
      <c r="B7" s="89" t="str">
        <f ca="1"/>
        <v>Proteccion Contra Incendios (Todos)</v>
      </c>
      <c r="C7" s="90">
        <f ca="1"/>
        <v>45835</v>
      </c>
      <c r="D7" s="89" t="str">
        <f ca="1"/>
        <v>Periódica</v>
      </c>
      <c r="E7" s="89">
        <f ca="1"/>
        <v>365</v>
      </c>
      <c r="F7" s="89">
        <f ca="1"/>
        <v>1</v>
      </c>
      <c r="G7" s="89" t="str">
        <f ca="1"/>
        <v>VENCIDA</v>
      </c>
    </row>
    <row r="8" spans="1:10" x14ac:dyDescent="0.3">
      <c r="A8" s="89" t="str">
        <f ca="1"/>
        <v>CAPURRO, GERARDO DANIEL</v>
      </c>
      <c r="B8" s="89" t="str">
        <f ca="1"/>
        <v>Seguridad para Trabajos en Caliente</v>
      </c>
      <c r="C8" s="90">
        <f ca="1"/>
        <v>45835</v>
      </c>
      <c r="D8" s="89" t="str">
        <f ca="1"/>
        <v>Periódica</v>
      </c>
      <c r="E8" s="89">
        <f ca="1"/>
        <v>365</v>
      </c>
      <c r="F8" s="89">
        <f ca="1"/>
        <v>1</v>
      </c>
      <c r="G8" s="89" t="str">
        <f ca="1"/>
        <v>VENCIDA</v>
      </c>
    </row>
    <row r="9" spans="1:10" x14ac:dyDescent="0.3">
      <c r="A9" s="89" t="str">
        <f ca="1"/>
        <v>CARCAMO, EDUARDO ANDRES</v>
      </c>
      <c r="B9" s="89" t="str">
        <f ca="1"/>
        <v>Seguridad Basada en el Comportamiento (Observation Program) // HSMS.043 / Autoridad de Detener el Trabajo</v>
      </c>
      <c r="C9" s="90">
        <f ca="1"/>
        <v>45707</v>
      </c>
      <c r="D9" s="89" t="str">
        <f ca="1"/>
        <v>Periódica</v>
      </c>
      <c r="E9" s="89">
        <f ca="1"/>
        <v>365</v>
      </c>
      <c r="F9" s="89">
        <f ca="1"/>
        <v>1</v>
      </c>
      <c r="G9" s="89" t="str">
        <f ca="1"/>
        <v>VENCIDA</v>
      </c>
      <c r="J9" s="91"/>
    </row>
    <row r="10" spans="1:10" x14ac:dyDescent="0.3">
      <c r="A10" s="89" t="str">
        <f ca="1"/>
        <v>CEJAS, ALFREDO NICOLAS</v>
      </c>
      <c r="B10" s="89" t="str">
        <f ca="1"/>
        <v>Seguridad para Trabajos en Caliente</v>
      </c>
      <c r="C10" s="90">
        <f ca="1"/>
        <v>45770</v>
      </c>
      <c r="D10" s="89" t="str">
        <f ca="1"/>
        <v>Periódica</v>
      </c>
      <c r="E10" s="89">
        <f ca="1"/>
        <v>365</v>
      </c>
      <c r="F10" s="89">
        <f ca="1"/>
        <v>1</v>
      </c>
      <c r="G10" s="89" t="str">
        <f ca="1"/>
        <v>VENCIDA</v>
      </c>
    </row>
    <row r="11" spans="1:10" x14ac:dyDescent="0.3">
      <c r="A11" s="89" t="str">
        <f ca="1"/>
        <v>DODDS, CARLOS DANIEL</v>
      </c>
      <c r="B11" s="89" t="str">
        <f ca="1"/>
        <v>Seguridad Basada en el Comportamiento (Observation Program) // HSMS.043 / Autoridad de Detener el Trabajo</v>
      </c>
      <c r="C11" s="90">
        <f ca="1"/>
        <v>45838</v>
      </c>
      <c r="D11" s="89" t="str">
        <f ca="1"/>
        <v>Periódica</v>
      </c>
      <c r="E11" s="89">
        <f ca="1"/>
        <v>365</v>
      </c>
      <c r="F11" s="89">
        <f ca="1"/>
        <v>1</v>
      </c>
      <c r="G11" s="89" t="str">
        <f ca="1"/>
        <v>VENCIDA</v>
      </c>
    </row>
    <row r="12" spans="1:10" x14ac:dyDescent="0.3">
      <c r="A12" s="89" t="str">
        <f ca="1"/>
        <v>GOMEZ, PABLO JOAQUIN</v>
      </c>
      <c r="B12" s="89" t="str">
        <f ca="1"/>
        <v>Seguridad Basada en el Comportamiento (Observation Program) // HSMS.043 / Autoridad de Detener el Trabajo</v>
      </c>
      <c r="C12" s="90">
        <f ca="1"/>
        <v>45707</v>
      </c>
      <c r="D12" s="89" t="str">
        <f ca="1"/>
        <v>Periódica</v>
      </c>
      <c r="E12" s="89">
        <f ca="1"/>
        <v>365</v>
      </c>
      <c r="F12" s="89">
        <f ca="1"/>
        <v>1</v>
      </c>
      <c r="G12" s="89" t="str">
        <f ca="1"/>
        <v>VENCIDA</v>
      </c>
    </row>
    <row r="13" spans="1:10" x14ac:dyDescent="0.3">
      <c r="A13" s="89" t="str">
        <f ca="1"/>
        <v>GOMEZ, PABLO JOAQUIN</v>
      </c>
      <c r="B13" s="89" t="str">
        <f ca="1"/>
        <v>HSMS.007 / Gruas y Equipos de Izaje (Operadores)</v>
      </c>
      <c r="C13" s="90">
        <f ca="1"/>
        <v>45776</v>
      </c>
      <c r="D13" s="89" t="str">
        <f ca="1"/>
        <v>Periódica</v>
      </c>
      <c r="E13" s="89">
        <f ca="1"/>
        <v>365</v>
      </c>
      <c r="F13" s="89">
        <f ca="1"/>
        <v>8</v>
      </c>
      <c r="G13" s="89" t="str">
        <f ca="1"/>
        <v>VENCIDA</v>
      </c>
    </row>
    <row r="14" spans="1:10" x14ac:dyDescent="0.3">
      <c r="A14" s="89" t="str">
        <f ca="1"/>
        <v>HERNANDEZ, PABLO SEBASTIAN</v>
      </c>
      <c r="B14" s="89" t="str">
        <f ca="1"/>
        <v>Seguridad para Trabajos en Caliente</v>
      </c>
      <c r="C14" s="90">
        <f ca="1"/>
        <v>45770</v>
      </c>
      <c r="D14" s="89" t="str">
        <f ca="1"/>
        <v>Periódica</v>
      </c>
      <c r="E14" s="89">
        <f ca="1"/>
        <v>365</v>
      </c>
      <c r="F14" s="89">
        <f ca="1"/>
        <v>1</v>
      </c>
      <c r="G14" s="89" t="str">
        <f ca="1"/>
        <v>VENCIDA</v>
      </c>
    </row>
    <row r="15" spans="1:10" x14ac:dyDescent="0.3">
      <c r="A15" s="89" t="str">
        <f ca="1"/>
        <v>MONTES DE OCA, EZEQUIEL NICOLAS</v>
      </c>
      <c r="B15" s="89" t="str">
        <f ca="1"/>
        <v>Seguridad Basada en el Comportamiento (Observation Program) // HSMS.043 / Autoridad de Detener el Trabajo</v>
      </c>
      <c r="C15" s="90">
        <f ca="1"/>
        <v>45827</v>
      </c>
      <c r="D15" s="89" t="str">
        <f ca="1"/>
        <v>Periódica</v>
      </c>
      <c r="E15" s="89">
        <f ca="1"/>
        <v>365</v>
      </c>
      <c r="F15" s="89">
        <f ca="1"/>
        <v>1</v>
      </c>
      <c r="G15" s="89" t="str">
        <f ca="1"/>
        <v>VENCIDA</v>
      </c>
    </row>
    <row r="16" spans="1:10" x14ac:dyDescent="0.3">
      <c r="A16" s="89" t="str">
        <f ca="1"/>
        <v>MONTES DE OCA, EZEQUIEL NICOLAS</v>
      </c>
      <c r="B16" s="89" t="str">
        <f ca="1"/>
        <v>HSMS.007 / Gruas y Equipos de Izaje (Operadores)</v>
      </c>
      <c r="C16" s="90">
        <f ca="1"/>
        <v>45776</v>
      </c>
      <c r="D16" s="89" t="str">
        <f ca="1"/>
        <v>Periódica</v>
      </c>
      <c r="E16" s="89">
        <f ca="1"/>
        <v>365</v>
      </c>
      <c r="F16" s="89">
        <f ca="1"/>
        <v>8</v>
      </c>
      <c r="G16" s="89" t="str">
        <f ca="1"/>
        <v>VENCIDA</v>
      </c>
    </row>
    <row r="17" spans="1:7" x14ac:dyDescent="0.3">
      <c r="A17" s="89" t="str">
        <f ca="1"/>
        <v>MONTES DE OCA, EZEQUIEL NICOLAS</v>
      </c>
      <c r="B17" s="89" t="str">
        <f ca="1"/>
        <v>Proteccion Contra Incendios (Todos)</v>
      </c>
      <c r="C17" s="90">
        <f ca="1"/>
        <v>45835</v>
      </c>
      <c r="D17" s="89" t="str">
        <f ca="1"/>
        <v>Periódica</v>
      </c>
      <c r="E17" s="89">
        <f ca="1"/>
        <v>365</v>
      </c>
      <c r="F17" s="89">
        <f ca="1"/>
        <v>1</v>
      </c>
      <c r="G17" s="89" t="str">
        <f ca="1"/>
        <v>VENCIDA</v>
      </c>
    </row>
    <row r="18" spans="1:7" x14ac:dyDescent="0.3">
      <c r="A18" s="89" t="str">
        <f ca="1"/>
        <v>MONTES DE OCA, EZEQUIEL NICOLAS</v>
      </c>
      <c r="B18" s="89" t="str">
        <f ca="1"/>
        <v>Seguridad para Trabajos en Caliente</v>
      </c>
      <c r="C18" s="90">
        <f ca="1"/>
        <v>45835</v>
      </c>
      <c r="D18" s="89" t="str">
        <f ca="1"/>
        <v>Periódica</v>
      </c>
      <c r="E18" s="89">
        <f ca="1"/>
        <v>365</v>
      </c>
      <c r="F18" s="89">
        <f ca="1"/>
        <v>1</v>
      </c>
      <c r="G18" s="89" t="str">
        <f ca="1"/>
        <v>VENCIDA</v>
      </c>
    </row>
    <row r="19" spans="1:7" x14ac:dyDescent="0.3">
      <c r="A19" s="89" t="str">
        <f ca="1"/>
        <v>NICKELS, BRAIAN MICHEL</v>
      </c>
      <c r="B19" s="89" t="str">
        <f ca="1"/>
        <v>Seguridad Basada en el Comportamiento (Observation Program) // HSMS.043 / Autoridad de Detener el Trabajo</v>
      </c>
      <c r="C19" s="90">
        <f ca="1"/>
        <v>45664</v>
      </c>
      <c r="D19" s="89" t="str">
        <f ca="1"/>
        <v>Periódica</v>
      </c>
      <c r="E19" s="89">
        <f ca="1"/>
        <v>365</v>
      </c>
      <c r="F19" s="89">
        <f ca="1"/>
        <v>1</v>
      </c>
      <c r="G19" s="89" t="str">
        <f ca="1"/>
        <v>VENCIDA</v>
      </c>
    </row>
    <row r="20" spans="1:7" x14ac:dyDescent="0.3">
      <c r="A20" s="89" t="str">
        <f ca="1"/>
        <v>NICKELS, BRAIAN MICHEL</v>
      </c>
      <c r="B20" s="89" t="str">
        <f ca="1"/>
        <v>Proteccion Contra Incendios (Todos)</v>
      </c>
      <c r="C20" s="90">
        <f ca="1"/>
        <v>45793</v>
      </c>
      <c r="D20" s="89" t="str">
        <f ca="1"/>
        <v>Periódica</v>
      </c>
      <c r="E20" s="89">
        <f ca="1"/>
        <v>365</v>
      </c>
      <c r="F20" s="89">
        <f ca="1"/>
        <v>1</v>
      </c>
      <c r="G20" s="89" t="str">
        <f ca="1"/>
        <v>VENCIDA</v>
      </c>
    </row>
    <row r="21" spans="1:7" x14ac:dyDescent="0.3">
      <c r="A21" s="89" t="str">
        <f ca="1"/>
        <v>NICKELS, BRAIAN MICHEL</v>
      </c>
      <c r="B21" s="89" t="str">
        <f ca="1"/>
        <v>Superficies Elevadas (Todos)</v>
      </c>
      <c r="C21" s="90">
        <f ca="1"/>
        <v>45838</v>
      </c>
      <c r="D21" s="89" t="str">
        <f ca="1"/>
        <v>Periódica</v>
      </c>
      <c r="E21" s="89">
        <f ca="1"/>
        <v>365</v>
      </c>
      <c r="F21" s="89">
        <f ca="1"/>
        <v>1</v>
      </c>
      <c r="G21" s="89" t="str">
        <f ca="1"/>
        <v>VENCIDA</v>
      </c>
    </row>
    <row r="22" spans="1:7" x14ac:dyDescent="0.3">
      <c r="A22" s="89" t="str">
        <f ca="1"/>
        <v>NICKELS, BRAIAN MICHEL</v>
      </c>
      <c r="B22" s="89" t="str">
        <f ca="1"/>
        <v>Superficies Elevadas (Personal Habilitado)</v>
      </c>
      <c r="C22" s="90">
        <f ca="1"/>
        <v>45503</v>
      </c>
      <c r="D22" s="89" t="str">
        <f ca="1"/>
        <v>Periódica</v>
      </c>
      <c r="E22" s="89">
        <f ca="1"/>
        <v>365</v>
      </c>
      <c r="F22" s="89">
        <f ca="1"/>
        <v>8</v>
      </c>
      <c r="G22" s="89" t="str">
        <f ca="1"/>
        <v>VENCIDA</v>
      </c>
    </row>
    <row r="23" spans="1:7" x14ac:dyDescent="0.3">
      <c r="A23" s="89" t="str">
        <f ca="1"/>
        <v>NICKELS, BRAIAN MICHEL</v>
      </c>
      <c r="B23" s="89" t="str">
        <f ca="1"/>
        <v xml:space="preserve">Seguridad con Escaleras </v>
      </c>
      <c r="C23" s="90">
        <f ca="1"/>
        <v>45838</v>
      </c>
      <c r="D23" s="89" t="str">
        <f ca="1"/>
        <v>Periódica</v>
      </c>
      <c r="E23" s="89">
        <f ca="1"/>
        <v>365</v>
      </c>
      <c r="F23" s="89">
        <f ca="1"/>
        <v>1</v>
      </c>
      <c r="G23" s="89" t="str">
        <f ca="1"/>
        <v>VENCIDA</v>
      </c>
    </row>
    <row r="24" spans="1:7" x14ac:dyDescent="0.3">
      <c r="A24" s="89" t="str">
        <f ca="1"/>
        <v>SANDOVAL, MATIAS</v>
      </c>
      <c r="B24" s="89" t="str">
        <f ca="1"/>
        <v>Seguridad Basada en el Comportamiento (Observation Program) // HSMS.043 / Autoridad de Detener el Trabajo</v>
      </c>
      <c r="C24" s="90">
        <f ca="1"/>
        <v>45827</v>
      </c>
      <c r="D24" s="89" t="str">
        <f ca="1"/>
        <v>Periódica</v>
      </c>
      <c r="E24" s="89">
        <f ca="1"/>
        <v>365</v>
      </c>
      <c r="F24" s="89">
        <f ca="1"/>
        <v>1</v>
      </c>
      <c r="G24" s="89" t="str">
        <f ca="1"/>
        <v>VENCIDA</v>
      </c>
    </row>
    <row r="25" spans="1:7" x14ac:dyDescent="0.3">
      <c r="A25" s="89" t="str">
        <f ca="1"/>
        <v>SANDOVAL, MATIAS</v>
      </c>
      <c r="B25" s="89" t="str">
        <f ca="1"/>
        <v>Proteccion Contra Incendios (Todos)</v>
      </c>
      <c r="C25" s="90">
        <f ca="1"/>
        <v>45835</v>
      </c>
      <c r="D25" s="89" t="str">
        <f ca="1"/>
        <v>Periódica</v>
      </c>
      <c r="E25" s="89">
        <f ca="1"/>
        <v>365</v>
      </c>
      <c r="F25" s="89">
        <f ca="1"/>
        <v>1</v>
      </c>
      <c r="G25" s="89" t="str">
        <f ca="1"/>
        <v>VENCIDA</v>
      </c>
    </row>
    <row r="26" spans="1:7" x14ac:dyDescent="0.3">
      <c r="A26" s="89" t="str">
        <f ca="1"/>
        <v>SANDOVAL, MATIAS</v>
      </c>
      <c r="B26" s="89" t="str">
        <f ca="1"/>
        <v>Seguridad para Trabajos en Caliente</v>
      </c>
      <c r="C26" s="90">
        <f ca="1"/>
        <v>45835</v>
      </c>
      <c r="D26" s="89" t="str">
        <f ca="1"/>
        <v>Periódica</v>
      </c>
      <c r="E26" s="89">
        <f ca="1"/>
        <v>365</v>
      </c>
      <c r="F26" s="89">
        <f ca="1"/>
        <v>1</v>
      </c>
      <c r="G26" s="89" t="str">
        <f ca="1"/>
        <v>VENCIDA</v>
      </c>
    </row>
  </sheetData>
  <sheetProtection algorithmName="SHA-512" hashValue="0voU26/9KmqBb434b7Vlhe8hIgaL3EYFIFzFCNDSyWV8OjB+aTUSQLn1BntHhQvTC7nBE3DYg25f4xd+re292Q==" saltValue="reE/ffU0xZ/yBE8SJJb7KQ==" spinCount="100000" sheet="1" objects="1" scenarios="1" autoFilter="0"/>
  <autoFilter ref="A1:G1" xr:uid="{C8CC5698-2608-4CF8-B03C-F6323D978866}"/>
  <conditionalFormatting sqref="G2:G500">
    <cfRule type="expression" dxfId="18" priority="1">
      <formula>AND($G2="VENCIDA",$G2&lt;&gt;"")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B1C26-1A7A-455F-8075-B76C1291F0C3}">
  <sheetPr codeName="Hoja10">
    <tabColor rgb="FFFFFF00"/>
  </sheetPr>
  <dimension ref="A1:G2"/>
  <sheetViews>
    <sheetView workbookViewId="0">
      <selection activeCell="A7" sqref="A7"/>
    </sheetView>
  </sheetViews>
  <sheetFormatPr baseColWidth="10" defaultColWidth="10.88671875" defaultRowHeight="13.8" x14ac:dyDescent="0.3"/>
  <cols>
    <col min="1" max="1" width="28.109375" style="129" bestFit="1" customWidth="1"/>
    <col min="2" max="2" width="44.44140625" style="129" customWidth="1"/>
    <col min="3" max="3" width="10.88671875" style="130"/>
    <col min="4" max="5" width="10.88671875" style="129"/>
    <col min="6" max="6" width="6.88671875" style="129" bestFit="1" customWidth="1"/>
    <col min="7" max="16384" width="10.88671875" style="129"/>
  </cols>
  <sheetData>
    <row r="1" spans="1:7" x14ac:dyDescent="0.3">
      <c r="A1" s="127" t="s">
        <v>423</v>
      </c>
      <c r="B1" s="127" t="s">
        <v>50</v>
      </c>
      <c r="C1" s="128" t="s">
        <v>424</v>
      </c>
      <c r="D1" s="127" t="s">
        <v>425</v>
      </c>
      <c r="E1" s="127" t="s">
        <v>426</v>
      </c>
      <c r="F1" s="127" t="s">
        <v>21</v>
      </c>
      <c r="G1" s="127" t="s">
        <v>427</v>
      </c>
    </row>
    <row r="2" spans="1:7" ht="27.6" x14ac:dyDescent="0.3">
      <c r="A2" s="129" t="str" cm="1">
        <f t="array" aca="1" ref="A2:G2" ca="1">IFERROR(
_xlfn._xlws.FILTER(BASE_OK!A2:G4951,(BASE_OK!G2:G4951="POR VENCER")*(BASE_OK!C2:C4951&lt;&gt;"")),
"Sin registros"
)</f>
        <v>NICKELS, BRAIAN MICHEL</v>
      </c>
      <c r="B2" s="129" t="str">
        <f ca="1"/>
        <v>Equipo de Proteccion Personal (PPE)</v>
      </c>
      <c r="C2" s="130">
        <f ca="1"/>
        <v>45897</v>
      </c>
      <c r="D2" s="129" t="str">
        <f ca="1"/>
        <v>Periódica</v>
      </c>
      <c r="E2" s="129">
        <f ca="1"/>
        <v>365</v>
      </c>
      <c r="F2" s="129">
        <f ca="1"/>
        <v>1</v>
      </c>
      <c r="G2" s="129" t="str">
        <f ca="1"/>
        <v>POR VENCER</v>
      </c>
    </row>
  </sheetData>
  <sheetProtection algorithmName="SHA-512" hashValue="7vFDh9GcumBxBKVtbaHYwMvceTI/wwjGmPVnkM62gkFXA/kCP2lcxTV+TbABWrZ/BIxxVaTHqQt8iTx6maQXig==" saltValue="4htQnNIua3rd36HGMz/PSA==" spinCount="100000" sheet="1" objects="1" scenarios="1" autoFilter="0"/>
  <autoFilter ref="A1:G5" xr:uid="{E72B1C26-1A7A-455F-8075-B76C1291F0C3}"/>
  <conditionalFormatting sqref="G2:G500">
    <cfRule type="expression" dxfId="17" priority="1">
      <formula>$G2="POR VENCER"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85B8-5E6B-49F9-83AA-0B2B095CFF66}">
  <sheetPr codeName="Hoja11">
    <tabColor rgb="FF00B0F0"/>
  </sheetPr>
  <dimension ref="A1:AF20"/>
  <sheetViews>
    <sheetView zoomScale="70" zoomScaleNormal="70" workbookViewId="0">
      <selection activeCell="D20" sqref="D20"/>
    </sheetView>
  </sheetViews>
  <sheetFormatPr baseColWidth="10" defaultColWidth="10.88671875" defaultRowHeight="14.4" x14ac:dyDescent="0.3"/>
  <cols>
    <col min="1" max="1" width="28.109375" style="105" bestFit="1" customWidth="1"/>
    <col min="2" max="2" width="37.109375" style="106" customWidth="1"/>
    <col min="3" max="3" width="13.6640625" style="125" customWidth="1"/>
    <col min="4" max="4" width="9.5546875" style="105" customWidth="1"/>
    <col min="5" max="5" width="14.44140625" style="105" customWidth="1"/>
    <col min="6" max="6" width="10.109375" style="105" bestFit="1" customWidth="1"/>
    <col min="7" max="7" width="15" style="105" customWidth="1"/>
    <col min="8" max="8" width="1.109375" style="117" customWidth="1"/>
    <col min="9" max="9" width="22.88671875" style="111" customWidth="1"/>
    <col min="10" max="10" width="10.88671875" style="111"/>
    <col min="11" max="11" width="17" style="111" bestFit="1" customWidth="1"/>
    <col min="12" max="12" width="23" style="107" customWidth="1"/>
    <col min="13" max="13" width="37.44140625" style="107" customWidth="1"/>
    <col min="14" max="25" width="23" style="107" customWidth="1"/>
    <col min="26" max="28" width="23" style="108" customWidth="1"/>
    <col min="29" max="16384" width="10.88671875" style="109"/>
  </cols>
  <sheetData>
    <row r="1" spans="1:32" s="87" customFormat="1" ht="29.1" customHeight="1" thickBot="1" x14ac:dyDescent="0.35">
      <c r="A1" s="192" t="s">
        <v>428</v>
      </c>
      <c r="B1" s="117" t="s">
        <v>423</v>
      </c>
      <c r="C1" s="117" t="s">
        <v>23</v>
      </c>
      <c r="D1" s="193" t="s">
        <v>25</v>
      </c>
      <c r="E1" s="193"/>
      <c r="F1" s="191" t="s">
        <v>429</v>
      </c>
      <c r="G1" s="191"/>
      <c r="H1" s="117"/>
      <c r="I1" s="117" t="str">
        <f>"TAREAS ASIGNADAS"</f>
        <v>TAREAS ASIGNADAS</v>
      </c>
      <c r="J1" s="117" t="str">
        <f>"APTO"</f>
        <v>APTO</v>
      </c>
      <c r="K1" s="191" t="str">
        <f>"COMPETENCIAS REQUERIDAS (por tareas)"</f>
        <v>COMPETENCIAS REQUERIDAS (por tareas)</v>
      </c>
      <c r="L1" s="191"/>
      <c r="M1" s="191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6"/>
      <c r="AA1" s="116"/>
      <c r="AB1" s="116"/>
    </row>
    <row r="2" spans="1:32" s="110" customFormat="1" ht="35.4" customHeight="1" thickBot="1" x14ac:dyDescent="0.35">
      <c r="A2" s="192"/>
      <c r="B2" s="126"/>
      <c r="C2" s="104" t="str">
        <f>IFERROR(INDEX('Matriz de Comp. Personas'!$C:$C,MATCH($B$2,'Matriz de Comp. Personas'!$D:$D,0)),"")</f>
        <v/>
      </c>
      <c r="D2" s="194" t="str">
        <f>IFERROR(INDEX('Matriz de Comp. Personas'!$E:$E,MATCH($B$2,'Matriz de Comp. Personas'!$D:$D,0)),"")</f>
        <v/>
      </c>
      <c r="E2" s="194"/>
      <c r="F2" s="195" t="str">
        <f>IFERROR(INDEX('Matriz de Comp. Personas'!$B:$B,MATCH($B$2,'Matriz de Comp. Personas'!$D:$D,0)),"")</f>
        <v/>
      </c>
      <c r="G2" s="195"/>
      <c r="H2" s="117"/>
      <c r="I2" s="105" t="str" cm="1">
        <f t="array" ref="I2">IF($B$2="","",
TRANSPOSE(_xlfn._xlws.FILTER(
INDEX('Matriz de Comp. Personas'!$J:$M,MATCH($B$2,'Matriz de Comp. Personas'!$D:$D,0),0),
INDEX('Matriz de Comp. Personas'!$J:$M,MATCH($B$2,'Matriz de Comp. Personas'!$D:$D,0),0)&lt;&gt;""
))
)</f>
        <v/>
      </c>
      <c r="J2" s="105" t="str" cm="1">
        <f t="array" ref="J2">IF(I2="","",IFERROR(
IF(SUMPRODUCT(--(_xlfn.XLOOKUP(_xlfn.ANCHORARRAY(K2),$B:$B,$G:$G,"SIN REGISTRO")&lt;&gt;"VIGENTE"))=0,"OK","NO"),"NO"))</f>
        <v/>
      </c>
      <c r="K2" s="120" t="str" cm="1">
        <f t="array" ref="K2">IF(I2="","",IFERROR(
_xlfn._xlws.FILTER('Requisito x Tarea'!$C$1:$BK$1,
UPPER(TRIM(INDEX('Requisito x Tarea'!$C$2:$BK$200,
MATCH(TRIM(I2),'Requisito x Tarea'!$B$2:$B$200,0),
0)))="X"
),
"Sin requisitos"
))</f>
        <v/>
      </c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2"/>
      <c r="AA2" s="122"/>
      <c r="AB2" s="122"/>
      <c r="AC2" s="123"/>
      <c r="AD2" s="123"/>
      <c r="AE2" s="123"/>
      <c r="AF2" s="123"/>
    </row>
    <row r="3" spans="1:32" s="110" customFormat="1" ht="24.9" customHeight="1" x14ac:dyDescent="0.3">
      <c r="A3" s="105"/>
      <c r="B3" s="105"/>
      <c r="C3" s="105"/>
      <c r="D3" s="105"/>
      <c r="E3" s="105"/>
      <c r="F3" s="105"/>
      <c r="G3" s="105"/>
      <c r="H3" s="117"/>
      <c r="I3" s="105"/>
      <c r="J3" s="105" t="str" cm="1">
        <f t="array" ref="J3">IF(I3="","",IFERROR(
IF(SUMPRODUCT(--(_xlfn.XLOOKUP(_xlfn.ANCHORARRAY(K3),$B:$B,$G:$G,"SIN REGISTRO")&lt;&gt;"VIGENTE"))=0,"OK","NO"),"NO"))</f>
        <v/>
      </c>
      <c r="K3" s="120" t="str" cm="1">
        <f t="array" ref="K3">IF(I3="","",IFERROR(
_xlfn._xlws.FILTER('Requisito x Tarea'!$C$1:$BK$1,
UPPER(TRIM(INDEX('Requisito x Tarea'!$C$2:$BK$200,
MATCH(TRIM(I3),'Requisito x Tarea'!$B$2:$B$200,0),
0)))="X"
),
"Sin requisitos"
))</f>
        <v/>
      </c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2"/>
      <c r="AA3" s="122"/>
      <c r="AB3" s="122"/>
      <c r="AC3" s="123"/>
      <c r="AD3" s="123"/>
      <c r="AE3" s="123"/>
      <c r="AF3" s="123"/>
    </row>
    <row r="4" spans="1:32" s="110" customFormat="1" ht="25.5" customHeight="1" x14ac:dyDescent="0.3">
      <c r="A4" s="191" t="str">
        <f>"COMPETENCIAS ADQUIRIDAS"</f>
        <v>COMPETENCIAS ADQUIRIDAS</v>
      </c>
      <c r="B4" s="191"/>
      <c r="C4" s="191"/>
      <c r="D4" s="191"/>
      <c r="E4" s="191"/>
      <c r="F4" s="191"/>
      <c r="G4" s="191"/>
      <c r="H4" s="117"/>
      <c r="I4" s="105"/>
      <c r="J4" s="105" t="str" cm="1">
        <f t="array" ref="J4">IF(I4="","",IFERROR(
IF(SUMPRODUCT(--(_xlfn.XLOOKUP(_xlfn.ANCHORARRAY(K4),$B:$B,$G:$G,"SIN REGISTRO")&lt;&gt;"VIGENTE"))=0,"OK","NO"),"NO"))</f>
        <v/>
      </c>
      <c r="K4" s="120" t="str" cm="1">
        <f t="array" ref="K4">IF(I4="","",IFERROR(
_xlfn._xlws.FILTER('Requisito x Tarea'!$C$1:$BK$1,
UPPER(TRIM(INDEX('Requisito x Tarea'!$C$2:$BK$200,
MATCH(TRIM(I4),'Requisito x Tarea'!$B$2:$B$200,0),
0)))="X"
),
"Sin requisitos"
))</f>
        <v/>
      </c>
      <c r="L4" s="121"/>
      <c r="M4" s="121"/>
      <c r="N4" s="121"/>
      <c r="O4" s="121"/>
      <c r="P4" s="121"/>
      <c r="Q4" s="121"/>
      <c r="R4" s="121"/>
      <c r="S4" s="121"/>
      <c r="T4" s="121"/>
      <c r="U4" s="121"/>
      <c r="V4" s="121"/>
      <c r="W4" s="121"/>
      <c r="X4" s="121"/>
      <c r="Y4" s="121"/>
      <c r="Z4" s="122"/>
      <c r="AA4" s="122"/>
      <c r="AB4" s="122"/>
      <c r="AC4" s="123"/>
      <c r="AD4" s="123"/>
      <c r="AE4" s="123"/>
      <c r="AF4" s="123"/>
    </row>
    <row r="5" spans="1:32" s="110" customFormat="1" ht="25.5" customHeight="1" x14ac:dyDescent="0.3">
      <c r="A5" s="118" t="s">
        <v>423</v>
      </c>
      <c r="B5" s="117" t="s">
        <v>50</v>
      </c>
      <c r="C5" s="124" t="s">
        <v>424</v>
      </c>
      <c r="D5" s="118" t="s">
        <v>425</v>
      </c>
      <c r="E5" s="118" t="s">
        <v>426</v>
      </c>
      <c r="F5" s="118" t="s">
        <v>21</v>
      </c>
      <c r="G5" s="118" t="s">
        <v>427</v>
      </c>
      <c r="H5" s="117"/>
      <c r="I5" s="105"/>
      <c r="J5" s="105" t="str" cm="1">
        <f t="array" ref="J5">IF(I5="","",IFERROR(
IF(SUMPRODUCT(--(_xlfn.XLOOKUP(_xlfn.ANCHORARRAY(K5),$B:$B,$G:$G,"SIN REGISTRO")&lt;&gt;"VIGENTE"))=0,"OK","NO"),"NO"))</f>
        <v/>
      </c>
      <c r="K5" s="120" t="str" cm="1">
        <f t="array" ref="K5">IF(I5="","",IFERROR(
_xlfn._xlws.FILTER('Requisito x Tarea'!$C$1:$BK$1,
UPPER(TRIM(INDEX('Requisito x Tarea'!$C$2:$BK$200,
MATCH(TRIM(I5),'Requisito x Tarea'!$B$2:$B$200,0),
0)))="X"
),
"Sin requisitos"
))</f>
        <v/>
      </c>
      <c r="L5" s="121"/>
      <c r="M5" s="121"/>
      <c r="N5" s="121"/>
      <c r="O5" s="121"/>
      <c r="P5" s="121"/>
      <c r="Q5" s="121"/>
      <c r="R5" s="121"/>
      <c r="S5" s="121"/>
      <c r="T5" s="121"/>
      <c r="U5" s="121"/>
      <c r="V5" s="121"/>
      <c r="W5" s="121"/>
      <c r="X5" s="121"/>
      <c r="Y5" s="121"/>
      <c r="Z5" s="122"/>
      <c r="AA5" s="122"/>
      <c r="AB5" s="122"/>
      <c r="AC5" s="123"/>
      <c r="AD5" s="123"/>
      <c r="AE5" s="123"/>
      <c r="AF5" s="123"/>
    </row>
    <row r="6" spans="1:32" x14ac:dyDescent="0.3">
      <c r="A6" s="105" t="str" cm="1">
        <f t="array" ref="A6">IF($B$2="","",
IFERROR(
_xlfn._xlws.FILTER(_xlfn.ANCHORARRAY(BASE_OK!A1),
(INDEX(_xlfn.ANCHORARRAY(BASE_OK!A1),0,1)=$B$2)*
(ISNUMBER(INDEX(_xlfn.ANCHORARRAY(BASE_OK!A1),0,3)))*
(INDEX(_xlfn.ANCHORARRAY(BASE_OK!A1),0,3)&gt;0)
),
"Sin registros"
))</f>
        <v/>
      </c>
      <c r="J6" s="111" t="str" cm="1">
        <f t="array" ref="J6">IF(I6="","",IFERROR(
IF(SUMPRODUCT(--(_xlfn.XLOOKUP(_xlfn.ANCHORARRAY(K6),$B:$B,$G:$G,"SIN REGISTRO")&lt;&gt;"VIGENTE"))=0,"OK","NO"),"NO"))</f>
        <v/>
      </c>
      <c r="K6" s="112" t="str" cm="1">
        <f t="array" ref="K6">IF(I6="","",IFERROR(
_xlfn._xlws.FILTER('Requisito x Tarea'!$C$1:$BK$1,
UPPER(TRIM(INDEX('Requisito x Tarea'!$C$2:$BK$200,
MATCH(TRIM(I6),'Requisito x Tarea'!$B$2:$B$200,0),
0)))="X"
),
"Sin requisitos"
))</f>
        <v/>
      </c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4"/>
      <c r="AA6" s="114"/>
      <c r="AB6" s="114"/>
      <c r="AC6" s="115"/>
      <c r="AD6" s="115"/>
      <c r="AE6" s="115"/>
      <c r="AF6" s="115"/>
    </row>
    <row r="7" spans="1:32" x14ac:dyDescent="0.3">
      <c r="J7" s="111" t="str" cm="1">
        <f t="array" ref="J7">IF(I7="","",IFERROR(
IF(SUMPRODUCT(--(_xlfn.XLOOKUP(_xlfn.ANCHORARRAY(K7),$B:$B,$G:$G,"SIN REGISTRO")&lt;&gt;"VIGENTE"))=0,"OK","NO"),"NO"))</f>
        <v/>
      </c>
      <c r="K7" s="112" t="str" cm="1">
        <f t="array" ref="K7">IF(I7="","",IFERROR(
_xlfn._xlws.FILTER('Requisito x Tarea'!$C$1:$BK$1,
UPPER(TRIM(INDEX('Requisito x Tarea'!$C$2:$BK$200,
MATCH(TRIM(I7),'Requisito x Tarea'!$B$2:$B$200,0),
0)))="X"
),
"Sin requisitos"
))</f>
        <v/>
      </c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4"/>
      <c r="AA7" s="114"/>
      <c r="AB7" s="114"/>
      <c r="AC7" s="115"/>
      <c r="AD7" s="115"/>
      <c r="AE7" s="115"/>
      <c r="AF7" s="115"/>
    </row>
    <row r="8" spans="1:32" x14ac:dyDescent="0.3">
      <c r="J8" s="111" t="str" cm="1">
        <f t="array" ref="J8">IF(I8="","",IFERROR(
IF(SUMPRODUCT(--(_xlfn.XLOOKUP(_xlfn.ANCHORARRAY(K8),$B:$B,$G:$G,"SIN REGISTRO")&lt;&gt;"VIGENTE"))=0,"OK","NO"),"NO"))</f>
        <v/>
      </c>
      <c r="K8" s="112" t="str" cm="1">
        <f t="array" ref="K8">IF(I8="","",IFERROR(
_xlfn._xlws.FILTER('Requisito x Tarea'!$C$1:$BK$1,
UPPER(TRIM(INDEX('Requisito x Tarea'!$C$2:$BK$200,
MATCH(TRIM(I8),'Requisito x Tarea'!$B$2:$B$200,0),
0)))="X"
),
"Sin requisitos"
))</f>
        <v/>
      </c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4"/>
      <c r="AA8" s="114"/>
      <c r="AB8" s="114"/>
      <c r="AC8" s="115"/>
      <c r="AD8" s="115"/>
      <c r="AE8" s="115"/>
      <c r="AF8" s="115"/>
    </row>
    <row r="9" spans="1:32" x14ac:dyDescent="0.3">
      <c r="J9" s="111" t="str" cm="1">
        <f t="array" ref="J9">IF(I9="","",IFERROR(
IF(SUMPRODUCT(--(_xlfn.XLOOKUP(_xlfn.ANCHORARRAY(K9),$B:$B,$G:$G,"SIN REGISTRO")&lt;&gt;"VIGENTE"))=0,"OK","NO"),"NO"))</f>
        <v/>
      </c>
      <c r="K9" s="112" t="str" cm="1">
        <f t="array" ref="K9">IF(I9="","",IFERROR(
_xlfn._xlws.FILTER('Requisito x Tarea'!$C$1:$BK$1,
UPPER(TRIM(INDEX('Requisito x Tarea'!$C$2:$BK$200,
MATCH(TRIM(I9),'Requisito x Tarea'!$B$2:$B$200,0),
0)))="X"
),
"Sin requisitos"
))</f>
        <v/>
      </c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4"/>
      <c r="AA9" s="114"/>
      <c r="AB9" s="114"/>
      <c r="AC9" s="115"/>
      <c r="AD9" s="115"/>
      <c r="AE9" s="115"/>
      <c r="AF9" s="115"/>
    </row>
    <row r="10" spans="1:32" x14ac:dyDescent="0.3">
      <c r="J10" s="111" t="str" cm="1">
        <f t="array" ref="J10">IF(I10="","",IFERROR(
IF(SUMPRODUCT(--(_xlfn.XLOOKUP(_xlfn.ANCHORARRAY(K10),$B:$B,$G:$G,"SIN REGISTRO")&lt;&gt;"VIGENTE"))=0,"OK","NO"),"NO"))</f>
        <v/>
      </c>
      <c r="K10" s="112" t="str" cm="1">
        <f t="array" ref="K10">IF(I10="","",IFERROR(
_xlfn._xlws.FILTER('Requisito x Tarea'!$C$1:$BK$1,
UPPER(TRIM(INDEX('Requisito x Tarea'!$C$2:$BK$200,
MATCH(TRIM(I10),'Requisito x Tarea'!$B$2:$B$200,0),
0)))="X"
),
"Sin requisitos"
))</f>
        <v/>
      </c>
      <c r="L10" s="113"/>
      <c r="M10" s="113"/>
      <c r="N10" s="113"/>
      <c r="O10" s="113"/>
      <c r="P10" s="113"/>
      <c r="Q10" s="113"/>
      <c r="R10" s="113"/>
      <c r="S10" s="113"/>
      <c r="T10" s="113"/>
      <c r="U10" s="113"/>
      <c r="V10" s="113"/>
      <c r="W10" s="113"/>
      <c r="X10" s="113"/>
      <c r="Y10" s="113"/>
      <c r="Z10" s="114"/>
      <c r="AA10" s="114"/>
      <c r="AB10" s="114"/>
      <c r="AC10" s="115"/>
      <c r="AD10" s="115"/>
      <c r="AE10" s="115"/>
      <c r="AF10" s="115"/>
    </row>
    <row r="11" spans="1:32" x14ac:dyDescent="0.3">
      <c r="J11" s="111" t="str" cm="1">
        <f t="array" ref="J11">IF(I11="","",IFERROR(
IF(SUMPRODUCT(--(_xlfn.XLOOKUP(_xlfn.ANCHORARRAY(K11),$B:$B,$G:$G,"SIN REGISTRO")&lt;&gt;"VIGENTE"))=0,"OK","NO"),"NO"))</f>
        <v/>
      </c>
      <c r="K11" s="112" t="str" cm="1">
        <f t="array" ref="K11">IF(I11="","",IFERROR(
_xlfn._xlws.FILTER('Requisito x Tarea'!$C$1:$BK$1,
UPPER(TRIM(INDEX('Requisito x Tarea'!$C$2:$BK$200,
MATCH(TRIM(I11),'Requisito x Tarea'!$B$2:$B$200,0),
0)))="X"
),
"Sin requisitos"
))</f>
        <v/>
      </c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4"/>
      <c r="AA11" s="114"/>
      <c r="AB11" s="114"/>
      <c r="AC11" s="115"/>
      <c r="AD11" s="115"/>
      <c r="AE11" s="115"/>
      <c r="AF11" s="115"/>
    </row>
    <row r="12" spans="1:32" x14ac:dyDescent="0.3">
      <c r="J12" s="111" t="str" cm="1">
        <f t="array" ref="J12">IF(I12="","",IFERROR(
IF(SUMPRODUCT(--(_xlfn.XLOOKUP(_xlfn.ANCHORARRAY(K12),$B:$B,$G:$G,"SIN REGISTRO")&lt;&gt;"VIGENTE"))=0,"OK","NO"),"NO"))</f>
        <v/>
      </c>
      <c r="K12" s="112" t="str" cm="1">
        <f t="array" ref="K12">IF(I12="","",IFERROR(
_xlfn._xlws.FILTER('Requisito x Tarea'!$C$1:$BK$1,
UPPER(TRIM(INDEX('Requisito x Tarea'!$C$2:$BK$200,
MATCH(TRIM(I12),'Requisito x Tarea'!$B$2:$B$200,0),
0)))="X"
),
"Sin requisitos"
))</f>
        <v/>
      </c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4"/>
      <c r="AA12" s="114"/>
      <c r="AB12" s="114"/>
      <c r="AC12" s="115"/>
      <c r="AD12" s="115"/>
      <c r="AE12" s="115"/>
      <c r="AF12" s="115"/>
    </row>
    <row r="13" spans="1:32" x14ac:dyDescent="0.3">
      <c r="J13" s="111" t="str" cm="1">
        <f t="array" ref="J13">IF(I13="","",IFERROR(
IF(SUMPRODUCT(--(_xlfn.XLOOKUP(_xlfn.ANCHORARRAY(K13),$B:$B,$G:$G,"SIN REGISTRO")&lt;&gt;"VIGENTE"))=0,"OK","NO"),"NO"))</f>
        <v/>
      </c>
      <c r="K13" s="112" t="str" cm="1">
        <f t="array" ref="K13">IF(I13="","",IFERROR(
_xlfn._xlws.FILTER('Requisito x Tarea'!$C$1:$BK$1,
UPPER(TRIM(INDEX('Requisito x Tarea'!$C$2:$BK$200,
MATCH(TRIM(I13),'Requisito x Tarea'!$B$2:$B$200,0),
0)))="X"
),
"Sin requisitos"
))</f>
        <v/>
      </c>
      <c r="L13" s="113"/>
      <c r="M13" s="113"/>
      <c r="N13" s="113"/>
      <c r="O13" s="113"/>
      <c r="P13" s="113"/>
      <c r="Q13" s="113"/>
      <c r="R13" s="113"/>
      <c r="S13" s="113"/>
      <c r="T13" s="113"/>
      <c r="U13" s="113"/>
      <c r="V13" s="113"/>
      <c r="W13" s="113"/>
      <c r="X13" s="113"/>
      <c r="Y13" s="113"/>
      <c r="Z13" s="114"/>
      <c r="AA13" s="114"/>
      <c r="AB13" s="114"/>
      <c r="AC13" s="115"/>
      <c r="AD13" s="115"/>
      <c r="AE13" s="115"/>
      <c r="AF13" s="115"/>
    </row>
    <row r="14" spans="1:32" x14ac:dyDescent="0.3">
      <c r="J14" s="111" t="str" cm="1">
        <f t="array" ref="J14">IF(I14="","",IFERROR(
IF(SUMPRODUCT(--(_xlfn.XLOOKUP(_xlfn.ANCHORARRAY(K14),$B:$B,$G:$G,"SIN REGISTRO")&lt;&gt;"VIGENTE"))=0,"OK","NO"),"NO"))</f>
        <v/>
      </c>
      <c r="K14" s="112" t="str" cm="1">
        <f t="array" ref="K14">IF(I14="","",IFERROR(
_xlfn._xlws.FILTER('Requisito x Tarea'!$C$1:$BK$1,
UPPER(TRIM(INDEX('Requisito x Tarea'!$C$2:$BK$200,
MATCH(TRIM(I14),'Requisito x Tarea'!$B$2:$B$200,0),
0)))="X"
),
"Sin requisitos"
))</f>
        <v/>
      </c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4"/>
      <c r="AA14" s="114"/>
      <c r="AB14" s="114"/>
      <c r="AC14" s="115"/>
      <c r="AD14" s="115"/>
      <c r="AE14" s="115"/>
      <c r="AF14" s="115"/>
    </row>
    <row r="15" spans="1:32" x14ac:dyDescent="0.3">
      <c r="J15" s="111" t="str" cm="1">
        <f t="array" ref="J15">IF(I15="","",IFERROR(
IF(SUMPRODUCT(--(_xlfn.XLOOKUP(_xlfn.ANCHORARRAY(K15),$B:$B,$G:$G,"SIN REGISTRO")&lt;&gt;"VIGENTE"))=0,"OK","NO"),"NO"))</f>
        <v/>
      </c>
      <c r="K15" s="112"/>
      <c r="L15" s="113"/>
      <c r="M15" s="113"/>
      <c r="N15" s="113"/>
      <c r="O15" s="113"/>
      <c r="P15" s="113"/>
      <c r="Q15" s="113"/>
      <c r="R15" s="113"/>
      <c r="S15" s="113"/>
      <c r="T15" s="113"/>
      <c r="U15" s="113"/>
      <c r="V15" s="113"/>
      <c r="W15" s="113"/>
      <c r="X15" s="113"/>
      <c r="Y15" s="113"/>
      <c r="Z15" s="114"/>
      <c r="AA15" s="114"/>
      <c r="AB15" s="114"/>
      <c r="AC15" s="115"/>
      <c r="AD15" s="115"/>
      <c r="AE15" s="115"/>
      <c r="AF15" s="115"/>
    </row>
    <row r="16" spans="1:32" x14ac:dyDescent="0.3">
      <c r="K16" s="112"/>
      <c r="L16" s="113"/>
      <c r="M16" s="113"/>
      <c r="N16" s="113"/>
      <c r="O16" s="113"/>
      <c r="P16" s="113"/>
      <c r="Q16" s="113"/>
      <c r="R16" s="113"/>
      <c r="S16" s="113"/>
      <c r="T16" s="113"/>
      <c r="U16" s="113"/>
      <c r="V16" s="113"/>
      <c r="W16" s="113"/>
      <c r="X16" s="113"/>
      <c r="Y16" s="113"/>
      <c r="Z16" s="114"/>
      <c r="AA16" s="114"/>
      <c r="AB16" s="114"/>
      <c r="AC16" s="115"/>
      <c r="AD16" s="115"/>
      <c r="AE16" s="115"/>
      <c r="AF16" s="115"/>
    </row>
    <row r="17" spans="11:32" x14ac:dyDescent="0.3">
      <c r="K17" s="112"/>
      <c r="L17" s="113"/>
      <c r="M17" s="113"/>
      <c r="N17" s="113"/>
      <c r="O17" s="113"/>
      <c r="P17" s="113"/>
      <c r="Q17" s="113"/>
      <c r="R17" s="113"/>
      <c r="S17" s="113"/>
      <c r="T17" s="113"/>
      <c r="U17" s="113"/>
      <c r="V17" s="113"/>
      <c r="W17" s="113"/>
      <c r="X17" s="113"/>
      <c r="Y17" s="113"/>
      <c r="Z17" s="114"/>
      <c r="AA17" s="114"/>
      <c r="AB17" s="114"/>
      <c r="AC17" s="115"/>
      <c r="AD17" s="115"/>
      <c r="AE17" s="115"/>
      <c r="AF17" s="115"/>
    </row>
    <row r="18" spans="11:32" x14ac:dyDescent="0.3">
      <c r="K18" s="112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Z18" s="114"/>
      <c r="AA18" s="114"/>
      <c r="AB18" s="114"/>
      <c r="AC18" s="115"/>
      <c r="AD18" s="115"/>
      <c r="AE18" s="115"/>
      <c r="AF18" s="115"/>
    </row>
    <row r="19" spans="11:32" x14ac:dyDescent="0.3">
      <c r="K19" s="112"/>
      <c r="L19" s="113"/>
      <c r="M19" s="113"/>
      <c r="N19" s="113"/>
      <c r="O19" s="113"/>
      <c r="P19" s="113"/>
      <c r="Q19" s="113"/>
      <c r="R19" s="113"/>
      <c r="S19" s="113"/>
      <c r="T19" s="113"/>
      <c r="U19" s="113"/>
      <c r="V19" s="113"/>
      <c r="W19" s="113"/>
      <c r="X19" s="113"/>
      <c r="Y19" s="113"/>
      <c r="Z19" s="114"/>
      <c r="AA19" s="114"/>
      <c r="AB19" s="114"/>
      <c r="AC19" s="115"/>
      <c r="AD19" s="115"/>
      <c r="AE19" s="115"/>
      <c r="AF19" s="115"/>
    </row>
    <row r="20" spans="11:32" x14ac:dyDescent="0.3">
      <c r="K20" s="112"/>
      <c r="L20" s="113"/>
      <c r="M20" s="113"/>
      <c r="N20" s="113"/>
      <c r="O20" s="113"/>
      <c r="P20" s="113"/>
      <c r="Q20" s="113"/>
      <c r="R20" s="113"/>
      <c r="S20" s="113"/>
      <c r="T20" s="113"/>
      <c r="U20" s="113"/>
      <c r="V20" s="113"/>
      <c r="W20" s="113"/>
      <c r="X20" s="113"/>
      <c r="Y20" s="113"/>
      <c r="Z20" s="114"/>
      <c r="AA20" s="114"/>
      <c r="AB20" s="114"/>
      <c r="AC20" s="115"/>
      <c r="AD20" s="115"/>
      <c r="AE20" s="115"/>
      <c r="AF20" s="115"/>
    </row>
  </sheetData>
  <sheetProtection algorithmName="SHA-512" hashValue="PP5+pTZsS1bqISToDzawQMG6C1wMjojUOPcqCQlV7XJ0NoH5rlzShe76HNDYwzHLe1hwYZLcCkIH8+gm/Uds9w==" saltValue="lOV8es99BbdIBXGF/sD4ZQ==" spinCount="100000" sheet="1" objects="1" scenarios="1"/>
  <mergeCells count="7">
    <mergeCell ref="K1:M1"/>
    <mergeCell ref="A4:G4"/>
    <mergeCell ref="A1:A2"/>
    <mergeCell ref="D1:E1"/>
    <mergeCell ref="D2:E2"/>
    <mergeCell ref="F1:G1"/>
    <mergeCell ref="F2:G2"/>
  </mergeCells>
  <conditionalFormatting sqref="J2:J27">
    <cfRule type="expression" dxfId="16" priority="11">
      <formula>$J2="NO"</formula>
    </cfRule>
    <cfRule type="expression" dxfId="15" priority="12">
      <formula>$J2="OK"</formula>
    </cfRule>
  </conditionalFormatting>
  <conditionalFormatting sqref="AH6:AN18 K2:AG12">
    <cfRule type="expression" dxfId="14" priority="5">
      <formula>AND(K2&lt;&gt;"",IFERROR(INDEX($F:$F,MATCH(TRIM(SUBSTITUTE(K2,CHAR(160)," ")),$B:$B,0)),"")="VENCIDAS")</formula>
    </cfRule>
    <cfRule type="expression" dxfId="13" priority="6">
      <formula>AND(K2&lt;&gt;"",IFERROR(INDEX($F:$F,MATCH(TRIM(SUBSTITUTE(K2,CHAR(160)," ")),$B:$B,0)),"")="POR VENCER")</formula>
    </cfRule>
    <cfRule type="expression" dxfId="12" priority="7">
      <formula>AND(K2&lt;&gt;"",IFERROR(INDEX($F:$F,MATCH(TRIM(SUBSTITUTE(K2,CHAR(160)," ")),$B:$B,0)),"")="VIGENTE")</formula>
    </cfRule>
  </conditionalFormatting>
  <conditionalFormatting sqref="G6:G153">
    <cfRule type="expression" dxfId="11" priority="8">
      <formula>$G6="VIGENTE"</formula>
    </cfRule>
    <cfRule type="expression" dxfId="10" priority="9">
      <formula>$G6="POR VENCER"</formula>
    </cfRule>
    <cfRule type="expression" dxfId="9" priority="10">
      <formula>$G6="VENCIDA"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4338E96-2C0E-4199-9C76-A900ED678553}">
          <x14:formula1>
            <xm:f>'Matriz de Comp. Personas'!$D$8:$D$106</xm:f>
          </x14:formula1>
          <xm:sqref>B2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3F81C-1303-482D-916B-618E2E9D16B5}">
  <sheetPr codeName="Hoja5">
    <tabColor theme="0" tint="-0.34998626667073579"/>
  </sheetPr>
  <dimension ref="A1:C365"/>
  <sheetViews>
    <sheetView topLeftCell="A16" workbookViewId="0">
      <selection activeCell="A21" sqref="A21:A24"/>
    </sheetView>
  </sheetViews>
  <sheetFormatPr baseColWidth="10" defaultColWidth="11.44140625" defaultRowHeight="14.4" x14ac:dyDescent="0.3"/>
  <cols>
    <col min="3" max="3" width="27.5546875" bestFit="1" customWidth="1"/>
  </cols>
  <sheetData>
    <row r="1" spans="1:3" x14ac:dyDescent="0.3">
      <c r="A1" s="24" t="s">
        <v>23</v>
      </c>
      <c r="B1" s="24" t="s">
        <v>430</v>
      </c>
      <c r="C1" s="24" t="s">
        <v>431</v>
      </c>
    </row>
    <row r="2" spans="1:3" x14ac:dyDescent="0.3">
      <c r="A2" s="25">
        <v>20355683002</v>
      </c>
      <c r="B2" s="25">
        <v>305564</v>
      </c>
      <c r="C2" s="25" t="s">
        <v>432</v>
      </c>
    </row>
    <row r="3" spans="1:3" x14ac:dyDescent="0.3">
      <c r="A3" s="25">
        <v>20320736421</v>
      </c>
      <c r="B3" s="25">
        <v>285257</v>
      </c>
      <c r="C3" s="25" t="s">
        <v>433</v>
      </c>
    </row>
    <row r="4" spans="1:3" x14ac:dyDescent="0.3">
      <c r="A4" s="25">
        <v>20347736075</v>
      </c>
      <c r="B4" s="25">
        <v>268105</v>
      </c>
      <c r="C4" s="25" t="s">
        <v>434</v>
      </c>
    </row>
    <row r="5" spans="1:3" x14ac:dyDescent="0.3">
      <c r="A5" s="25">
        <v>20243028702</v>
      </c>
      <c r="B5" s="25">
        <v>125303</v>
      </c>
      <c r="C5" s="25" t="s">
        <v>435</v>
      </c>
    </row>
    <row r="6" spans="1:3" x14ac:dyDescent="0.3">
      <c r="A6" s="25">
        <v>20321867880</v>
      </c>
      <c r="B6" s="25">
        <v>269593</v>
      </c>
      <c r="C6" s="25" t="s">
        <v>436</v>
      </c>
    </row>
    <row r="7" spans="1:3" x14ac:dyDescent="0.3">
      <c r="A7" s="25">
        <v>20392067001</v>
      </c>
      <c r="B7" s="25">
        <v>299093</v>
      </c>
      <c r="C7" s="25" t="s">
        <v>437</v>
      </c>
    </row>
    <row r="8" spans="1:3" x14ac:dyDescent="0.3">
      <c r="A8" s="25">
        <v>20265173560</v>
      </c>
      <c r="B8" s="25">
        <v>4073507</v>
      </c>
      <c r="C8" s="25" t="s">
        <v>438</v>
      </c>
    </row>
    <row r="9" spans="1:3" x14ac:dyDescent="0.3">
      <c r="A9" s="25">
        <v>20959710210</v>
      </c>
      <c r="B9" s="25">
        <v>201413</v>
      </c>
      <c r="C9" s="25" t="s">
        <v>439</v>
      </c>
    </row>
    <row r="10" spans="1:3" x14ac:dyDescent="0.3">
      <c r="A10" s="25">
        <v>23226321519</v>
      </c>
      <c r="B10" s="25">
        <v>125679</v>
      </c>
      <c r="C10" s="25" t="s">
        <v>440</v>
      </c>
    </row>
    <row r="11" spans="1:3" x14ac:dyDescent="0.3">
      <c r="A11" s="25">
        <v>20329390501</v>
      </c>
      <c r="B11" s="25">
        <v>241933</v>
      </c>
      <c r="C11" s="25" t="s">
        <v>441</v>
      </c>
    </row>
    <row r="12" spans="1:3" x14ac:dyDescent="0.3">
      <c r="A12" s="25">
        <v>20188555560</v>
      </c>
      <c r="B12" s="25">
        <v>139572</v>
      </c>
      <c r="C12" s="25" t="s">
        <v>442</v>
      </c>
    </row>
    <row r="13" spans="1:3" x14ac:dyDescent="0.3">
      <c r="A13" s="25">
        <v>20347624374</v>
      </c>
      <c r="B13" s="25">
        <v>4067179</v>
      </c>
      <c r="C13" s="25" t="s">
        <v>443</v>
      </c>
    </row>
    <row r="14" spans="1:3" x14ac:dyDescent="0.3">
      <c r="A14" s="25">
        <v>20246920541</v>
      </c>
      <c r="B14" s="25">
        <v>300829</v>
      </c>
      <c r="C14" s="25" t="s">
        <v>444</v>
      </c>
    </row>
    <row r="15" spans="1:3" x14ac:dyDescent="0.3">
      <c r="A15" s="25">
        <v>20190218415</v>
      </c>
      <c r="B15" s="25">
        <v>125551</v>
      </c>
      <c r="C15" s="25" t="s">
        <v>445</v>
      </c>
    </row>
    <row r="16" spans="1:3" x14ac:dyDescent="0.3">
      <c r="A16" s="25">
        <v>23286377289</v>
      </c>
      <c r="B16" s="25">
        <v>143220</v>
      </c>
      <c r="C16" s="25" t="s">
        <v>446</v>
      </c>
    </row>
    <row r="17" spans="1:3" x14ac:dyDescent="0.3">
      <c r="A17" s="25">
        <v>20310950182</v>
      </c>
      <c r="B17" s="25">
        <v>283283</v>
      </c>
      <c r="C17" s="25" t="s">
        <v>447</v>
      </c>
    </row>
    <row r="18" spans="1:3" x14ac:dyDescent="0.3">
      <c r="A18" s="25">
        <v>27253752179</v>
      </c>
      <c r="B18" s="25">
        <v>4102468</v>
      </c>
      <c r="C18" s="25" t="s">
        <v>448</v>
      </c>
    </row>
    <row r="19" spans="1:3" x14ac:dyDescent="0.3">
      <c r="A19" s="25">
        <v>23337738389</v>
      </c>
      <c r="B19" s="25">
        <v>268108</v>
      </c>
      <c r="C19" s="25" t="s">
        <v>449</v>
      </c>
    </row>
    <row r="20" spans="1:3" x14ac:dyDescent="0.3">
      <c r="A20" s="25">
        <v>20295854155</v>
      </c>
      <c r="B20" s="25">
        <v>145624</v>
      </c>
      <c r="C20" s="25" t="s">
        <v>450</v>
      </c>
    </row>
    <row r="21" spans="1:3" x14ac:dyDescent="0.3">
      <c r="A21" s="25">
        <v>20346645823</v>
      </c>
      <c r="B21" s="25">
        <v>301494</v>
      </c>
      <c r="C21" s="25" t="s">
        <v>451</v>
      </c>
    </row>
    <row r="22" spans="1:3" x14ac:dyDescent="0.3">
      <c r="A22" s="25">
        <v>20303251759</v>
      </c>
      <c r="B22" s="25">
        <v>227403</v>
      </c>
      <c r="C22" s="25" t="s">
        <v>452</v>
      </c>
    </row>
    <row r="23" spans="1:3" x14ac:dyDescent="0.3">
      <c r="A23" s="25">
        <v>20928316042</v>
      </c>
      <c r="B23" s="25">
        <v>268115</v>
      </c>
      <c r="C23" s="25" t="s">
        <v>453</v>
      </c>
    </row>
    <row r="24" spans="1:3" x14ac:dyDescent="0.3">
      <c r="A24" s="25">
        <v>20249298396</v>
      </c>
      <c r="B24" s="25">
        <v>295392</v>
      </c>
      <c r="C24" s="25" t="s">
        <v>454</v>
      </c>
    </row>
    <row r="25" spans="1:3" x14ac:dyDescent="0.3">
      <c r="A25" s="25">
        <v>20236354440</v>
      </c>
      <c r="B25" s="25">
        <v>125340</v>
      </c>
      <c r="C25" s="25" t="s">
        <v>455</v>
      </c>
    </row>
    <row r="26" spans="1:3" x14ac:dyDescent="0.3">
      <c r="A26" s="25">
        <v>20309366035</v>
      </c>
      <c r="B26" s="25">
        <v>295391</v>
      </c>
      <c r="C26" s="25" t="s">
        <v>456</v>
      </c>
    </row>
    <row r="27" spans="1:3" x14ac:dyDescent="0.3">
      <c r="A27" s="25">
        <v>20190929273</v>
      </c>
      <c r="B27" s="25">
        <v>142440</v>
      </c>
      <c r="C27" s="25" t="s">
        <v>457</v>
      </c>
    </row>
    <row r="28" spans="1:3" x14ac:dyDescent="0.3">
      <c r="A28" s="25">
        <v>20256974852</v>
      </c>
      <c r="B28" s="25">
        <v>269617</v>
      </c>
      <c r="C28" s="25" t="s">
        <v>458</v>
      </c>
    </row>
    <row r="29" spans="1:3" x14ac:dyDescent="0.3">
      <c r="A29" s="25">
        <v>20306616146</v>
      </c>
      <c r="B29" s="25">
        <v>195384</v>
      </c>
      <c r="C29" s="25" t="s">
        <v>459</v>
      </c>
    </row>
    <row r="30" spans="1:3" x14ac:dyDescent="0.3">
      <c r="A30" s="25">
        <v>20188045708</v>
      </c>
      <c r="B30" s="25">
        <v>295389</v>
      </c>
      <c r="C30" s="25" t="s">
        <v>460</v>
      </c>
    </row>
    <row r="31" spans="1:3" x14ac:dyDescent="0.3">
      <c r="A31" s="25">
        <v>20188603336</v>
      </c>
      <c r="B31" s="25">
        <v>295390</v>
      </c>
      <c r="C31" s="25" t="s">
        <v>461</v>
      </c>
    </row>
    <row r="32" spans="1:3" x14ac:dyDescent="0.3">
      <c r="A32" s="25">
        <v>20284511094</v>
      </c>
      <c r="B32" s="25">
        <v>318640</v>
      </c>
      <c r="C32" s="25" t="s">
        <v>462</v>
      </c>
    </row>
    <row r="33" spans="1:3" x14ac:dyDescent="0.3">
      <c r="A33" s="25">
        <v>20329049575</v>
      </c>
      <c r="B33" s="25">
        <v>212477</v>
      </c>
      <c r="C33" s="25" t="s">
        <v>463</v>
      </c>
    </row>
    <row r="34" spans="1:3" x14ac:dyDescent="0.3">
      <c r="A34" s="25">
        <v>20315137048</v>
      </c>
      <c r="B34" s="25">
        <v>125518</v>
      </c>
      <c r="C34" s="25" t="s">
        <v>464</v>
      </c>
    </row>
    <row r="35" spans="1:3" x14ac:dyDescent="0.3">
      <c r="A35" s="25">
        <v>27295850669</v>
      </c>
      <c r="B35" s="25">
        <v>269822</v>
      </c>
      <c r="C35" s="25" t="s">
        <v>465</v>
      </c>
    </row>
    <row r="36" spans="1:3" x14ac:dyDescent="0.3">
      <c r="A36" s="25">
        <v>20356594372</v>
      </c>
      <c r="B36" s="25">
        <v>291545</v>
      </c>
      <c r="C36" s="25" t="s">
        <v>466</v>
      </c>
    </row>
    <row r="37" spans="1:3" x14ac:dyDescent="0.3">
      <c r="A37" s="25">
        <v>20255110390</v>
      </c>
      <c r="B37" s="25">
        <v>171581</v>
      </c>
      <c r="C37" s="25" t="s">
        <v>467</v>
      </c>
    </row>
    <row r="38" spans="1:3" x14ac:dyDescent="0.3">
      <c r="A38" s="25">
        <v>20314754884</v>
      </c>
      <c r="B38" s="25">
        <v>125562</v>
      </c>
      <c r="C38" s="25" t="s">
        <v>468</v>
      </c>
    </row>
    <row r="39" spans="1:3" x14ac:dyDescent="0.3">
      <c r="A39" s="25">
        <v>20328933021</v>
      </c>
      <c r="B39" s="25">
        <v>295388</v>
      </c>
      <c r="C39" s="25" t="s">
        <v>469</v>
      </c>
    </row>
    <row r="40" spans="1:3" x14ac:dyDescent="0.3">
      <c r="A40" s="25">
        <v>20286373209</v>
      </c>
      <c r="B40" s="25">
        <v>125454</v>
      </c>
      <c r="C40" s="25" t="s">
        <v>470</v>
      </c>
    </row>
    <row r="41" spans="1:3" x14ac:dyDescent="0.3">
      <c r="A41" s="25">
        <v>20180423436</v>
      </c>
      <c r="B41" s="25">
        <v>125232</v>
      </c>
      <c r="C41" s="25" t="s">
        <v>471</v>
      </c>
    </row>
    <row r="42" spans="1:3" x14ac:dyDescent="0.3">
      <c r="A42" s="25">
        <v>20333164168</v>
      </c>
      <c r="B42" s="25">
        <v>146431</v>
      </c>
      <c r="C42" s="25" t="s">
        <v>472</v>
      </c>
    </row>
    <row r="43" spans="1:3" x14ac:dyDescent="0.3">
      <c r="A43" s="25">
        <v>20377646968</v>
      </c>
      <c r="B43" s="25">
        <v>195388</v>
      </c>
      <c r="C43" s="25" t="s">
        <v>473</v>
      </c>
    </row>
    <row r="44" spans="1:3" x14ac:dyDescent="0.3">
      <c r="A44" s="25">
        <v>20300423915</v>
      </c>
      <c r="B44" s="25">
        <v>261933</v>
      </c>
      <c r="C44" s="25" t="s">
        <v>474</v>
      </c>
    </row>
    <row r="45" spans="1:3" x14ac:dyDescent="0.3">
      <c r="A45" s="25">
        <v>20298585155</v>
      </c>
      <c r="B45" s="25">
        <v>303088</v>
      </c>
      <c r="C45" s="25" t="s">
        <v>475</v>
      </c>
    </row>
    <row r="46" spans="1:3" x14ac:dyDescent="0.3">
      <c r="A46" s="25">
        <v>20263919166</v>
      </c>
      <c r="B46" s="25">
        <v>268093</v>
      </c>
      <c r="C46" s="25" t="s">
        <v>476</v>
      </c>
    </row>
    <row r="47" spans="1:3" x14ac:dyDescent="0.3">
      <c r="A47" s="25">
        <v>20947346580</v>
      </c>
      <c r="B47" s="25">
        <v>148231</v>
      </c>
      <c r="C47" s="25" t="s">
        <v>477</v>
      </c>
    </row>
    <row r="48" spans="1:3" x14ac:dyDescent="0.3">
      <c r="A48" s="25">
        <v>23943438919</v>
      </c>
      <c r="B48" s="25">
        <v>171511</v>
      </c>
      <c r="C48" s="25" t="s">
        <v>478</v>
      </c>
    </row>
    <row r="49" spans="1:3" x14ac:dyDescent="0.3">
      <c r="A49" s="25">
        <v>20417938959</v>
      </c>
      <c r="B49" s="25">
        <v>4119214</v>
      </c>
      <c r="C49" s="25" t="s">
        <v>479</v>
      </c>
    </row>
    <row r="50" spans="1:3" x14ac:dyDescent="0.3">
      <c r="A50" s="25">
        <v>20367187671</v>
      </c>
      <c r="B50" s="25">
        <v>268120</v>
      </c>
      <c r="C50" s="25" t="s">
        <v>480</v>
      </c>
    </row>
    <row r="51" spans="1:3" x14ac:dyDescent="0.3">
      <c r="A51" s="25">
        <v>20208430603</v>
      </c>
      <c r="B51" s="25">
        <v>295399</v>
      </c>
      <c r="C51" s="25" t="s">
        <v>481</v>
      </c>
    </row>
    <row r="52" spans="1:3" x14ac:dyDescent="0.3">
      <c r="A52" s="25">
        <v>20278534929</v>
      </c>
      <c r="B52" s="25">
        <v>295398</v>
      </c>
      <c r="C52" s="25" t="s">
        <v>482</v>
      </c>
    </row>
    <row r="53" spans="1:3" x14ac:dyDescent="0.3">
      <c r="A53" s="25">
        <v>20266495820</v>
      </c>
      <c r="B53" s="25">
        <v>125437</v>
      </c>
      <c r="C53" s="25" t="s">
        <v>483</v>
      </c>
    </row>
    <row r="54" spans="1:3" x14ac:dyDescent="0.3">
      <c r="A54" s="25">
        <v>27271630161</v>
      </c>
      <c r="B54" s="25">
        <v>4096663</v>
      </c>
      <c r="C54" s="25" t="s">
        <v>484</v>
      </c>
    </row>
    <row r="55" spans="1:3" x14ac:dyDescent="0.3">
      <c r="A55" s="25">
        <v>20309369840</v>
      </c>
      <c r="B55" s="25">
        <v>125561</v>
      </c>
      <c r="C55" s="25" t="s">
        <v>485</v>
      </c>
    </row>
    <row r="56" spans="1:3" x14ac:dyDescent="0.3">
      <c r="A56" s="25">
        <v>20280214397</v>
      </c>
      <c r="B56" s="25">
        <v>143226</v>
      </c>
      <c r="C56" s="25" t="s">
        <v>486</v>
      </c>
    </row>
    <row r="57" spans="1:3" x14ac:dyDescent="0.3">
      <c r="A57" s="25">
        <v>20271432888</v>
      </c>
      <c r="B57" s="25">
        <v>4109795</v>
      </c>
      <c r="C57" s="25" t="s">
        <v>487</v>
      </c>
    </row>
    <row r="58" spans="1:3" x14ac:dyDescent="0.3">
      <c r="A58" s="25">
        <v>20317732679</v>
      </c>
      <c r="B58" s="25">
        <v>196334</v>
      </c>
      <c r="C58" s="25" t="s">
        <v>488</v>
      </c>
    </row>
    <row r="59" spans="1:3" x14ac:dyDescent="0.3">
      <c r="A59" s="25">
        <v>20250658886</v>
      </c>
      <c r="B59" s="25">
        <v>125378</v>
      </c>
      <c r="C59" s="25" t="s">
        <v>489</v>
      </c>
    </row>
    <row r="60" spans="1:3" x14ac:dyDescent="0.3">
      <c r="A60" s="25">
        <v>20309368143</v>
      </c>
      <c r="B60" s="25">
        <v>125491</v>
      </c>
      <c r="C60" s="25" t="s">
        <v>490</v>
      </c>
    </row>
    <row r="61" spans="1:3" x14ac:dyDescent="0.3">
      <c r="A61" s="25">
        <v>20230321257</v>
      </c>
      <c r="B61" s="25">
        <v>125337</v>
      </c>
      <c r="C61" s="25" t="s">
        <v>491</v>
      </c>
    </row>
    <row r="62" spans="1:3" x14ac:dyDescent="0.3">
      <c r="A62" s="25">
        <v>20226324993</v>
      </c>
      <c r="B62" s="25">
        <v>125274</v>
      </c>
      <c r="C62" s="25" t="s">
        <v>492</v>
      </c>
    </row>
    <row r="63" spans="1:3" x14ac:dyDescent="0.3">
      <c r="A63" s="25">
        <v>23265172709</v>
      </c>
      <c r="B63" s="25">
        <v>145625</v>
      </c>
      <c r="C63" s="25" t="s">
        <v>493</v>
      </c>
    </row>
    <row r="64" spans="1:3" x14ac:dyDescent="0.3">
      <c r="A64" s="25">
        <v>20266159286</v>
      </c>
      <c r="B64" s="25">
        <v>137047</v>
      </c>
      <c r="C64" s="25" t="s">
        <v>494</v>
      </c>
    </row>
    <row r="65" spans="1:3" x14ac:dyDescent="0.3">
      <c r="A65" s="25">
        <v>20300082093</v>
      </c>
      <c r="B65" s="25">
        <v>171510</v>
      </c>
      <c r="C65" s="25" t="s">
        <v>495</v>
      </c>
    </row>
    <row r="66" spans="1:3" x14ac:dyDescent="0.3">
      <c r="A66" s="25">
        <v>20263954018</v>
      </c>
      <c r="B66" s="25">
        <v>188096</v>
      </c>
      <c r="C66" s="25" t="s">
        <v>496</v>
      </c>
    </row>
    <row r="67" spans="1:3" x14ac:dyDescent="0.3">
      <c r="A67" s="25">
        <v>20169466190</v>
      </c>
      <c r="B67" s="25">
        <v>295400</v>
      </c>
      <c r="C67" s="25" t="s">
        <v>497</v>
      </c>
    </row>
    <row r="68" spans="1:3" x14ac:dyDescent="0.3">
      <c r="A68" s="25">
        <v>20289767704</v>
      </c>
      <c r="B68" s="25">
        <v>238118</v>
      </c>
      <c r="C68" s="25" t="s">
        <v>498</v>
      </c>
    </row>
    <row r="69" spans="1:3" x14ac:dyDescent="0.3">
      <c r="A69" s="25">
        <v>20420718951</v>
      </c>
      <c r="B69" s="25">
        <v>4120343</v>
      </c>
      <c r="C69" s="25" t="s">
        <v>499</v>
      </c>
    </row>
    <row r="70" spans="1:3" x14ac:dyDescent="0.3">
      <c r="A70" s="25">
        <v>20332600568</v>
      </c>
      <c r="B70" s="25">
        <v>188098</v>
      </c>
      <c r="C70" s="25" t="s">
        <v>500</v>
      </c>
    </row>
    <row r="71" spans="1:3" x14ac:dyDescent="0.3">
      <c r="A71" s="25">
        <v>20323086665</v>
      </c>
      <c r="B71" s="25">
        <v>278911</v>
      </c>
      <c r="C71" s="25" t="s">
        <v>501</v>
      </c>
    </row>
    <row r="72" spans="1:3" x14ac:dyDescent="0.3">
      <c r="A72" s="25">
        <v>20334748325</v>
      </c>
      <c r="B72" s="25">
        <v>209038</v>
      </c>
      <c r="C72" s="25" t="s">
        <v>502</v>
      </c>
    </row>
    <row r="73" spans="1:3" x14ac:dyDescent="0.3">
      <c r="A73" s="25">
        <v>20281853970</v>
      </c>
      <c r="B73" s="25">
        <v>4095156</v>
      </c>
      <c r="C73" s="25" t="s">
        <v>503</v>
      </c>
    </row>
    <row r="74" spans="1:3" x14ac:dyDescent="0.3">
      <c r="A74" s="25">
        <v>20303252445</v>
      </c>
      <c r="B74" s="25">
        <v>125540</v>
      </c>
      <c r="C74" s="25" t="s">
        <v>504</v>
      </c>
    </row>
    <row r="75" spans="1:3" x14ac:dyDescent="0.3">
      <c r="A75" s="25">
        <v>20188892435</v>
      </c>
      <c r="B75" s="25">
        <v>139155</v>
      </c>
      <c r="C75" s="25" t="s">
        <v>505</v>
      </c>
    </row>
    <row r="76" spans="1:3" x14ac:dyDescent="0.3">
      <c r="A76" s="25">
        <v>27299574666</v>
      </c>
      <c r="B76" s="25">
        <v>262098</v>
      </c>
      <c r="C76" s="25" t="s">
        <v>506</v>
      </c>
    </row>
    <row r="77" spans="1:3" x14ac:dyDescent="0.3">
      <c r="A77" s="25">
        <v>20314749767</v>
      </c>
      <c r="B77" s="25">
        <v>265397</v>
      </c>
      <c r="C77" s="25" t="s">
        <v>507</v>
      </c>
    </row>
    <row r="78" spans="1:3" x14ac:dyDescent="0.3">
      <c r="A78" s="25">
        <v>20189006749</v>
      </c>
      <c r="B78" s="25">
        <v>295396</v>
      </c>
      <c r="C78" s="25" t="s">
        <v>508</v>
      </c>
    </row>
    <row r="79" spans="1:3" x14ac:dyDescent="0.3">
      <c r="A79" s="25">
        <v>20234398890</v>
      </c>
      <c r="B79" s="25">
        <v>145658</v>
      </c>
      <c r="C79" s="25" t="s">
        <v>509</v>
      </c>
    </row>
    <row r="80" spans="1:3" x14ac:dyDescent="0.3">
      <c r="A80" s="25">
        <v>20329049303</v>
      </c>
      <c r="B80" s="25">
        <v>258661</v>
      </c>
      <c r="C80" s="25" t="s">
        <v>510</v>
      </c>
    </row>
    <row r="81" spans="1:3" x14ac:dyDescent="0.3">
      <c r="A81" s="25">
        <v>20280751651</v>
      </c>
      <c r="B81" s="25">
        <v>245268</v>
      </c>
      <c r="C81" s="25" t="s">
        <v>511</v>
      </c>
    </row>
    <row r="82" spans="1:3" x14ac:dyDescent="0.3">
      <c r="A82" s="25">
        <v>20351940868</v>
      </c>
      <c r="B82" s="25">
        <v>268121</v>
      </c>
      <c r="C82" s="25" t="s">
        <v>512</v>
      </c>
    </row>
    <row r="83" spans="1:3" x14ac:dyDescent="0.3">
      <c r="A83" s="25">
        <v>20218193111</v>
      </c>
      <c r="B83" s="25">
        <v>251607</v>
      </c>
      <c r="C83" s="25" t="s">
        <v>513</v>
      </c>
    </row>
    <row r="84" spans="1:3" x14ac:dyDescent="0.3">
      <c r="A84" s="25">
        <v>20324632051</v>
      </c>
      <c r="B84" s="25">
        <v>4063854</v>
      </c>
      <c r="C84" s="25" t="s">
        <v>514</v>
      </c>
    </row>
    <row r="85" spans="1:3" x14ac:dyDescent="0.3">
      <c r="A85" s="25">
        <v>20295855429</v>
      </c>
      <c r="B85" s="25">
        <v>295395</v>
      </c>
      <c r="C85" s="25" t="s">
        <v>515</v>
      </c>
    </row>
    <row r="86" spans="1:3" x14ac:dyDescent="0.3">
      <c r="A86" s="25">
        <v>20290902860</v>
      </c>
      <c r="B86" s="25">
        <v>125535</v>
      </c>
      <c r="C86" s="25" t="s">
        <v>516</v>
      </c>
    </row>
    <row r="87" spans="1:3" x14ac:dyDescent="0.3">
      <c r="A87" s="25">
        <v>20392047337</v>
      </c>
      <c r="B87" s="25">
        <v>4078663</v>
      </c>
      <c r="C87" s="25" t="s">
        <v>517</v>
      </c>
    </row>
    <row r="88" spans="1:3" x14ac:dyDescent="0.3">
      <c r="A88" s="25">
        <v>20238310238</v>
      </c>
      <c r="B88" s="25">
        <v>225284</v>
      </c>
      <c r="C88" s="25" t="s">
        <v>518</v>
      </c>
    </row>
    <row r="89" spans="1:3" x14ac:dyDescent="0.3">
      <c r="A89" s="25">
        <v>20346649438</v>
      </c>
      <c r="B89" s="25">
        <v>4112920</v>
      </c>
      <c r="C89" s="25" t="s">
        <v>519</v>
      </c>
    </row>
    <row r="90" spans="1:3" x14ac:dyDescent="0.3">
      <c r="A90" s="25">
        <v>20326049299</v>
      </c>
      <c r="B90" s="25">
        <v>184025</v>
      </c>
      <c r="C90" s="25" t="s">
        <v>520</v>
      </c>
    </row>
    <row r="91" spans="1:3" x14ac:dyDescent="0.3">
      <c r="A91" s="25">
        <v>20174460168</v>
      </c>
      <c r="B91" s="25">
        <v>125223</v>
      </c>
      <c r="C91" s="25" t="s">
        <v>521</v>
      </c>
    </row>
    <row r="92" spans="1:3" x14ac:dyDescent="0.3">
      <c r="A92" s="25">
        <v>20309363788</v>
      </c>
      <c r="B92" s="25">
        <v>125512</v>
      </c>
      <c r="C92" s="25" t="s">
        <v>522</v>
      </c>
    </row>
    <row r="93" spans="1:3" x14ac:dyDescent="0.3">
      <c r="A93" s="25">
        <v>20268698125</v>
      </c>
      <c r="B93" s="25">
        <v>201117</v>
      </c>
      <c r="C93" s="25" t="s">
        <v>523</v>
      </c>
    </row>
    <row r="94" spans="1:3" x14ac:dyDescent="0.3">
      <c r="A94" s="25">
        <v>20329493408</v>
      </c>
      <c r="B94" s="25">
        <v>4074772</v>
      </c>
      <c r="C94" s="25" t="s">
        <v>524</v>
      </c>
    </row>
    <row r="95" spans="1:3" x14ac:dyDescent="0.3">
      <c r="A95" s="25">
        <v>20270200932</v>
      </c>
      <c r="B95" s="25">
        <v>125389</v>
      </c>
      <c r="C95" s="25" t="s">
        <v>525</v>
      </c>
    </row>
    <row r="96" spans="1:3" x14ac:dyDescent="0.3">
      <c r="A96" s="25">
        <v>20329389384</v>
      </c>
      <c r="B96" s="25">
        <v>171585</v>
      </c>
      <c r="C96" s="25" t="s">
        <v>526</v>
      </c>
    </row>
    <row r="97" spans="1:3" x14ac:dyDescent="0.3">
      <c r="A97" s="25">
        <v>20280754073</v>
      </c>
      <c r="B97" s="25">
        <v>196333</v>
      </c>
      <c r="C97" s="25" t="s">
        <v>527</v>
      </c>
    </row>
    <row r="98" spans="1:3" x14ac:dyDescent="0.3">
      <c r="A98" s="25">
        <v>20326045285</v>
      </c>
      <c r="B98" s="25">
        <v>171601</v>
      </c>
      <c r="C98" s="25" t="s">
        <v>528</v>
      </c>
    </row>
    <row r="99" spans="1:3" x14ac:dyDescent="0.3">
      <c r="A99" s="25">
        <v>20334509231</v>
      </c>
      <c r="B99" s="25">
        <v>264038</v>
      </c>
      <c r="C99" s="25" t="s">
        <v>529</v>
      </c>
    </row>
    <row r="100" spans="1:3" x14ac:dyDescent="0.3">
      <c r="A100" s="25">
        <v>20208431154</v>
      </c>
      <c r="B100" s="25">
        <v>125256</v>
      </c>
      <c r="C100" s="25" t="s">
        <v>530</v>
      </c>
    </row>
    <row r="101" spans="1:3" x14ac:dyDescent="0.3">
      <c r="A101" s="25">
        <v>20353847202</v>
      </c>
      <c r="B101" s="25">
        <v>4066562</v>
      </c>
      <c r="C101" s="25" t="s">
        <v>531</v>
      </c>
    </row>
    <row r="102" spans="1:3" x14ac:dyDescent="0.3">
      <c r="A102" s="25">
        <v>20307314615</v>
      </c>
      <c r="B102" s="25">
        <v>142636</v>
      </c>
      <c r="C102" s="25" t="s">
        <v>532</v>
      </c>
    </row>
    <row r="103" spans="1:3" x14ac:dyDescent="0.3">
      <c r="A103" s="25">
        <v>20298581079</v>
      </c>
      <c r="B103" s="25">
        <v>125480</v>
      </c>
      <c r="C103" s="25" t="s">
        <v>533</v>
      </c>
    </row>
    <row r="104" spans="1:3" x14ac:dyDescent="0.3">
      <c r="A104" s="25">
        <v>20184904331</v>
      </c>
      <c r="B104" s="25">
        <v>125261</v>
      </c>
      <c r="C104" s="25" t="s">
        <v>534</v>
      </c>
    </row>
    <row r="105" spans="1:3" x14ac:dyDescent="0.3">
      <c r="A105" s="25">
        <v>20230322393</v>
      </c>
      <c r="B105" s="25">
        <v>153149</v>
      </c>
      <c r="C105" s="25" t="s">
        <v>535</v>
      </c>
    </row>
    <row r="106" spans="1:3" x14ac:dyDescent="0.3">
      <c r="A106" s="25">
        <v>20392063588</v>
      </c>
      <c r="B106" s="25">
        <v>299094</v>
      </c>
      <c r="C106" s="25" t="s">
        <v>536</v>
      </c>
    </row>
    <row r="107" spans="1:3" x14ac:dyDescent="0.3">
      <c r="A107" s="25">
        <v>20333363888</v>
      </c>
      <c r="B107" s="25">
        <v>296491</v>
      </c>
      <c r="C107" s="25" t="s">
        <v>537</v>
      </c>
    </row>
    <row r="108" spans="1:3" x14ac:dyDescent="0.3">
      <c r="A108" s="25">
        <v>20282431727</v>
      </c>
      <c r="B108" s="25">
        <v>234678</v>
      </c>
      <c r="C108" s="25" t="s">
        <v>538</v>
      </c>
    </row>
    <row r="109" spans="1:3" x14ac:dyDescent="0.3">
      <c r="A109" s="25">
        <v>20202371664</v>
      </c>
      <c r="B109" s="25">
        <v>297069</v>
      </c>
      <c r="C109" s="25" t="s">
        <v>539</v>
      </c>
    </row>
    <row r="110" spans="1:3" x14ac:dyDescent="0.3">
      <c r="A110" s="25">
        <v>20317943300</v>
      </c>
      <c r="B110" s="25">
        <v>136595</v>
      </c>
      <c r="C110" s="25" t="s">
        <v>540</v>
      </c>
    </row>
    <row r="111" spans="1:3" x14ac:dyDescent="0.3">
      <c r="A111" s="25">
        <v>20335748264</v>
      </c>
      <c r="B111" s="25">
        <v>4124324</v>
      </c>
      <c r="C111" s="25" t="s">
        <v>541</v>
      </c>
    </row>
    <row r="112" spans="1:3" x14ac:dyDescent="0.3">
      <c r="A112" s="25">
        <v>20232864193</v>
      </c>
      <c r="B112" s="25">
        <v>317726</v>
      </c>
      <c r="C112" s="25" t="s">
        <v>542</v>
      </c>
    </row>
    <row r="113" spans="1:3" x14ac:dyDescent="0.3">
      <c r="A113" s="25">
        <v>20374629655</v>
      </c>
      <c r="B113" s="25">
        <v>305563</v>
      </c>
      <c r="C113" s="25" t="s">
        <v>543</v>
      </c>
    </row>
    <row r="114" spans="1:3" x14ac:dyDescent="0.3">
      <c r="A114" s="25">
        <v>20286374825</v>
      </c>
      <c r="B114" s="25">
        <v>125497</v>
      </c>
      <c r="C114" s="25" t="s">
        <v>544</v>
      </c>
    </row>
    <row r="115" spans="1:3" x14ac:dyDescent="0.3">
      <c r="A115" s="25">
        <v>20273830163</v>
      </c>
      <c r="B115" s="25">
        <v>125409</v>
      </c>
      <c r="C115" s="25" t="s">
        <v>545</v>
      </c>
    </row>
    <row r="116" spans="1:3" x14ac:dyDescent="0.3">
      <c r="A116" s="25">
        <v>20218057765</v>
      </c>
      <c r="B116" s="25">
        <v>4025890</v>
      </c>
      <c r="C116" s="25" t="s">
        <v>546</v>
      </c>
    </row>
    <row r="117" spans="1:3" x14ac:dyDescent="0.3">
      <c r="A117" s="25">
        <v>20261280753</v>
      </c>
      <c r="B117" s="25">
        <v>139100</v>
      </c>
      <c r="C117" s="25" t="s">
        <v>547</v>
      </c>
    </row>
    <row r="118" spans="1:3" x14ac:dyDescent="0.3">
      <c r="A118" s="25">
        <v>20356243391</v>
      </c>
      <c r="B118" s="25">
        <v>285251</v>
      </c>
      <c r="C118" s="25" t="s">
        <v>548</v>
      </c>
    </row>
    <row r="119" spans="1:3" x14ac:dyDescent="0.3">
      <c r="A119" s="25">
        <v>20321868747</v>
      </c>
      <c r="B119" s="25">
        <v>260235</v>
      </c>
      <c r="C119" s="25" t="s">
        <v>549</v>
      </c>
    </row>
    <row r="120" spans="1:3" x14ac:dyDescent="0.3">
      <c r="A120" s="25">
        <v>20392610996</v>
      </c>
      <c r="B120" s="25">
        <v>4129610</v>
      </c>
      <c r="C120" s="25" t="s">
        <v>550</v>
      </c>
    </row>
    <row r="121" spans="1:3" x14ac:dyDescent="0.3">
      <c r="A121" s="25">
        <v>20403856720</v>
      </c>
      <c r="B121" s="25">
        <v>4123950</v>
      </c>
      <c r="C121" s="25" t="s">
        <v>551</v>
      </c>
    </row>
    <row r="122" spans="1:3" x14ac:dyDescent="0.3">
      <c r="A122" s="25">
        <v>20376658059</v>
      </c>
      <c r="B122" s="25">
        <v>265918</v>
      </c>
      <c r="C122" s="25" t="s">
        <v>552</v>
      </c>
    </row>
    <row r="123" spans="1:3" x14ac:dyDescent="0.3">
      <c r="A123" s="25">
        <v>20262197728</v>
      </c>
      <c r="B123" s="25">
        <v>201003</v>
      </c>
      <c r="C123" s="25" t="s">
        <v>553</v>
      </c>
    </row>
    <row r="124" spans="1:3" x14ac:dyDescent="0.3">
      <c r="A124" s="25">
        <v>20243024561</v>
      </c>
      <c r="B124" s="25">
        <v>125359</v>
      </c>
      <c r="C124" s="25" t="s">
        <v>554</v>
      </c>
    </row>
    <row r="125" spans="1:3" x14ac:dyDescent="0.3">
      <c r="A125" s="25">
        <v>20358890637</v>
      </c>
      <c r="B125" s="25">
        <v>4093708</v>
      </c>
      <c r="C125" s="25" t="s">
        <v>555</v>
      </c>
    </row>
    <row r="126" spans="1:3" x14ac:dyDescent="0.3">
      <c r="A126" s="25">
        <v>20232864177</v>
      </c>
      <c r="B126" s="25">
        <v>125346</v>
      </c>
      <c r="C126" s="25" t="s">
        <v>556</v>
      </c>
    </row>
    <row r="127" spans="1:3" x14ac:dyDescent="0.3">
      <c r="A127" s="25">
        <v>20269963078</v>
      </c>
      <c r="B127" s="25">
        <v>125384</v>
      </c>
      <c r="C127" s="25" t="s">
        <v>557</v>
      </c>
    </row>
    <row r="128" spans="1:3" x14ac:dyDescent="0.3">
      <c r="A128" s="25">
        <v>20318184942</v>
      </c>
      <c r="B128" s="25">
        <v>264762</v>
      </c>
      <c r="C128" s="25" t="s">
        <v>558</v>
      </c>
    </row>
    <row r="129" spans="1:3" x14ac:dyDescent="0.3">
      <c r="A129" s="25">
        <v>27248920373</v>
      </c>
      <c r="B129" s="25">
        <v>125549</v>
      </c>
      <c r="C129" s="25" t="s">
        <v>559</v>
      </c>
    </row>
    <row r="130" spans="1:3" x14ac:dyDescent="0.3">
      <c r="A130" s="25">
        <v>20253034700</v>
      </c>
      <c r="B130" s="25">
        <v>209039</v>
      </c>
      <c r="C130" s="25" t="s">
        <v>560</v>
      </c>
    </row>
    <row r="131" spans="1:3" x14ac:dyDescent="0.3">
      <c r="A131" s="25">
        <v>20367094517</v>
      </c>
      <c r="B131" s="25">
        <v>290319</v>
      </c>
      <c r="C131" s="25" t="s">
        <v>561</v>
      </c>
    </row>
    <row r="132" spans="1:3" x14ac:dyDescent="0.3">
      <c r="A132" s="25">
        <v>20345625446</v>
      </c>
      <c r="B132" s="25">
        <v>4044650</v>
      </c>
      <c r="C132" s="25" t="s">
        <v>562</v>
      </c>
    </row>
    <row r="133" spans="1:3" x14ac:dyDescent="0.3">
      <c r="A133" s="25">
        <v>20294543423</v>
      </c>
      <c r="B133" s="25">
        <v>4016704</v>
      </c>
      <c r="C133" s="25" t="s">
        <v>563</v>
      </c>
    </row>
    <row r="134" spans="1:3" x14ac:dyDescent="0.3">
      <c r="A134" s="25">
        <v>20249748014</v>
      </c>
      <c r="B134" s="25">
        <v>212478</v>
      </c>
      <c r="C134" s="25" t="s">
        <v>564</v>
      </c>
    </row>
    <row r="135" spans="1:3" x14ac:dyDescent="0.3">
      <c r="A135" s="25">
        <v>20299179509</v>
      </c>
      <c r="B135" s="25">
        <v>209467</v>
      </c>
      <c r="C135" s="25" t="s">
        <v>565</v>
      </c>
    </row>
    <row r="136" spans="1:3" x14ac:dyDescent="0.3">
      <c r="A136" s="25">
        <v>20115755944</v>
      </c>
      <c r="B136" s="25">
        <v>125169</v>
      </c>
      <c r="C136" s="25" t="s">
        <v>566</v>
      </c>
    </row>
    <row r="137" spans="1:3" x14ac:dyDescent="0.3">
      <c r="A137" s="25">
        <v>23321865429</v>
      </c>
      <c r="B137" s="25">
        <v>139097</v>
      </c>
      <c r="C137" s="25" t="s">
        <v>567</v>
      </c>
    </row>
    <row r="138" spans="1:3" x14ac:dyDescent="0.3">
      <c r="A138" s="25">
        <v>20275255360</v>
      </c>
      <c r="B138" s="25">
        <v>125475</v>
      </c>
      <c r="C138" s="25" t="s">
        <v>568</v>
      </c>
    </row>
    <row r="139" spans="1:3" x14ac:dyDescent="0.3">
      <c r="A139" s="25">
        <v>20303258443</v>
      </c>
      <c r="B139" s="25">
        <v>128583</v>
      </c>
      <c r="C139" s="25" t="s">
        <v>569</v>
      </c>
    </row>
    <row r="140" spans="1:3" x14ac:dyDescent="0.3">
      <c r="A140" s="25">
        <v>20285560838</v>
      </c>
      <c r="B140" s="25">
        <v>184093</v>
      </c>
      <c r="C140" s="25" t="s">
        <v>570</v>
      </c>
    </row>
    <row r="141" spans="1:3" x14ac:dyDescent="0.3">
      <c r="A141" s="25">
        <v>20272906204</v>
      </c>
      <c r="B141" s="25">
        <v>4045044</v>
      </c>
      <c r="C141" s="25" t="s">
        <v>571</v>
      </c>
    </row>
    <row r="142" spans="1:3" x14ac:dyDescent="0.3">
      <c r="A142" s="25">
        <v>20382991398</v>
      </c>
      <c r="B142" s="25">
        <v>4125958</v>
      </c>
      <c r="C142" s="25" t="s">
        <v>572</v>
      </c>
    </row>
    <row r="143" spans="1:3" x14ac:dyDescent="0.3">
      <c r="A143" s="25">
        <v>23301539819</v>
      </c>
      <c r="B143" s="25">
        <v>4112919</v>
      </c>
      <c r="C143" s="25" t="s">
        <v>573</v>
      </c>
    </row>
    <row r="144" spans="1:3" x14ac:dyDescent="0.3">
      <c r="A144" s="25">
        <v>20242832397</v>
      </c>
      <c r="B144" s="25">
        <v>248288</v>
      </c>
      <c r="C144" s="25" t="s">
        <v>574</v>
      </c>
    </row>
    <row r="145" spans="1:3" x14ac:dyDescent="0.3">
      <c r="A145" s="25">
        <v>20337697225</v>
      </c>
      <c r="B145" s="25">
        <v>246690</v>
      </c>
      <c r="C145" s="25" t="s">
        <v>575</v>
      </c>
    </row>
    <row r="146" spans="1:3" x14ac:dyDescent="0.3">
      <c r="A146" s="25">
        <v>20306612663</v>
      </c>
      <c r="B146" s="25">
        <v>303089</v>
      </c>
      <c r="C146" s="25" t="s">
        <v>576</v>
      </c>
    </row>
    <row r="147" spans="1:3" x14ac:dyDescent="0.3">
      <c r="A147" s="25">
        <v>20240964857</v>
      </c>
      <c r="B147" s="25">
        <v>139161</v>
      </c>
      <c r="C147" s="25" t="s">
        <v>577</v>
      </c>
    </row>
    <row r="148" spans="1:3" x14ac:dyDescent="0.3">
      <c r="A148" s="25">
        <v>20322452994</v>
      </c>
      <c r="B148" s="25">
        <v>269546</v>
      </c>
      <c r="C148" s="25" t="s">
        <v>578</v>
      </c>
    </row>
    <row r="149" spans="1:3" x14ac:dyDescent="0.3">
      <c r="A149" s="25">
        <v>20275987086</v>
      </c>
      <c r="B149" s="25">
        <v>125485</v>
      </c>
      <c r="C149" s="25" t="s">
        <v>579</v>
      </c>
    </row>
    <row r="150" spans="1:3" x14ac:dyDescent="0.3">
      <c r="A150" s="25">
        <v>20273723847</v>
      </c>
      <c r="B150" s="25">
        <v>125479</v>
      </c>
      <c r="C150" s="25" t="s">
        <v>580</v>
      </c>
    </row>
    <row r="151" spans="1:3" x14ac:dyDescent="0.3">
      <c r="A151" s="25">
        <v>20232869233</v>
      </c>
      <c r="B151" s="25">
        <v>143850</v>
      </c>
      <c r="C151" s="25" t="s">
        <v>581</v>
      </c>
    </row>
    <row r="152" spans="1:3" x14ac:dyDescent="0.3">
      <c r="A152" s="25">
        <v>27323375319</v>
      </c>
      <c r="B152" s="25">
        <v>264764</v>
      </c>
      <c r="C152" s="25" t="s">
        <v>582</v>
      </c>
    </row>
    <row r="153" spans="1:3" x14ac:dyDescent="0.3">
      <c r="A153" s="25">
        <v>20323980390</v>
      </c>
      <c r="B153" s="25">
        <v>285259</v>
      </c>
      <c r="C153" s="25" t="s">
        <v>583</v>
      </c>
    </row>
    <row r="154" spans="1:3" x14ac:dyDescent="0.3">
      <c r="A154" s="25">
        <v>20276133730</v>
      </c>
      <c r="B154" s="25">
        <v>125484</v>
      </c>
      <c r="C154" s="25" t="s">
        <v>584</v>
      </c>
    </row>
    <row r="155" spans="1:3" x14ac:dyDescent="0.3">
      <c r="A155" s="25">
        <v>20311512936</v>
      </c>
      <c r="B155" s="25">
        <v>265919</v>
      </c>
      <c r="C155" s="25" t="s">
        <v>585</v>
      </c>
    </row>
    <row r="156" spans="1:3" x14ac:dyDescent="0.3">
      <c r="A156" s="25">
        <v>27256972552</v>
      </c>
      <c r="B156" s="25">
        <v>315632</v>
      </c>
      <c r="C156" s="25" t="s">
        <v>586</v>
      </c>
    </row>
    <row r="157" spans="1:3" x14ac:dyDescent="0.3">
      <c r="A157" s="25">
        <v>20367195402</v>
      </c>
      <c r="B157" s="25">
        <v>276487</v>
      </c>
      <c r="C157" s="25" t="s">
        <v>587</v>
      </c>
    </row>
    <row r="158" spans="1:3" x14ac:dyDescent="0.3">
      <c r="A158" s="25">
        <v>20314410387</v>
      </c>
      <c r="B158" s="25">
        <v>184092</v>
      </c>
      <c r="C158" s="25" t="s">
        <v>588</v>
      </c>
    </row>
    <row r="159" spans="1:3" x14ac:dyDescent="0.3">
      <c r="A159" s="25">
        <v>20367187361</v>
      </c>
      <c r="B159" s="25">
        <v>268124</v>
      </c>
      <c r="C159" s="25" t="s">
        <v>589</v>
      </c>
    </row>
    <row r="160" spans="1:3" x14ac:dyDescent="0.3">
      <c r="A160" s="25">
        <v>20233403637</v>
      </c>
      <c r="B160" s="25">
        <v>295387</v>
      </c>
      <c r="C160" s="25" t="s">
        <v>590</v>
      </c>
    </row>
    <row r="161" spans="1:3" x14ac:dyDescent="0.3">
      <c r="A161" s="25">
        <v>20345624253</v>
      </c>
      <c r="B161" s="25">
        <v>221255</v>
      </c>
      <c r="C161" s="25" t="s">
        <v>591</v>
      </c>
    </row>
    <row r="162" spans="1:3" x14ac:dyDescent="0.3">
      <c r="A162" s="25">
        <v>27171298879</v>
      </c>
      <c r="B162" s="25">
        <v>125814</v>
      </c>
      <c r="C162" s="25" t="s">
        <v>592</v>
      </c>
    </row>
    <row r="163" spans="1:3" x14ac:dyDescent="0.3">
      <c r="A163" s="25">
        <v>20329048250</v>
      </c>
      <c r="B163" s="25">
        <v>184090</v>
      </c>
      <c r="C163" s="25" t="s">
        <v>593</v>
      </c>
    </row>
    <row r="164" spans="1:3" x14ac:dyDescent="0.3">
      <c r="A164" s="25">
        <v>20335746024</v>
      </c>
      <c r="B164" s="25">
        <v>139569</v>
      </c>
      <c r="C164" s="25" t="s">
        <v>594</v>
      </c>
    </row>
    <row r="165" spans="1:3" x14ac:dyDescent="0.3">
      <c r="A165" s="25">
        <v>27269963137</v>
      </c>
      <c r="B165" s="25">
        <v>320271</v>
      </c>
      <c r="C165" s="25" t="s">
        <v>595</v>
      </c>
    </row>
    <row r="166" spans="1:3" x14ac:dyDescent="0.3">
      <c r="A166" s="25">
        <v>20288517186</v>
      </c>
      <c r="B166" s="25">
        <v>295376</v>
      </c>
      <c r="C166" s="25" t="s">
        <v>596</v>
      </c>
    </row>
    <row r="167" spans="1:3" x14ac:dyDescent="0.3">
      <c r="A167" s="25">
        <v>20243020809</v>
      </c>
      <c r="B167" s="25">
        <v>269543</v>
      </c>
      <c r="C167" s="25" t="s">
        <v>597</v>
      </c>
    </row>
    <row r="168" spans="1:3" x14ac:dyDescent="0.3">
      <c r="A168" s="25">
        <v>20180420836</v>
      </c>
      <c r="B168" s="25">
        <v>4000564</v>
      </c>
      <c r="C168" s="25" t="s">
        <v>598</v>
      </c>
    </row>
    <row r="169" spans="1:3" x14ac:dyDescent="0.3">
      <c r="A169" s="25">
        <v>20286474811</v>
      </c>
      <c r="B169" s="25">
        <v>171586</v>
      </c>
      <c r="C169" s="25" t="s">
        <v>599</v>
      </c>
    </row>
    <row r="170" spans="1:3" x14ac:dyDescent="0.3">
      <c r="A170" s="25">
        <v>20329388671</v>
      </c>
      <c r="B170" s="25">
        <v>4058266</v>
      </c>
      <c r="C170" s="25" t="s">
        <v>600</v>
      </c>
    </row>
    <row r="171" spans="1:3" x14ac:dyDescent="0.3">
      <c r="A171" s="25">
        <v>20326973476</v>
      </c>
      <c r="B171" s="25">
        <v>283157</v>
      </c>
      <c r="C171" s="25" t="s">
        <v>601</v>
      </c>
    </row>
    <row r="172" spans="1:3" x14ac:dyDescent="0.3">
      <c r="A172" s="25">
        <v>20334505767</v>
      </c>
      <c r="B172" s="25">
        <v>128997</v>
      </c>
      <c r="C172" s="25" t="s">
        <v>602</v>
      </c>
    </row>
    <row r="173" spans="1:3" x14ac:dyDescent="0.3">
      <c r="A173" s="25">
        <v>20394386902</v>
      </c>
      <c r="B173" s="25">
        <v>319933</v>
      </c>
      <c r="C173" s="25" t="s">
        <v>603</v>
      </c>
    </row>
    <row r="174" spans="1:3" x14ac:dyDescent="0.3">
      <c r="A174" s="25">
        <v>20190275028</v>
      </c>
      <c r="B174" s="25">
        <v>263268</v>
      </c>
      <c r="C174" s="25" t="s">
        <v>604</v>
      </c>
    </row>
    <row r="175" spans="1:3" x14ac:dyDescent="0.3">
      <c r="A175" s="25">
        <v>23252164359</v>
      </c>
      <c r="B175" s="25">
        <v>317728</v>
      </c>
      <c r="C175" s="25" t="s">
        <v>605</v>
      </c>
    </row>
    <row r="176" spans="1:3" x14ac:dyDescent="0.3">
      <c r="A176" s="25">
        <v>20241742513</v>
      </c>
      <c r="B176" s="25">
        <v>269544</v>
      </c>
      <c r="C176" s="25" t="s">
        <v>606</v>
      </c>
    </row>
    <row r="177" spans="1:3" x14ac:dyDescent="0.3">
      <c r="A177" s="25">
        <v>20334671330</v>
      </c>
      <c r="B177" s="25">
        <v>4058264</v>
      </c>
      <c r="C177" s="25" t="s">
        <v>607</v>
      </c>
    </row>
    <row r="178" spans="1:3" x14ac:dyDescent="0.3">
      <c r="A178" s="25">
        <v>20250110902</v>
      </c>
      <c r="B178" s="25">
        <v>295385</v>
      </c>
      <c r="C178" s="25" t="s">
        <v>608</v>
      </c>
    </row>
    <row r="179" spans="1:3" x14ac:dyDescent="0.3">
      <c r="A179" s="25">
        <v>20295858428</v>
      </c>
      <c r="B179" s="25">
        <v>125476</v>
      </c>
      <c r="C179" s="25" t="s">
        <v>609</v>
      </c>
    </row>
    <row r="180" spans="1:3" x14ac:dyDescent="0.3">
      <c r="A180" s="25">
        <v>20365034134</v>
      </c>
      <c r="B180" s="25">
        <v>248290</v>
      </c>
      <c r="C180" s="25" t="s">
        <v>610</v>
      </c>
    </row>
    <row r="181" spans="1:3" x14ac:dyDescent="0.3">
      <c r="A181" s="25">
        <v>27280754175</v>
      </c>
      <c r="B181" s="25">
        <v>4002615</v>
      </c>
      <c r="C181" s="25" t="s">
        <v>611</v>
      </c>
    </row>
    <row r="182" spans="1:3" x14ac:dyDescent="0.3">
      <c r="A182" s="25">
        <v>20326981967</v>
      </c>
      <c r="B182" s="25">
        <v>260246</v>
      </c>
      <c r="C182" s="25" t="s">
        <v>612</v>
      </c>
    </row>
    <row r="183" spans="1:3" x14ac:dyDescent="0.3">
      <c r="A183" s="25">
        <v>20239056882</v>
      </c>
      <c r="B183" s="25">
        <v>283301</v>
      </c>
      <c r="C183" s="25" t="s">
        <v>613</v>
      </c>
    </row>
    <row r="184" spans="1:3" x14ac:dyDescent="0.3">
      <c r="A184" s="25">
        <v>20357140324</v>
      </c>
      <c r="B184" s="25">
        <v>4129595</v>
      </c>
      <c r="C184" s="25" t="s">
        <v>614</v>
      </c>
    </row>
    <row r="185" spans="1:3" x14ac:dyDescent="0.3">
      <c r="A185" s="25">
        <v>27317944026</v>
      </c>
      <c r="B185" s="25">
        <v>312524</v>
      </c>
      <c r="C185" s="25" t="s">
        <v>615</v>
      </c>
    </row>
    <row r="186" spans="1:3" x14ac:dyDescent="0.3">
      <c r="A186" s="25">
        <v>20250118458</v>
      </c>
      <c r="B186" s="25">
        <v>210774</v>
      </c>
      <c r="C186" s="25" t="s">
        <v>616</v>
      </c>
    </row>
    <row r="187" spans="1:3" x14ac:dyDescent="0.3">
      <c r="A187" s="25">
        <v>23240960869</v>
      </c>
      <c r="B187" s="25">
        <v>125709</v>
      </c>
      <c r="C187" s="25" t="s">
        <v>617</v>
      </c>
    </row>
    <row r="188" spans="1:3" x14ac:dyDescent="0.3">
      <c r="A188" s="25">
        <v>20300082743</v>
      </c>
      <c r="B188" s="25">
        <v>125472</v>
      </c>
      <c r="C188" s="25" t="s">
        <v>618</v>
      </c>
    </row>
    <row r="189" spans="1:3" x14ac:dyDescent="0.3">
      <c r="A189" s="25">
        <v>20250657634</v>
      </c>
      <c r="B189" s="25">
        <v>125352</v>
      </c>
      <c r="C189" s="25" t="s">
        <v>619</v>
      </c>
    </row>
    <row r="190" spans="1:3" x14ac:dyDescent="0.3">
      <c r="A190" s="25">
        <v>20410147050</v>
      </c>
      <c r="B190" s="25">
        <v>4089704</v>
      </c>
      <c r="C190" s="25" t="s">
        <v>620</v>
      </c>
    </row>
    <row r="191" spans="1:3" x14ac:dyDescent="0.3">
      <c r="A191" s="25">
        <v>20250828714</v>
      </c>
      <c r="B191" s="25">
        <v>210820</v>
      </c>
      <c r="C191" s="25" t="s">
        <v>621</v>
      </c>
    </row>
    <row r="192" spans="1:3" x14ac:dyDescent="0.3">
      <c r="A192" s="25">
        <v>20292396385</v>
      </c>
      <c r="B192" s="25">
        <v>283294</v>
      </c>
      <c r="C192" s="25" t="s">
        <v>622</v>
      </c>
    </row>
    <row r="193" spans="1:3" x14ac:dyDescent="0.3">
      <c r="A193" s="25">
        <v>24939739781</v>
      </c>
      <c r="B193" s="25">
        <v>269622</v>
      </c>
      <c r="C193" s="25" t="s">
        <v>623</v>
      </c>
    </row>
    <row r="194" spans="1:3" x14ac:dyDescent="0.3">
      <c r="A194" s="25">
        <v>20286373004</v>
      </c>
      <c r="B194" s="25">
        <v>125488</v>
      </c>
      <c r="C194" s="25" t="s">
        <v>624</v>
      </c>
    </row>
    <row r="195" spans="1:3" x14ac:dyDescent="0.3">
      <c r="A195" s="25">
        <v>20249788148</v>
      </c>
      <c r="B195" s="25">
        <v>301497</v>
      </c>
      <c r="C195" s="25" t="s">
        <v>625</v>
      </c>
    </row>
    <row r="196" spans="1:3" x14ac:dyDescent="0.3">
      <c r="A196" s="25">
        <v>23246495939</v>
      </c>
      <c r="B196" s="25">
        <v>125717</v>
      </c>
      <c r="C196" s="25" t="s">
        <v>626</v>
      </c>
    </row>
    <row r="197" spans="1:3" x14ac:dyDescent="0.3">
      <c r="A197" s="25">
        <v>20329232914</v>
      </c>
      <c r="B197" s="25">
        <v>144467</v>
      </c>
      <c r="C197" s="25" t="s">
        <v>627</v>
      </c>
    </row>
    <row r="198" spans="1:3" x14ac:dyDescent="0.3">
      <c r="A198" s="25">
        <v>23387110879</v>
      </c>
      <c r="B198" s="25">
        <v>4124769</v>
      </c>
      <c r="C198" s="25" t="s">
        <v>628</v>
      </c>
    </row>
    <row r="199" spans="1:3" x14ac:dyDescent="0.3">
      <c r="A199" s="25">
        <v>20272775940</v>
      </c>
      <c r="B199" s="25">
        <v>136686</v>
      </c>
      <c r="C199" s="25" t="s">
        <v>629</v>
      </c>
    </row>
    <row r="200" spans="1:3" x14ac:dyDescent="0.3">
      <c r="A200" s="25">
        <v>20226324799</v>
      </c>
      <c r="B200" s="25">
        <v>125294</v>
      </c>
      <c r="C200" s="25" t="s">
        <v>630</v>
      </c>
    </row>
    <row r="201" spans="1:3" x14ac:dyDescent="0.3">
      <c r="A201" s="25">
        <v>20284511582</v>
      </c>
      <c r="B201" s="25">
        <v>154098</v>
      </c>
      <c r="C201" s="25" t="s">
        <v>631</v>
      </c>
    </row>
    <row r="202" spans="1:3" x14ac:dyDescent="0.3">
      <c r="A202" s="25">
        <v>20298483840</v>
      </c>
      <c r="B202" s="25">
        <v>125545</v>
      </c>
      <c r="C202" s="25" t="s">
        <v>632</v>
      </c>
    </row>
    <row r="203" spans="1:3" x14ac:dyDescent="0.3">
      <c r="A203" s="25">
        <v>20287026340</v>
      </c>
      <c r="B203" s="25">
        <v>125519</v>
      </c>
      <c r="C203" s="25" t="s">
        <v>633</v>
      </c>
    </row>
    <row r="204" spans="1:3" x14ac:dyDescent="0.3">
      <c r="A204" s="25">
        <v>20279851855</v>
      </c>
      <c r="B204" s="25">
        <v>269542</v>
      </c>
      <c r="C204" s="25" t="s">
        <v>634</v>
      </c>
    </row>
    <row r="205" spans="1:3" x14ac:dyDescent="0.3">
      <c r="A205" s="25">
        <v>20280757897</v>
      </c>
      <c r="B205" s="25">
        <v>125510</v>
      </c>
      <c r="C205" s="25" t="s">
        <v>635</v>
      </c>
    </row>
    <row r="206" spans="1:3" x14ac:dyDescent="0.3">
      <c r="A206" s="25">
        <v>20319856731</v>
      </c>
      <c r="B206" s="25">
        <v>4025908</v>
      </c>
      <c r="C206" s="25" t="s">
        <v>636</v>
      </c>
    </row>
    <row r="207" spans="1:3" x14ac:dyDescent="0.3">
      <c r="A207" s="25">
        <v>20367919516</v>
      </c>
      <c r="B207" s="25">
        <v>4077700</v>
      </c>
      <c r="C207" s="25" t="s">
        <v>637</v>
      </c>
    </row>
    <row r="208" spans="1:3" x14ac:dyDescent="0.3">
      <c r="A208" s="25">
        <v>20281800907</v>
      </c>
      <c r="B208" s="25">
        <v>255054</v>
      </c>
      <c r="C208" s="25" t="s">
        <v>638</v>
      </c>
    </row>
    <row r="209" spans="1:3" x14ac:dyDescent="0.3">
      <c r="A209" s="25">
        <v>20385172479</v>
      </c>
      <c r="B209" s="25">
        <v>4074496</v>
      </c>
      <c r="C209" s="25" t="s">
        <v>639</v>
      </c>
    </row>
    <row r="210" spans="1:3" x14ac:dyDescent="0.3">
      <c r="A210" s="25">
        <v>20303646761</v>
      </c>
      <c r="B210" s="25">
        <v>188099</v>
      </c>
      <c r="C210" s="25" t="s">
        <v>640</v>
      </c>
    </row>
    <row r="211" spans="1:3" x14ac:dyDescent="0.3">
      <c r="A211" s="25">
        <v>23470782439</v>
      </c>
      <c r="B211" s="25">
        <v>4117751</v>
      </c>
      <c r="C211" s="25" t="s">
        <v>641</v>
      </c>
    </row>
    <row r="212" spans="1:3" x14ac:dyDescent="0.3">
      <c r="A212" s="25">
        <v>20187660891</v>
      </c>
      <c r="B212" s="25">
        <v>125281</v>
      </c>
      <c r="C212" s="25" t="s">
        <v>642</v>
      </c>
    </row>
    <row r="213" spans="1:3" x14ac:dyDescent="0.3">
      <c r="A213" s="25">
        <v>20234907272</v>
      </c>
      <c r="B213" s="25">
        <v>125282</v>
      </c>
      <c r="C213" s="25" t="s">
        <v>643</v>
      </c>
    </row>
    <row r="214" spans="1:3" x14ac:dyDescent="0.3">
      <c r="A214" s="25">
        <v>20224575875</v>
      </c>
      <c r="B214" s="25">
        <v>315669</v>
      </c>
      <c r="C214" s="25" t="s">
        <v>644</v>
      </c>
    </row>
    <row r="215" spans="1:3" x14ac:dyDescent="0.3">
      <c r="A215" s="25">
        <v>20928959636</v>
      </c>
      <c r="B215" s="25">
        <v>140386</v>
      </c>
      <c r="C215" s="25" t="s">
        <v>645</v>
      </c>
    </row>
    <row r="216" spans="1:3" x14ac:dyDescent="0.3">
      <c r="A216" s="25">
        <v>20287029234</v>
      </c>
      <c r="B216" s="25">
        <v>125505</v>
      </c>
      <c r="C216" s="25" t="s">
        <v>646</v>
      </c>
    </row>
    <row r="217" spans="1:3" x14ac:dyDescent="0.3">
      <c r="A217" s="25">
        <v>20234390334</v>
      </c>
      <c r="B217" s="25">
        <v>317729</v>
      </c>
      <c r="C217" s="25" t="s">
        <v>647</v>
      </c>
    </row>
    <row r="218" spans="1:3" x14ac:dyDescent="0.3">
      <c r="A218" s="25">
        <v>20371513958</v>
      </c>
      <c r="B218" s="25">
        <v>4104782</v>
      </c>
      <c r="C218" s="25" t="s">
        <v>648</v>
      </c>
    </row>
    <row r="219" spans="1:3" x14ac:dyDescent="0.3">
      <c r="A219" s="25">
        <v>20337695249</v>
      </c>
      <c r="B219" s="25">
        <v>274593</v>
      </c>
      <c r="C219" s="25" t="s">
        <v>649</v>
      </c>
    </row>
    <row r="220" spans="1:3" x14ac:dyDescent="0.3">
      <c r="A220" s="25">
        <v>20370686689</v>
      </c>
      <c r="B220" s="25">
        <v>295884</v>
      </c>
      <c r="C220" s="25" t="s">
        <v>650</v>
      </c>
    </row>
    <row r="221" spans="1:3" x14ac:dyDescent="0.3">
      <c r="A221" s="25">
        <v>20317943297</v>
      </c>
      <c r="B221" s="25">
        <v>215356</v>
      </c>
      <c r="C221" s="25" t="s">
        <v>651</v>
      </c>
    </row>
    <row r="222" spans="1:3" x14ac:dyDescent="0.3">
      <c r="A222" s="25">
        <v>20371499882</v>
      </c>
      <c r="B222" s="25">
        <v>278790</v>
      </c>
      <c r="C222" s="25" t="s">
        <v>652</v>
      </c>
    </row>
    <row r="223" spans="1:3" x14ac:dyDescent="0.3">
      <c r="A223" s="25">
        <v>20161672212</v>
      </c>
      <c r="B223" s="25">
        <v>125180</v>
      </c>
      <c r="C223" s="25" t="s">
        <v>653</v>
      </c>
    </row>
    <row r="224" spans="1:3" x14ac:dyDescent="0.3">
      <c r="A224" s="25">
        <v>20345624830</v>
      </c>
      <c r="B224" s="25">
        <v>302305</v>
      </c>
      <c r="C224" s="25" t="s">
        <v>654</v>
      </c>
    </row>
    <row r="225" spans="1:3" x14ac:dyDescent="0.3">
      <c r="A225" s="25">
        <v>20355665535</v>
      </c>
      <c r="B225" s="25">
        <v>4004136</v>
      </c>
      <c r="C225" s="25" t="s">
        <v>655</v>
      </c>
    </row>
    <row r="226" spans="1:3" x14ac:dyDescent="0.3">
      <c r="A226" s="25">
        <v>20306614542</v>
      </c>
      <c r="B226" s="25">
        <v>125489</v>
      </c>
      <c r="C226" s="25" t="s">
        <v>656</v>
      </c>
    </row>
    <row r="227" spans="1:3" x14ac:dyDescent="0.3">
      <c r="A227" s="25">
        <v>20296033945</v>
      </c>
      <c r="B227" s="25">
        <v>274296</v>
      </c>
      <c r="C227" s="25" t="s">
        <v>657</v>
      </c>
    </row>
    <row r="228" spans="1:3" x14ac:dyDescent="0.3">
      <c r="A228" s="25">
        <v>23263399439</v>
      </c>
      <c r="B228" s="25">
        <v>4096312</v>
      </c>
      <c r="C228" s="25" t="s">
        <v>658</v>
      </c>
    </row>
    <row r="229" spans="1:3" x14ac:dyDescent="0.3">
      <c r="A229" s="25">
        <v>20403877744</v>
      </c>
      <c r="B229" s="25">
        <v>4044631</v>
      </c>
      <c r="C229" s="25" t="s">
        <v>659</v>
      </c>
    </row>
    <row r="230" spans="1:3" x14ac:dyDescent="0.3">
      <c r="A230" s="25">
        <v>20370680826</v>
      </c>
      <c r="B230" s="25">
        <v>4028300</v>
      </c>
      <c r="C230" s="25" t="s">
        <v>660</v>
      </c>
    </row>
    <row r="231" spans="1:3" x14ac:dyDescent="0.3">
      <c r="A231" s="25">
        <v>20336528985</v>
      </c>
      <c r="B231" s="25">
        <v>260245</v>
      </c>
      <c r="C231" s="25" t="s">
        <v>661</v>
      </c>
    </row>
    <row r="232" spans="1:3" x14ac:dyDescent="0.3">
      <c r="A232" s="25">
        <v>20277774020</v>
      </c>
      <c r="B232" s="25">
        <v>128580</v>
      </c>
      <c r="C232" s="25" t="s">
        <v>662</v>
      </c>
    </row>
    <row r="233" spans="1:3" x14ac:dyDescent="0.3">
      <c r="A233" s="25">
        <v>20365902314</v>
      </c>
      <c r="B233" s="25">
        <v>262073</v>
      </c>
      <c r="C233" s="25" t="s">
        <v>663</v>
      </c>
    </row>
    <row r="234" spans="1:3" x14ac:dyDescent="0.3">
      <c r="A234" s="25">
        <v>23376461459</v>
      </c>
      <c r="B234" s="25">
        <v>299491</v>
      </c>
      <c r="C234" s="25" t="s">
        <v>664</v>
      </c>
    </row>
    <row r="235" spans="1:3" x14ac:dyDescent="0.3">
      <c r="A235" s="25">
        <v>20257221424</v>
      </c>
      <c r="B235" s="25">
        <v>4064263</v>
      </c>
      <c r="C235" s="25" t="s">
        <v>665</v>
      </c>
    </row>
    <row r="236" spans="1:3" x14ac:dyDescent="0.3">
      <c r="A236" s="25">
        <v>27322453324</v>
      </c>
      <c r="B236" s="25">
        <v>296931</v>
      </c>
      <c r="C236" s="25" t="s">
        <v>666</v>
      </c>
    </row>
    <row r="237" spans="1:3" x14ac:dyDescent="0.3">
      <c r="A237" s="25">
        <v>20300089403</v>
      </c>
      <c r="B237" s="25">
        <v>125478</v>
      </c>
      <c r="C237" s="25" t="s">
        <v>667</v>
      </c>
    </row>
    <row r="238" spans="1:3" x14ac:dyDescent="0.3">
      <c r="A238" s="25">
        <v>20240963354</v>
      </c>
      <c r="B238" s="25">
        <v>125332</v>
      </c>
      <c r="C238" s="25" t="s">
        <v>668</v>
      </c>
    </row>
    <row r="239" spans="1:3" x14ac:dyDescent="0.3">
      <c r="A239" s="25">
        <v>20188183957</v>
      </c>
      <c r="B239" s="25">
        <v>125249</v>
      </c>
      <c r="C239" s="25" t="s">
        <v>669</v>
      </c>
    </row>
    <row r="240" spans="1:3" x14ac:dyDescent="0.3">
      <c r="A240" s="25">
        <v>20347737608</v>
      </c>
      <c r="B240" s="25">
        <v>248291</v>
      </c>
      <c r="C240" s="25" t="s">
        <v>670</v>
      </c>
    </row>
    <row r="241" spans="1:3" x14ac:dyDescent="0.3">
      <c r="A241" s="25">
        <v>27256974539</v>
      </c>
      <c r="B241" s="25">
        <v>125818</v>
      </c>
      <c r="C241" s="25" t="s">
        <v>671</v>
      </c>
    </row>
    <row r="242" spans="1:3" x14ac:dyDescent="0.3">
      <c r="A242" s="25">
        <v>20266434813</v>
      </c>
      <c r="B242" s="25">
        <v>234679</v>
      </c>
      <c r="C242" s="25" t="s">
        <v>672</v>
      </c>
    </row>
    <row r="243" spans="1:3" x14ac:dyDescent="0.3">
      <c r="A243" s="25">
        <v>20337727248</v>
      </c>
      <c r="B243" s="25">
        <v>125538</v>
      </c>
      <c r="C243" s="25" t="s">
        <v>673</v>
      </c>
    </row>
    <row r="244" spans="1:3" x14ac:dyDescent="0.3">
      <c r="A244" s="25">
        <v>20286868550</v>
      </c>
      <c r="B244" s="25">
        <v>269605</v>
      </c>
      <c r="C244" s="25" t="s">
        <v>674</v>
      </c>
    </row>
    <row r="245" spans="1:3" x14ac:dyDescent="0.3">
      <c r="A245" s="25">
        <v>20284033133</v>
      </c>
      <c r="B245" s="25">
        <v>277806</v>
      </c>
      <c r="C245" s="25" t="s">
        <v>675</v>
      </c>
    </row>
    <row r="246" spans="1:3" x14ac:dyDescent="0.3">
      <c r="A246" s="25">
        <v>20319856499</v>
      </c>
      <c r="B246" s="25">
        <v>295384</v>
      </c>
      <c r="C246" s="25" t="s">
        <v>676</v>
      </c>
    </row>
    <row r="247" spans="1:3" x14ac:dyDescent="0.3">
      <c r="A247" s="25">
        <v>23202373909</v>
      </c>
      <c r="B247" s="25">
        <v>125650</v>
      </c>
      <c r="C247" s="25" t="s">
        <v>677</v>
      </c>
    </row>
    <row r="248" spans="1:3" x14ac:dyDescent="0.3">
      <c r="A248" s="25">
        <v>20247770292</v>
      </c>
      <c r="B248" s="25">
        <v>4032680</v>
      </c>
      <c r="C248" s="25" t="s">
        <v>678</v>
      </c>
    </row>
    <row r="249" spans="1:3" x14ac:dyDescent="0.3">
      <c r="A249" s="25">
        <v>20298797934</v>
      </c>
      <c r="B249" s="25">
        <v>209040</v>
      </c>
      <c r="C249" s="25" t="s">
        <v>679</v>
      </c>
    </row>
    <row r="250" spans="1:3" x14ac:dyDescent="0.3">
      <c r="A250" s="25">
        <v>20325363682</v>
      </c>
      <c r="B250" s="25">
        <v>274695</v>
      </c>
      <c r="C250" s="25" t="s">
        <v>680</v>
      </c>
    </row>
    <row r="251" spans="1:3" x14ac:dyDescent="0.3">
      <c r="A251" s="25">
        <v>20284668813</v>
      </c>
      <c r="B251" s="25">
        <v>136631</v>
      </c>
      <c r="C251" s="25" t="s">
        <v>681</v>
      </c>
    </row>
    <row r="252" spans="1:3" x14ac:dyDescent="0.3">
      <c r="A252" s="25">
        <v>20220553079</v>
      </c>
      <c r="B252" s="25">
        <v>125284</v>
      </c>
      <c r="C252" s="25" t="s">
        <v>682</v>
      </c>
    </row>
    <row r="253" spans="1:3" x14ac:dyDescent="0.3">
      <c r="A253" s="25">
        <v>23257107914</v>
      </c>
      <c r="B253" s="25">
        <v>240101</v>
      </c>
      <c r="C253" s="25" t="s">
        <v>683</v>
      </c>
    </row>
    <row r="254" spans="1:3" x14ac:dyDescent="0.3">
      <c r="A254" s="25">
        <v>20959633763</v>
      </c>
      <c r="B254" s="25">
        <v>4034481</v>
      </c>
      <c r="C254" s="25" t="s">
        <v>684</v>
      </c>
    </row>
    <row r="255" spans="1:3" x14ac:dyDescent="0.3">
      <c r="A255" s="25">
        <v>20273694154</v>
      </c>
      <c r="B255" s="25">
        <v>125432</v>
      </c>
      <c r="C255" s="25" t="s">
        <v>685</v>
      </c>
    </row>
    <row r="256" spans="1:3" x14ac:dyDescent="0.3">
      <c r="A256" s="25">
        <v>23341449189</v>
      </c>
      <c r="B256" s="25">
        <v>171592</v>
      </c>
      <c r="C256" s="25" t="s">
        <v>686</v>
      </c>
    </row>
    <row r="257" spans="1:3" x14ac:dyDescent="0.3">
      <c r="A257" s="25">
        <v>20211056232</v>
      </c>
      <c r="B257" s="25">
        <v>136640</v>
      </c>
      <c r="C257" s="25" t="s">
        <v>687</v>
      </c>
    </row>
    <row r="258" spans="1:3" x14ac:dyDescent="0.3">
      <c r="A258" s="25">
        <v>20220648460</v>
      </c>
      <c r="B258" s="25">
        <v>125314</v>
      </c>
      <c r="C258" s="25" t="s">
        <v>688</v>
      </c>
    </row>
    <row r="259" spans="1:3" x14ac:dyDescent="0.3">
      <c r="A259" s="25">
        <v>20379001212</v>
      </c>
      <c r="B259" s="25">
        <v>262666</v>
      </c>
      <c r="C259" s="25" t="s">
        <v>689</v>
      </c>
    </row>
    <row r="260" spans="1:3" x14ac:dyDescent="0.3">
      <c r="A260" s="25">
        <v>20237092997</v>
      </c>
      <c r="B260" s="25">
        <v>136641</v>
      </c>
      <c r="C260" s="25" t="s">
        <v>690</v>
      </c>
    </row>
    <row r="261" spans="1:3" x14ac:dyDescent="0.3">
      <c r="A261" s="25">
        <v>20927808057</v>
      </c>
      <c r="B261" s="25">
        <v>125582</v>
      </c>
      <c r="C261" s="25" t="s">
        <v>691</v>
      </c>
    </row>
    <row r="262" spans="1:3" x14ac:dyDescent="0.3">
      <c r="A262" s="25">
        <v>20247771043</v>
      </c>
      <c r="B262" s="25">
        <v>125317</v>
      </c>
      <c r="C262" s="25" t="s">
        <v>692</v>
      </c>
    </row>
    <row r="263" spans="1:3" x14ac:dyDescent="0.3">
      <c r="A263" s="25">
        <v>20415195924</v>
      </c>
      <c r="B263" s="25">
        <v>4127184</v>
      </c>
      <c r="C263" s="25" t="s">
        <v>693</v>
      </c>
    </row>
    <row r="264" spans="1:3" x14ac:dyDescent="0.3">
      <c r="A264" s="25">
        <v>23275985139</v>
      </c>
      <c r="B264" s="25">
        <v>265391</v>
      </c>
      <c r="C264" s="25" t="s">
        <v>694</v>
      </c>
    </row>
    <row r="265" spans="1:3" x14ac:dyDescent="0.3">
      <c r="A265" s="25">
        <v>23226139109</v>
      </c>
      <c r="B265" s="25">
        <v>140368</v>
      </c>
      <c r="C265" s="25" t="s">
        <v>695</v>
      </c>
    </row>
    <row r="266" spans="1:3" x14ac:dyDescent="0.3">
      <c r="A266" s="25">
        <v>20444710951</v>
      </c>
      <c r="B266" s="25">
        <v>4101261</v>
      </c>
      <c r="C266" s="25" t="s">
        <v>696</v>
      </c>
    </row>
    <row r="267" spans="1:3" x14ac:dyDescent="0.3">
      <c r="A267" s="25">
        <v>20230326291</v>
      </c>
      <c r="B267" s="25">
        <v>262667</v>
      </c>
      <c r="C267" s="25" t="s">
        <v>697</v>
      </c>
    </row>
    <row r="268" spans="1:3" x14ac:dyDescent="0.3">
      <c r="A268" s="25">
        <v>20430041135</v>
      </c>
      <c r="B268" s="25">
        <v>4093866</v>
      </c>
      <c r="C268" s="25" t="s">
        <v>698</v>
      </c>
    </row>
    <row r="269" spans="1:3" x14ac:dyDescent="0.3">
      <c r="A269" s="25"/>
      <c r="B269" s="25">
        <v>125423</v>
      </c>
      <c r="C269" s="25" t="s">
        <v>699</v>
      </c>
    </row>
    <row r="270" spans="1:3" x14ac:dyDescent="0.3">
      <c r="A270" s="25">
        <v>20305900371</v>
      </c>
      <c r="B270" s="25">
        <v>209037</v>
      </c>
      <c r="C270" s="25" t="s">
        <v>700</v>
      </c>
    </row>
    <row r="271" spans="1:3" x14ac:dyDescent="0.3">
      <c r="A271" s="25">
        <v>20267032301</v>
      </c>
      <c r="B271" s="25">
        <v>125441</v>
      </c>
      <c r="C271" s="25" t="s">
        <v>701</v>
      </c>
    </row>
    <row r="272" spans="1:3" x14ac:dyDescent="0.3">
      <c r="A272" s="25">
        <v>20367090201</v>
      </c>
      <c r="B272" s="25">
        <v>4025902</v>
      </c>
      <c r="C272" s="25" t="s">
        <v>702</v>
      </c>
    </row>
    <row r="273" spans="1:3" x14ac:dyDescent="0.3">
      <c r="A273" s="25">
        <v>20160738015</v>
      </c>
      <c r="B273" s="25">
        <v>295383</v>
      </c>
      <c r="C273" s="25" t="s">
        <v>703</v>
      </c>
    </row>
    <row r="274" spans="1:3" x14ac:dyDescent="0.3">
      <c r="A274" s="25">
        <v>20336529574</v>
      </c>
      <c r="B274" s="25">
        <v>241991</v>
      </c>
      <c r="C274" s="25" t="s">
        <v>704</v>
      </c>
    </row>
    <row r="275" spans="1:3" x14ac:dyDescent="0.3">
      <c r="A275" s="25">
        <v>23382699459</v>
      </c>
      <c r="B275" s="25">
        <v>262074</v>
      </c>
      <c r="C275" s="25" t="s">
        <v>705</v>
      </c>
    </row>
    <row r="276" spans="1:3" x14ac:dyDescent="0.3">
      <c r="A276" s="25">
        <v>20365901350</v>
      </c>
      <c r="B276" s="25">
        <v>296492</v>
      </c>
      <c r="C276" s="25" t="s">
        <v>706</v>
      </c>
    </row>
    <row r="277" spans="1:3" x14ac:dyDescent="0.3">
      <c r="A277" s="25">
        <v>20259620776</v>
      </c>
      <c r="B277" s="25">
        <v>171590</v>
      </c>
      <c r="C277" s="25" t="s">
        <v>707</v>
      </c>
    </row>
    <row r="278" spans="1:3" x14ac:dyDescent="0.3">
      <c r="A278" s="25">
        <v>27264157329</v>
      </c>
      <c r="B278" s="25">
        <v>4127432</v>
      </c>
      <c r="C278" s="25" t="s">
        <v>708</v>
      </c>
    </row>
    <row r="279" spans="1:3" x14ac:dyDescent="0.3">
      <c r="A279" s="25">
        <v>20303253859</v>
      </c>
      <c r="B279" s="25">
        <v>283274</v>
      </c>
      <c r="C279" s="25" t="s">
        <v>709</v>
      </c>
    </row>
    <row r="280" spans="1:3" x14ac:dyDescent="0.3">
      <c r="A280" s="25">
        <v>20334667198</v>
      </c>
      <c r="B280" s="25">
        <v>4129609</v>
      </c>
      <c r="C280" s="25" t="s">
        <v>710</v>
      </c>
    </row>
    <row r="281" spans="1:3" x14ac:dyDescent="0.3">
      <c r="A281" s="25">
        <v>20273968068</v>
      </c>
      <c r="B281" s="25">
        <v>125394</v>
      </c>
      <c r="C281" s="25" t="s">
        <v>711</v>
      </c>
    </row>
    <row r="282" spans="1:3" x14ac:dyDescent="0.3">
      <c r="A282" s="25">
        <v>20279123728</v>
      </c>
      <c r="B282" s="25">
        <v>125418</v>
      </c>
      <c r="C282" s="25" t="s">
        <v>712</v>
      </c>
    </row>
    <row r="283" spans="1:3" x14ac:dyDescent="0.3">
      <c r="A283" s="25">
        <v>20333161703</v>
      </c>
      <c r="B283" s="25">
        <v>291447</v>
      </c>
      <c r="C283" s="25" t="s">
        <v>713</v>
      </c>
    </row>
    <row r="284" spans="1:3" x14ac:dyDescent="0.3">
      <c r="A284" s="25">
        <v>20269721058</v>
      </c>
      <c r="B284" s="25">
        <v>197402</v>
      </c>
      <c r="C284" s="25" t="s">
        <v>714</v>
      </c>
    </row>
    <row r="285" spans="1:3" x14ac:dyDescent="0.3">
      <c r="A285" s="25">
        <v>20438927485</v>
      </c>
      <c r="B285" s="25">
        <v>4138505</v>
      </c>
      <c r="C285" s="25" t="s">
        <v>715</v>
      </c>
    </row>
    <row r="286" spans="1:3" x14ac:dyDescent="0.3">
      <c r="A286" s="25">
        <v>23361816609</v>
      </c>
      <c r="B286" s="25">
        <v>4131556</v>
      </c>
      <c r="C286" s="25" t="s">
        <v>716</v>
      </c>
    </row>
    <row r="287" spans="1:3" x14ac:dyDescent="0.3">
      <c r="A287" s="25">
        <v>20244000690</v>
      </c>
      <c r="B287" s="25">
        <v>125364</v>
      </c>
      <c r="C287" s="25" t="s">
        <v>717</v>
      </c>
    </row>
    <row r="288" spans="1:3" x14ac:dyDescent="0.3">
      <c r="A288" s="25">
        <v>20332604709</v>
      </c>
      <c r="B288" s="25">
        <v>150002</v>
      </c>
      <c r="C288" s="25" t="s">
        <v>718</v>
      </c>
    </row>
    <row r="289" spans="1:3" x14ac:dyDescent="0.3">
      <c r="A289" s="25">
        <v>20232865629</v>
      </c>
      <c r="B289" s="25">
        <v>125300</v>
      </c>
      <c r="C289" s="25" t="s">
        <v>719</v>
      </c>
    </row>
    <row r="290" spans="1:3" x14ac:dyDescent="0.3">
      <c r="A290" s="25">
        <v>20264097054</v>
      </c>
      <c r="B290" s="25">
        <v>125395</v>
      </c>
      <c r="C290" s="25" t="s">
        <v>720</v>
      </c>
    </row>
    <row r="291" spans="1:3" x14ac:dyDescent="0.3">
      <c r="A291" s="25">
        <v>20269962691</v>
      </c>
      <c r="B291" s="25">
        <v>125452</v>
      </c>
      <c r="C291" s="25" t="s">
        <v>721</v>
      </c>
    </row>
    <row r="292" spans="1:3" x14ac:dyDescent="0.3">
      <c r="A292" s="25">
        <v>23285039789</v>
      </c>
      <c r="B292" s="25">
        <v>4046186</v>
      </c>
      <c r="C292" s="25" t="s">
        <v>722</v>
      </c>
    </row>
    <row r="293" spans="1:3" x14ac:dyDescent="0.3">
      <c r="A293" s="25">
        <v>20216193947</v>
      </c>
      <c r="B293" s="25">
        <v>146430</v>
      </c>
      <c r="C293" s="25" t="s">
        <v>723</v>
      </c>
    </row>
    <row r="294" spans="1:3" x14ac:dyDescent="0.3">
      <c r="A294" s="25">
        <v>20318182427</v>
      </c>
      <c r="B294" s="25">
        <v>125575</v>
      </c>
      <c r="C294" s="25" t="s">
        <v>724</v>
      </c>
    </row>
    <row r="295" spans="1:3" x14ac:dyDescent="0.3">
      <c r="A295" s="25">
        <v>20278646646</v>
      </c>
      <c r="B295" s="25">
        <v>210819</v>
      </c>
      <c r="C295" s="25" t="s">
        <v>725</v>
      </c>
    </row>
    <row r="296" spans="1:3" x14ac:dyDescent="0.3">
      <c r="A296" s="25">
        <v>20334505775</v>
      </c>
      <c r="B296" s="25">
        <v>301472</v>
      </c>
      <c r="C296" s="25" t="s">
        <v>726</v>
      </c>
    </row>
    <row r="297" spans="1:3" x14ac:dyDescent="0.3">
      <c r="A297" s="25">
        <v>20284510098</v>
      </c>
      <c r="B297" s="25">
        <v>264763</v>
      </c>
      <c r="C297" s="25" t="s">
        <v>727</v>
      </c>
    </row>
    <row r="298" spans="1:3" x14ac:dyDescent="0.3">
      <c r="A298" s="25">
        <v>20317951621</v>
      </c>
      <c r="B298" s="25">
        <v>136635</v>
      </c>
      <c r="C298" s="25" t="s">
        <v>728</v>
      </c>
    </row>
    <row r="299" spans="1:3" x14ac:dyDescent="0.3">
      <c r="A299" s="25">
        <v>20337726616</v>
      </c>
      <c r="B299" s="25">
        <v>302309</v>
      </c>
      <c r="C299" s="25" t="s">
        <v>729</v>
      </c>
    </row>
    <row r="300" spans="1:3" x14ac:dyDescent="0.3">
      <c r="A300" s="25">
        <v>20280753743</v>
      </c>
      <c r="B300" s="25">
        <v>125431</v>
      </c>
      <c r="C300" s="25" t="s">
        <v>730</v>
      </c>
    </row>
    <row r="301" spans="1:3" x14ac:dyDescent="0.3">
      <c r="A301" s="25">
        <v>20353833988</v>
      </c>
      <c r="B301" s="25">
        <v>278815</v>
      </c>
      <c r="C301" s="25" t="s">
        <v>731</v>
      </c>
    </row>
    <row r="302" spans="1:3" x14ac:dyDescent="0.3">
      <c r="A302" s="25">
        <v>20270204059</v>
      </c>
      <c r="B302" s="25">
        <v>141419</v>
      </c>
      <c r="C302" s="25" t="s">
        <v>732</v>
      </c>
    </row>
    <row r="303" spans="1:3" x14ac:dyDescent="0.3">
      <c r="A303" s="25">
        <v>20278143075</v>
      </c>
      <c r="B303" s="25">
        <v>125459</v>
      </c>
      <c r="C303" s="25" t="s">
        <v>733</v>
      </c>
    </row>
    <row r="304" spans="1:3" x14ac:dyDescent="0.3">
      <c r="A304" s="25">
        <v>20250677805</v>
      </c>
      <c r="B304" s="25">
        <v>302463</v>
      </c>
      <c r="C304" s="25" t="s">
        <v>734</v>
      </c>
    </row>
    <row r="305" spans="1:3" x14ac:dyDescent="0.3">
      <c r="A305" s="25">
        <v>20293097497</v>
      </c>
      <c r="B305" s="25">
        <v>4045036</v>
      </c>
      <c r="C305" s="25" t="s">
        <v>735</v>
      </c>
    </row>
    <row r="306" spans="1:3" x14ac:dyDescent="0.3">
      <c r="A306" s="25">
        <v>20264157863</v>
      </c>
      <c r="B306" s="25">
        <v>128584</v>
      </c>
      <c r="C306" s="25" t="s">
        <v>736</v>
      </c>
    </row>
    <row r="307" spans="1:3" x14ac:dyDescent="0.3">
      <c r="A307" s="25">
        <v>20323288594</v>
      </c>
      <c r="B307" s="25">
        <v>217144</v>
      </c>
      <c r="C307" s="25" t="s">
        <v>737</v>
      </c>
    </row>
    <row r="308" spans="1:3" x14ac:dyDescent="0.3">
      <c r="A308" s="25">
        <v>20294938029</v>
      </c>
      <c r="B308" s="25">
        <v>145927</v>
      </c>
      <c r="C308" s="25" t="s">
        <v>738</v>
      </c>
    </row>
    <row r="309" spans="1:3" x14ac:dyDescent="0.3">
      <c r="A309" s="25">
        <v>20322452692</v>
      </c>
      <c r="B309" s="25">
        <v>244078</v>
      </c>
      <c r="C309" s="25" t="s">
        <v>739</v>
      </c>
    </row>
    <row r="310" spans="1:3" x14ac:dyDescent="0.3">
      <c r="A310" s="25">
        <v>20392034782</v>
      </c>
      <c r="B310" s="25">
        <v>4049355</v>
      </c>
      <c r="C310" s="25" t="s">
        <v>740</v>
      </c>
    </row>
    <row r="311" spans="1:3" x14ac:dyDescent="0.3">
      <c r="A311" s="25">
        <v>20361818688</v>
      </c>
      <c r="B311" s="25">
        <v>234682</v>
      </c>
      <c r="C311" s="25" t="s">
        <v>741</v>
      </c>
    </row>
    <row r="312" spans="1:3" x14ac:dyDescent="0.3">
      <c r="A312" s="25">
        <v>20320866244</v>
      </c>
      <c r="B312" s="25">
        <v>201006</v>
      </c>
      <c r="C312" s="25" t="s">
        <v>742</v>
      </c>
    </row>
    <row r="313" spans="1:3" x14ac:dyDescent="0.3">
      <c r="A313" s="25">
        <v>27318921275</v>
      </c>
      <c r="B313" s="25">
        <v>4025901</v>
      </c>
      <c r="C313" s="25" t="s">
        <v>743</v>
      </c>
    </row>
    <row r="314" spans="1:3" x14ac:dyDescent="0.3">
      <c r="A314" s="25">
        <v>20215861040</v>
      </c>
      <c r="B314" s="25">
        <v>139121</v>
      </c>
      <c r="C314" s="25" t="s">
        <v>744</v>
      </c>
    </row>
    <row r="315" spans="1:3" x14ac:dyDescent="0.3">
      <c r="A315" s="25">
        <v>20329558828</v>
      </c>
      <c r="B315" s="25">
        <v>244323</v>
      </c>
      <c r="C315" s="25" t="s">
        <v>745</v>
      </c>
    </row>
    <row r="316" spans="1:3" x14ac:dyDescent="0.3">
      <c r="A316" s="25">
        <v>20276990080</v>
      </c>
      <c r="B316" s="25">
        <v>125487</v>
      </c>
      <c r="C316" s="25" t="s">
        <v>746</v>
      </c>
    </row>
    <row r="317" spans="1:3" x14ac:dyDescent="0.3">
      <c r="A317" s="25">
        <v>20403855457</v>
      </c>
      <c r="B317" s="25">
        <v>4115964</v>
      </c>
      <c r="C317" s="25" t="s">
        <v>747</v>
      </c>
    </row>
    <row r="318" spans="1:3" x14ac:dyDescent="0.3">
      <c r="A318" s="25">
        <v>20273608770</v>
      </c>
      <c r="B318" s="25">
        <v>125457</v>
      </c>
      <c r="C318" s="25" t="s">
        <v>748</v>
      </c>
    </row>
    <row r="319" spans="1:3" x14ac:dyDescent="0.3">
      <c r="A319" s="25">
        <v>20260359992</v>
      </c>
      <c r="B319" s="25">
        <v>125361</v>
      </c>
      <c r="C319" s="25" t="s">
        <v>749</v>
      </c>
    </row>
    <row r="320" spans="1:3" x14ac:dyDescent="0.3">
      <c r="A320" s="25">
        <v>20392036459</v>
      </c>
      <c r="B320" s="25">
        <v>4025895</v>
      </c>
      <c r="C320" s="25" t="s">
        <v>750</v>
      </c>
    </row>
    <row r="321" spans="1:3" x14ac:dyDescent="0.3">
      <c r="A321" s="25">
        <v>20228138143</v>
      </c>
      <c r="B321" s="25">
        <v>302462</v>
      </c>
      <c r="C321" s="25" t="s">
        <v>751</v>
      </c>
    </row>
    <row r="322" spans="1:3" x14ac:dyDescent="0.3">
      <c r="A322" s="25">
        <v>20282541530</v>
      </c>
      <c r="B322" s="25">
        <v>150003</v>
      </c>
      <c r="C322" s="25" t="s">
        <v>752</v>
      </c>
    </row>
    <row r="323" spans="1:3" x14ac:dyDescent="0.3">
      <c r="A323" s="25">
        <v>20318852880</v>
      </c>
      <c r="B323" s="25">
        <v>125576</v>
      </c>
      <c r="C323" s="25" t="s">
        <v>753</v>
      </c>
    </row>
    <row r="324" spans="1:3" x14ac:dyDescent="0.3">
      <c r="A324" s="25">
        <v>20256193664</v>
      </c>
      <c r="B324" s="25">
        <v>125365</v>
      </c>
      <c r="C324" s="25" t="s">
        <v>754</v>
      </c>
    </row>
    <row r="325" spans="1:3" x14ac:dyDescent="0.3">
      <c r="A325" s="25">
        <v>20215868096</v>
      </c>
      <c r="B325" s="25">
        <v>125280</v>
      </c>
      <c r="C325" s="25" t="s">
        <v>755</v>
      </c>
    </row>
    <row r="326" spans="1:3" x14ac:dyDescent="0.3">
      <c r="A326" s="25">
        <v>20232869799</v>
      </c>
      <c r="B326" s="25">
        <v>125305</v>
      </c>
      <c r="C326" s="25" t="s">
        <v>756</v>
      </c>
    </row>
    <row r="327" spans="1:3" x14ac:dyDescent="0.3">
      <c r="A327" s="25">
        <v>20295008408</v>
      </c>
      <c r="B327" s="25">
        <v>125473</v>
      </c>
      <c r="C327" s="25" t="s">
        <v>757</v>
      </c>
    </row>
    <row r="328" spans="1:3" x14ac:dyDescent="0.3">
      <c r="A328" s="25">
        <v>20337728406</v>
      </c>
      <c r="B328" s="25">
        <v>320294</v>
      </c>
      <c r="C328" s="25" t="s">
        <v>758</v>
      </c>
    </row>
    <row r="329" spans="1:3" x14ac:dyDescent="0.3">
      <c r="A329" s="25">
        <v>20280046885</v>
      </c>
      <c r="B329" s="25">
        <v>201008</v>
      </c>
      <c r="C329" s="25" t="s">
        <v>759</v>
      </c>
    </row>
    <row r="330" spans="1:3" x14ac:dyDescent="0.3">
      <c r="A330" s="25">
        <v>23261285169</v>
      </c>
      <c r="B330" s="25">
        <v>269635</v>
      </c>
      <c r="C330" s="25" t="s">
        <v>760</v>
      </c>
    </row>
    <row r="331" spans="1:3" x14ac:dyDescent="0.3">
      <c r="A331" s="25">
        <v>20321393641</v>
      </c>
      <c r="B331" s="25">
        <v>212402</v>
      </c>
      <c r="C331" s="25" t="s">
        <v>761</v>
      </c>
    </row>
    <row r="332" spans="1:3" x14ac:dyDescent="0.3">
      <c r="A332" s="25">
        <v>20243209286</v>
      </c>
      <c r="B332" s="25">
        <v>154100</v>
      </c>
      <c r="C332" s="25" t="s">
        <v>762</v>
      </c>
    </row>
    <row r="333" spans="1:3" x14ac:dyDescent="0.3">
      <c r="A333" s="25">
        <v>20929050186</v>
      </c>
      <c r="B333" s="25">
        <v>128555</v>
      </c>
      <c r="C333" s="25" t="s">
        <v>763</v>
      </c>
    </row>
    <row r="334" spans="1:3" x14ac:dyDescent="0.3">
      <c r="A334" s="25">
        <v>20367191326</v>
      </c>
      <c r="B334" s="25">
        <v>236176</v>
      </c>
      <c r="C334" s="25" t="s">
        <v>764</v>
      </c>
    </row>
    <row r="335" spans="1:3" x14ac:dyDescent="0.3">
      <c r="A335" s="25">
        <v>20312231426</v>
      </c>
      <c r="B335" s="25">
        <v>285252</v>
      </c>
      <c r="C335" s="25" t="s">
        <v>765</v>
      </c>
    </row>
    <row r="336" spans="1:3" x14ac:dyDescent="0.3">
      <c r="A336" s="25">
        <v>20387924087</v>
      </c>
      <c r="B336" s="25">
        <v>4089703</v>
      </c>
      <c r="C336" s="25" t="s">
        <v>766</v>
      </c>
    </row>
    <row r="337" spans="1:3" x14ac:dyDescent="0.3">
      <c r="A337" s="25">
        <v>23353848399</v>
      </c>
      <c r="B337" s="25">
        <v>4074309</v>
      </c>
      <c r="C337" s="25" t="s">
        <v>767</v>
      </c>
    </row>
    <row r="338" spans="1:3" x14ac:dyDescent="0.3">
      <c r="A338" s="25">
        <v>20177294854</v>
      </c>
      <c r="B338" s="25">
        <v>125213</v>
      </c>
      <c r="C338" s="25" t="s">
        <v>768</v>
      </c>
    </row>
    <row r="339" spans="1:3" x14ac:dyDescent="0.3">
      <c r="A339" s="25">
        <v>20344273988</v>
      </c>
      <c r="B339" s="25">
        <v>4143172</v>
      </c>
      <c r="C339" s="25" t="s">
        <v>769</v>
      </c>
    </row>
    <row r="340" spans="1:3" x14ac:dyDescent="0.3">
      <c r="A340" s="25">
        <v>20182899403</v>
      </c>
      <c r="B340" s="25">
        <v>295401</v>
      </c>
      <c r="C340" s="25" t="s">
        <v>770</v>
      </c>
    </row>
    <row r="341" spans="1:3" x14ac:dyDescent="0.3">
      <c r="A341" s="25">
        <v>20367091208</v>
      </c>
      <c r="B341" s="25">
        <v>4067174</v>
      </c>
      <c r="C341" s="25" t="s">
        <v>771</v>
      </c>
    </row>
    <row r="342" spans="1:3" x14ac:dyDescent="0.3">
      <c r="A342" s="25">
        <v>24264158652</v>
      </c>
      <c r="B342" s="25">
        <v>232784</v>
      </c>
      <c r="C342" s="25" t="s">
        <v>772</v>
      </c>
    </row>
    <row r="343" spans="1:3" x14ac:dyDescent="0.3">
      <c r="A343" s="25">
        <v>20314749015</v>
      </c>
      <c r="B343" s="25">
        <v>171584</v>
      </c>
      <c r="C343" s="25" t="s">
        <v>773</v>
      </c>
    </row>
    <row r="344" spans="1:3" x14ac:dyDescent="0.3">
      <c r="A344" s="25">
        <v>20402067668</v>
      </c>
      <c r="B344" s="25">
        <v>4043678</v>
      </c>
      <c r="C344" s="25" t="s">
        <v>774</v>
      </c>
    </row>
    <row r="345" spans="1:3" x14ac:dyDescent="0.3">
      <c r="A345" s="25">
        <v>20280212637</v>
      </c>
      <c r="B345" s="25">
        <v>125506</v>
      </c>
      <c r="C345" s="25" t="s">
        <v>775</v>
      </c>
    </row>
    <row r="346" spans="1:3" x14ac:dyDescent="0.3">
      <c r="A346" s="25">
        <v>20271837934</v>
      </c>
      <c r="B346" s="25">
        <v>125424</v>
      </c>
      <c r="C346" s="25" t="s">
        <v>776</v>
      </c>
    </row>
    <row r="347" spans="1:3" x14ac:dyDescent="0.3">
      <c r="A347" s="25">
        <v>20243023670</v>
      </c>
      <c r="B347" s="25">
        <v>295379</v>
      </c>
      <c r="C347" s="25" t="s">
        <v>777</v>
      </c>
    </row>
    <row r="348" spans="1:3" x14ac:dyDescent="0.3">
      <c r="A348" s="25">
        <v>20177696995</v>
      </c>
      <c r="B348" s="25">
        <v>125217</v>
      </c>
      <c r="C348" s="25" t="s">
        <v>778</v>
      </c>
    </row>
    <row r="349" spans="1:3" x14ac:dyDescent="0.3">
      <c r="A349" s="25">
        <v>20273633236</v>
      </c>
      <c r="B349" s="25">
        <v>280915</v>
      </c>
      <c r="C349" s="25" t="s">
        <v>779</v>
      </c>
    </row>
    <row r="350" spans="1:3" x14ac:dyDescent="0.3">
      <c r="A350" s="25">
        <v>20288723703</v>
      </c>
      <c r="B350" s="25">
        <v>283156</v>
      </c>
      <c r="C350" s="25" t="s">
        <v>780</v>
      </c>
    </row>
    <row r="351" spans="1:3" x14ac:dyDescent="0.3">
      <c r="A351" s="25">
        <v>20329049729</v>
      </c>
      <c r="B351" s="25">
        <v>154096</v>
      </c>
      <c r="C351" s="25" t="s">
        <v>781</v>
      </c>
    </row>
    <row r="352" spans="1:3" x14ac:dyDescent="0.3">
      <c r="A352" s="25">
        <v>20363372644</v>
      </c>
      <c r="B352" s="25">
        <v>4067183</v>
      </c>
      <c r="C352" s="25" t="s">
        <v>782</v>
      </c>
    </row>
    <row r="353" spans="1:3" x14ac:dyDescent="0.3">
      <c r="A353" s="25">
        <v>20387928732</v>
      </c>
      <c r="B353" s="25">
        <v>4046188</v>
      </c>
      <c r="C353" s="25" t="s">
        <v>783</v>
      </c>
    </row>
    <row r="354" spans="1:3" x14ac:dyDescent="0.3">
      <c r="A354" s="25">
        <v>27215868317</v>
      </c>
      <c r="B354" s="25">
        <v>125630</v>
      </c>
      <c r="C354" s="25" t="s">
        <v>784</v>
      </c>
    </row>
    <row r="355" spans="1:3" x14ac:dyDescent="0.3">
      <c r="A355" s="25">
        <v>20190006132</v>
      </c>
      <c r="B355" s="25">
        <v>125587</v>
      </c>
      <c r="C355" s="25" t="s">
        <v>785</v>
      </c>
    </row>
    <row r="356" spans="1:3" x14ac:dyDescent="0.3">
      <c r="A356" s="25">
        <v>20388021439</v>
      </c>
      <c r="B356" s="25">
        <v>4078338</v>
      </c>
      <c r="C356" s="25" t="s">
        <v>786</v>
      </c>
    </row>
    <row r="357" spans="1:3" x14ac:dyDescent="0.3">
      <c r="A357" s="25">
        <v>20248664801</v>
      </c>
      <c r="B357" s="25">
        <v>244071</v>
      </c>
      <c r="C357" s="25" t="s">
        <v>787</v>
      </c>
    </row>
    <row r="358" spans="1:3" x14ac:dyDescent="0.3">
      <c r="A358" s="25">
        <v>23268571779</v>
      </c>
      <c r="B358" s="25">
        <v>251613</v>
      </c>
      <c r="C358" s="25" t="s">
        <v>788</v>
      </c>
    </row>
    <row r="359" spans="1:3" x14ac:dyDescent="0.3">
      <c r="A359" s="25">
        <v>20309365926</v>
      </c>
      <c r="B359" s="25">
        <v>125563</v>
      </c>
      <c r="C359" s="25" t="s">
        <v>789</v>
      </c>
    </row>
    <row r="360" spans="1:3" x14ac:dyDescent="0.3">
      <c r="A360" s="25">
        <v>20259623007</v>
      </c>
      <c r="B360" s="25">
        <v>139567</v>
      </c>
      <c r="C360" s="25" t="s">
        <v>790</v>
      </c>
    </row>
    <row r="361" spans="1:3" x14ac:dyDescent="0.3">
      <c r="A361" s="25">
        <v>20190939090</v>
      </c>
      <c r="B361" s="25">
        <v>4092883</v>
      </c>
      <c r="C361" s="25" t="s">
        <v>791</v>
      </c>
    </row>
    <row r="362" spans="1:3" x14ac:dyDescent="0.3">
      <c r="A362" s="25">
        <v>20302807834</v>
      </c>
      <c r="B362" s="25">
        <v>125536</v>
      </c>
      <c r="C362" s="25" t="s">
        <v>792</v>
      </c>
    </row>
    <row r="363" spans="1:3" x14ac:dyDescent="0.3">
      <c r="A363" s="25">
        <v>20346401231</v>
      </c>
      <c r="B363" s="25">
        <v>287262</v>
      </c>
      <c r="C363" s="25" t="s">
        <v>793</v>
      </c>
    </row>
    <row r="364" spans="1:3" x14ac:dyDescent="0.3">
      <c r="A364" s="25">
        <v>20446573927</v>
      </c>
      <c r="B364" s="25">
        <v>4117750</v>
      </c>
      <c r="C364" s="25" t="s">
        <v>794</v>
      </c>
    </row>
    <row r="365" spans="1:3" x14ac:dyDescent="0.3">
      <c r="A365" s="25">
        <v>20420180250</v>
      </c>
      <c r="B365" s="25">
        <v>297068</v>
      </c>
      <c r="C365" s="25" t="s">
        <v>795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E1DE5-5BE2-454D-A554-C229B0D3C25D}">
  <sheetPr codeName="Hoja8">
    <tabColor theme="0" tint="-0.34998626667073579"/>
  </sheetPr>
  <dimension ref="A1:C46"/>
  <sheetViews>
    <sheetView topLeftCell="A2" workbookViewId="0">
      <pane xSplit="3" topLeftCell="D1" activePane="topRight" state="frozen"/>
      <selection pane="topRight" activeCell="C2" sqref="C2:C35"/>
    </sheetView>
  </sheetViews>
  <sheetFormatPr baseColWidth="10" defaultColWidth="11.44140625" defaultRowHeight="14.4" x14ac:dyDescent="0.3"/>
  <cols>
    <col min="1" max="1" width="10" customWidth="1"/>
    <col min="2" max="2" width="14.5546875" customWidth="1"/>
    <col min="3" max="3" width="39.88671875" bestFit="1" customWidth="1"/>
  </cols>
  <sheetData>
    <row r="1" spans="1:3" ht="90.6" customHeight="1" x14ac:dyDescent="0.3">
      <c r="A1" s="19" t="s">
        <v>796</v>
      </c>
      <c r="B1" s="19" t="s">
        <v>797</v>
      </c>
      <c r="C1" s="19" t="s">
        <v>798</v>
      </c>
    </row>
    <row r="2" spans="1:3" x14ac:dyDescent="0.3">
      <c r="A2" s="20" t="s">
        <v>799</v>
      </c>
      <c r="B2" s="20" t="s">
        <v>800</v>
      </c>
      <c r="C2" s="8" t="s">
        <v>801</v>
      </c>
    </row>
    <row r="3" spans="1:3" x14ac:dyDescent="0.3">
      <c r="A3" s="20" t="s">
        <v>799</v>
      </c>
      <c r="B3" s="20" t="s">
        <v>800</v>
      </c>
      <c r="C3" s="8" t="s">
        <v>802</v>
      </c>
    </row>
    <row r="4" spans="1:3" x14ac:dyDescent="0.3">
      <c r="A4" s="20" t="s">
        <v>799</v>
      </c>
      <c r="B4" s="20" t="s">
        <v>800</v>
      </c>
      <c r="C4" s="8" t="s">
        <v>803</v>
      </c>
    </row>
    <row r="5" spans="1:3" x14ac:dyDescent="0.3">
      <c r="A5" s="20" t="s">
        <v>799</v>
      </c>
      <c r="B5" s="20" t="s">
        <v>800</v>
      </c>
      <c r="C5" s="8" t="s">
        <v>804</v>
      </c>
    </row>
    <row r="6" spans="1:3" x14ac:dyDescent="0.3">
      <c r="A6" s="20" t="s">
        <v>799</v>
      </c>
      <c r="B6" s="20" t="s">
        <v>800</v>
      </c>
      <c r="C6" s="8" t="s">
        <v>805</v>
      </c>
    </row>
    <row r="7" spans="1:3" x14ac:dyDescent="0.3">
      <c r="A7" s="20" t="s">
        <v>799</v>
      </c>
      <c r="B7" s="20" t="s">
        <v>800</v>
      </c>
      <c r="C7" s="8" t="s">
        <v>806</v>
      </c>
    </row>
    <row r="8" spans="1:3" x14ac:dyDescent="0.3">
      <c r="A8" s="20" t="s">
        <v>799</v>
      </c>
      <c r="B8" s="20" t="s">
        <v>800</v>
      </c>
      <c r="C8" s="8" t="s">
        <v>39</v>
      </c>
    </row>
    <row r="9" spans="1:3" x14ac:dyDescent="0.3">
      <c r="A9" s="20" t="s">
        <v>799</v>
      </c>
      <c r="B9" s="20" t="s">
        <v>800</v>
      </c>
      <c r="C9" s="8" t="s">
        <v>807</v>
      </c>
    </row>
    <row r="10" spans="1:3" x14ac:dyDescent="0.3">
      <c r="A10" s="20" t="s">
        <v>799</v>
      </c>
      <c r="B10" s="20" t="s">
        <v>800</v>
      </c>
      <c r="C10" s="8" t="s">
        <v>808</v>
      </c>
    </row>
    <row r="11" spans="1:3" x14ac:dyDescent="0.3">
      <c r="A11" s="20" t="s">
        <v>799</v>
      </c>
      <c r="B11" s="20" t="s">
        <v>800</v>
      </c>
      <c r="C11" s="8" t="s">
        <v>809</v>
      </c>
    </row>
    <row r="12" spans="1:3" x14ac:dyDescent="0.3">
      <c r="A12" s="20" t="s">
        <v>799</v>
      </c>
      <c r="B12" s="20" t="s">
        <v>800</v>
      </c>
      <c r="C12" s="8" t="s">
        <v>810</v>
      </c>
    </row>
    <row r="13" spans="1:3" x14ac:dyDescent="0.3">
      <c r="A13" s="20" t="s">
        <v>799</v>
      </c>
      <c r="B13" s="20" t="s">
        <v>800</v>
      </c>
      <c r="C13" s="8" t="s">
        <v>811</v>
      </c>
    </row>
    <row r="14" spans="1:3" x14ac:dyDescent="0.3">
      <c r="A14" s="20" t="s">
        <v>799</v>
      </c>
      <c r="B14" s="20" t="s">
        <v>800</v>
      </c>
      <c r="C14" s="8" t="s">
        <v>812</v>
      </c>
    </row>
    <row r="15" spans="1:3" x14ac:dyDescent="0.3">
      <c r="A15" s="20" t="s">
        <v>799</v>
      </c>
      <c r="B15" s="20" t="s">
        <v>800</v>
      </c>
      <c r="C15" s="8" t="s">
        <v>813</v>
      </c>
    </row>
    <row r="16" spans="1:3" x14ac:dyDescent="0.3">
      <c r="A16" s="20" t="s">
        <v>799</v>
      </c>
      <c r="B16" s="20" t="s">
        <v>800</v>
      </c>
      <c r="C16" s="8" t="s">
        <v>814</v>
      </c>
    </row>
    <row r="17" spans="1:3" x14ac:dyDescent="0.3">
      <c r="A17" s="20" t="s">
        <v>799</v>
      </c>
      <c r="B17" s="20" t="s">
        <v>800</v>
      </c>
      <c r="C17" s="8" t="s">
        <v>815</v>
      </c>
    </row>
    <row r="18" spans="1:3" x14ac:dyDescent="0.3">
      <c r="A18" s="20" t="s">
        <v>799</v>
      </c>
      <c r="B18" s="20" t="s">
        <v>800</v>
      </c>
      <c r="C18" s="8" t="s">
        <v>816</v>
      </c>
    </row>
    <row r="19" spans="1:3" x14ac:dyDescent="0.3">
      <c r="A19" s="20" t="s">
        <v>799</v>
      </c>
      <c r="B19" s="20" t="s">
        <v>800</v>
      </c>
      <c r="C19" s="8" t="s">
        <v>817</v>
      </c>
    </row>
    <row r="20" spans="1:3" x14ac:dyDescent="0.3">
      <c r="A20" s="20" t="s">
        <v>799</v>
      </c>
      <c r="B20" s="20" t="s">
        <v>800</v>
      </c>
      <c r="C20" s="8" t="s">
        <v>818</v>
      </c>
    </row>
    <row r="21" spans="1:3" x14ac:dyDescent="0.3">
      <c r="A21" s="20" t="s">
        <v>799</v>
      </c>
      <c r="B21" s="20" t="s">
        <v>800</v>
      </c>
      <c r="C21" s="8" t="s">
        <v>819</v>
      </c>
    </row>
    <row r="22" spans="1:3" x14ac:dyDescent="0.3">
      <c r="A22" s="20" t="s">
        <v>799</v>
      </c>
      <c r="B22" s="20" t="s">
        <v>800</v>
      </c>
      <c r="C22" s="8" t="s">
        <v>820</v>
      </c>
    </row>
    <row r="23" spans="1:3" x14ac:dyDescent="0.3">
      <c r="A23" s="20" t="s">
        <v>799</v>
      </c>
      <c r="B23" s="20" t="s">
        <v>800</v>
      </c>
      <c r="C23" s="8" t="s">
        <v>821</v>
      </c>
    </row>
    <row r="24" spans="1:3" x14ac:dyDescent="0.3">
      <c r="A24" s="20" t="s">
        <v>799</v>
      </c>
      <c r="B24" s="20" t="s">
        <v>800</v>
      </c>
      <c r="C24" s="8" t="s">
        <v>822</v>
      </c>
    </row>
    <row r="25" spans="1:3" x14ac:dyDescent="0.3">
      <c r="A25" s="20" t="s">
        <v>799</v>
      </c>
      <c r="B25" s="20" t="s">
        <v>800</v>
      </c>
      <c r="C25" s="8" t="s">
        <v>823</v>
      </c>
    </row>
    <row r="26" spans="1:3" x14ac:dyDescent="0.3">
      <c r="A26" s="20" t="s">
        <v>799</v>
      </c>
      <c r="B26" s="20" t="s">
        <v>800</v>
      </c>
      <c r="C26" s="8" t="s">
        <v>824</v>
      </c>
    </row>
    <row r="27" spans="1:3" x14ac:dyDescent="0.3">
      <c r="A27" s="20" t="s">
        <v>799</v>
      </c>
      <c r="B27" s="20" t="s">
        <v>800</v>
      </c>
      <c r="C27" s="8" t="s">
        <v>825</v>
      </c>
    </row>
    <row r="28" spans="1:3" x14ac:dyDescent="0.3">
      <c r="A28" s="20" t="s">
        <v>799</v>
      </c>
      <c r="B28" s="20" t="s">
        <v>800</v>
      </c>
      <c r="C28" s="8" t="s">
        <v>826</v>
      </c>
    </row>
    <row r="29" spans="1:3" x14ac:dyDescent="0.3">
      <c r="A29" s="20" t="s">
        <v>799</v>
      </c>
      <c r="B29" s="20" t="s">
        <v>800</v>
      </c>
      <c r="C29" s="8" t="s">
        <v>827</v>
      </c>
    </row>
    <row r="30" spans="1:3" x14ac:dyDescent="0.3">
      <c r="A30" s="20" t="s">
        <v>799</v>
      </c>
      <c r="B30" s="20" t="s">
        <v>800</v>
      </c>
      <c r="C30" s="8" t="s">
        <v>31</v>
      </c>
    </row>
    <row r="31" spans="1:3" x14ac:dyDescent="0.3">
      <c r="A31" s="20" t="s">
        <v>799</v>
      </c>
      <c r="B31" s="20" t="s">
        <v>800</v>
      </c>
      <c r="C31" s="8" t="s">
        <v>36</v>
      </c>
    </row>
    <row r="32" spans="1:3" x14ac:dyDescent="0.3">
      <c r="A32" s="20" t="s">
        <v>799</v>
      </c>
      <c r="B32" s="20" t="s">
        <v>800</v>
      </c>
      <c r="C32" s="8" t="s">
        <v>828</v>
      </c>
    </row>
    <row r="33" spans="1:3" x14ac:dyDescent="0.3">
      <c r="A33" s="20" t="s">
        <v>799</v>
      </c>
      <c r="B33" s="20" t="s">
        <v>800</v>
      </c>
      <c r="C33" s="8" t="s">
        <v>829</v>
      </c>
    </row>
    <row r="34" spans="1:3" x14ac:dyDescent="0.3">
      <c r="A34" s="20" t="s">
        <v>799</v>
      </c>
      <c r="B34" s="20" t="s">
        <v>800</v>
      </c>
      <c r="C34" s="8" t="s">
        <v>830</v>
      </c>
    </row>
    <row r="35" spans="1:3" x14ac:dyDescent="0.3">
      <c r="A35" s="20" t="s">
        <v>799</v>
      </c>
      <c r="B35" s="20" t="s">
        <v>800</v>
      </c>
      <c r="C35" s="8" t="s">
        <v>831</v>
      </c>
    </row>
    <row r="36" spans="1:3" x14ac:dyDescent="0.3">
      <c r="A36" s="20" t="s">
        <v>799</v>
      </c>
      <c r="B36" s="20" t="s">
        <v>800</v>
      </c>
      <c r="C36" s="8" t="s">
        <v>832</v>
      </c>
    </row>
    <row r="37" spans="1:3" x14ac:dyDescent="0.3">
      <c r="A37" s="20" t="s">
        <v>799</v>
      </c>
      <c r="B37" s="20" t="s">
        <v>800</v>
      </c>
      <c r="C37" s="8" t="s">
        <v>833</v>
      </c>
    </row>
    <row r="38" spans="1:3" x14ac:dyDescent="0.3">
      <c r="A38" s="20" t="s">
        <v>799</v>
      </c>
      <c r="B38" s="20" t="s">
        <v>800</v>
      </c>
      <c r="C38" s="8" t="s">
        <v>834</v>
      </c>
    </row>
    <row r="39" spans="1:3" x14ac:dyDescent="0.3">
      <c r="A39" s="20" t="s">
        <v>799</v>
      </c>
      <c r="B39" s="20" t="s">
        <v>800</v>
      </c>
      <c r="C39" s="8" t="s">
        <v>40</v>
      </c>
    </row>
    <row r="40" spans="1:3" x14ac:dyDescent="0.3">
      <c r="A40" s="20" t="s">
        <v>799</v>
      </c>
      <c r="B40" s="20" t="s">
        <v>800</v>
      </c>
      <c r="C40" s="8" t="s">
        <v>835</v>
      </c>
    </row>
    <row r="41" spans="1:3" x14ac:dyDescent="0.3">
      <c r="A41" s="20" t="s">
        <v>799</v>
      </c>
      <c r="B41" s="20" t="s">
        <v>800</v>
      </c>
      <c r="C41" s="8" t="s">
        <v>836</v>
      </c>
    </row>
    <row r="42" spans="1:3" x14ac:dyDescent="0.3">
      <c r="A42" s="8"/>
      <c r="B42" s="8"/>
      <c r="C42" s="8"/>
    </row>
    <row r="43" spans="1:3" x14ac:dyDescent="0.3">
      <c r="A43" s="8"/>
      <c r="B43" s="8"/>
      <c r="C43" s="8"/>
    </row>
    <row r="44" spans="1:3" x14ac:dyDescent="0.3">
      <c r="A44" s="8"/>
      <c r="B44" s="8"/>
      <c r="C44" s="8"/>
    </row>
    <row r="45" spans="1:3" x14ac:dyDescent="0.3">
      <c r="A45" s="8"/>
      <c r="B45" s="8"/>
      <c r="C45" s="8"/>
    </row>
    <row r="46" spans="1:3" x14ac:dyDescent="0.3">
      <c r="A46" s="8"/>
      <c r="B46" s="8"/>
      <c r="C46" s="8"/>
    </row>
  </sheetData>
  <sheetProtection algorithmName="SHA-512" hashValue="bxNiSvYN8plij33cZIwkZCmYxQhZsbW7nshBXZCIY4q2s3bPfN8ZZ+iG2uNSbRF748W/IuuFHan+2biJl+62Qw==" saltValue="fdRZ16I/lgSas6CMdtA8oA==" spinCount="100000" sheet="1" objects="1" scenarios="1"/>
  <conditionalFormatting sqref="A1:C1">
    <cfRule type="cellIs" dxfId="3" priority="4" stopIfTrue="1" operator="equal">
      <formula>"Y"</formula>
    </cfRule>
    <cfRule type="cellIs" dxfId="2" priority="5" stopIfTrue="1" operator="equal">
      <formula>"N"</formula>
    </cfRule>
  </conditionalFormatting>
  <conditionalFormatting sqref="A2:C50">
    <cfRule type="expression" dxfId="1" priority="1">
      <formula>MOD(ROW(),2)=0</formula>
    </cfRule>
  </conditionalFormatting>
  <dataValidations count="1">
    <dataValidation type="textLength" operator="lessThanOrEqual" allowBlank="1" showInputMessage="1" showErrorMessage="1" sqref="A1:C1" xr:uid="{79E574D6-C360-40DF-BFAD-E10F8CD6F720}">
      <formula1>30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9563B-94C8-45E9-8ADE-55E9195DEF4C}">
  <sheetPr codeName="Hoja12">
    <tabColor rgb="FF00B0F0"/>
  </sheetPr>
  <dimension ref="A1:G47"/>
  <sheetViews>
    <sheetView zoomScale="90" zoomScaleNormal="90" workbookViewId="0">
      <selection activeCell="B15" sqref="B15"/>
    </sheetView>
  </sheetViews>
  <sheetFormatPr baseColWidth="10" defaultColWidth="10.88671875" defaultRowHeight="14.4" x14ac:dyDescent="0.3"/>
  <cols>
    <col min="1" max="1" width="50.44140625" style="94" customWidth="1"/>
    <col min="2" max="2" width="23.109375" style="89" bestFit="1" customWidth="1"/>
    <col min="3" max="3" width="16.44140625" style="89" bestFit="1" customWidth="1"/>
    <col min="4" max="4" width="10.88671875" style="89"/>
    <col min="5" max="5" width="10.88671875" style="91"/>
    <col min="6" max="6" width="10.88671875" style="89" hidden="1" customWidth="1"/>
    <col min="7" max="7" width="10.88671875" style="90" hidden="1" customWidth="1"/>
    <col min="8" max="16384" width="10.88671875" style="89"/>
  </cols>
  <sheetData>
    <row r="1" spans="1:7" ht="15" thickBot="1" x14ac:dyDescent="0.35">
      <c r="A1" s="196" t="s">
        <v>837</v>
      </c>
      <c r="B1" s="131" t="s">
        <v>838</v>
      </c>
      <c r="C1" s="132">
        <v>2026</v>
      </c>
      <c r="F1" s="89" t="s">
        <v>839</v>
      </c>
      <c r="G1" s="90" t="s">
        <v>840</v>
      </c>
    </row>
    <row r="2" spans="1:7" ht="15" thickBot="1" x14ac:dyDescent="0.35">
      <c r="A2" s="197"/>
      <c r="B2" s="131" t="s">
        <v>841</v>
      </c>
      <c r="C2" s="132" t="s">
        <v>842</v>
      </c>
      <c r="F2" s="90">
        <f>IF(OR($C$1="",$C$2=""),"",DATE(VALUE($C$1),MATCH(TRIM($C$2),{"Enero";"Febrero";"Marzo";"Abril";"Mayo";"Junio";"Julio";"Agosto";"Septiembre";"Octubre";"Noviembre";"Diciembre"},0),1))</f>
        <v>46357</v>
      </c>
      <c r="G2" s="90">
        <f>IF(F2="","",EOMONTH(F2,0))</f>
        <v>46387</v>
      </c>
    </row>
    <row r="3" spans="1:7" x14ac:dyDescent="0.3">
      <c r="A3" s="96" t="s">
        <v>8</v>
      </c>
      <c r="B3" s="95" t="s">
        <v>843</v>
      </c>
      <c r="C3" s="95" t="s">
        <v>844</v>
      </c>
    </row>
    <row r="4" spans="1:7" x14ac:dyDescent="0.3">
      <c r="A4" s="97" t="str" cm="1">
        <f t="array" aca="1" ref="A4" ca="1">IFERROR(
  _xlfn.UNIQUE(
    _xlfn._xlws.FILTER(
      Extraccion_HORAS!$B$2:$B$10000,
      (Extraccion_HORAS!$C$2:$C$10000&gt;=$F$2)*
      (Extraccion_HORAS!$C$2:$C$10000&lt;=$G$2)
    )
  ),
""
)</f>
        <v>Conduccion y Gestion de Viajes (Conductores)</v>
      </c>
      <c r="B4" s="98" cm="1">
        <f t="array" aca="1" ref="B4" ca="1">IF($A4="","",
  IFERROR(
    ROWS(
      _xlfn.UNIQUE(
        _xlfn._xlws.FILTER(
          Extraccion_HORAS!$A$2:$A$10000,
          (Extraccion_HORAS!$B$2:$B$10000=$A4)*
          (Extraccion_HORAS!$C$2:$C$10000&gt;=$F$2)*
          (Extraccion_HORAS!$C$2:$C$10000&lt;=$G$2)
        )
      )
    ),
  0)
)</f>
        <v>1</v>
      </c>
      <c r="C4" s="98">
        <f ca="1">IF($A4="","",
  IFERROR(
    SUMIFS(
      Extraccion_HORAS!$F$2:$F$10000,
      Extraccion_HORAS!$B$2:$B$10000,$A4,
      Extraccion_HORAS!$C$2:$C$10000,"&gt;="&amp;$F$2,
      Extraccion_HORAS!$C$2:$C$10000,"&lt;="&amp;$G$2
    ),
  0)
)</f>
        <v>5</v>
      </c>
    </row>
    <row r="5" spans="1:7" x14ac:dyDescent="0.3">
      <c r="A5" s="97"/>
      <c r="B5" s="98" t="str" cm="1">
        <f t="array" ref="B5">IF($A5="","",
  IFERROR(
    ROWS(
      _xlfn.UNIQUE(
        _xlfn._xlws.FILTER(
          Extraccion_HORAS!$A$2:$A$10000,
          (Extraccion_HORAS!$B$2:$B$10000=$A5)*
          (Extraccion_HORAS!$C$2:$C$10000&gt;=$F$2)*
          (Extraccion_HORAS!$C$2:$C$10000&lt;=$G$2)
        )
      )
    ),
  0)
)</f>
        <v/>
      </c>
      <c r="C5" s="98" t="str">
        <f>IF($A5="","",
  IFERROR(
    SUMIFS(
      Extraccion_HORAS!$F$2:$F$10000,
      Extraccion_HORAS!$B$2:$B$10000,$A5,
      Extraccion_HORAS!$C$2:$C$10000,"&gt;="&amp;$F$2,
      Extraccion_HORAS!$C$2:$C$10000,"&lt;="&amp;$G$2
    ),
  0)
)</f>
        <v/>
      </c>
    </row>
    <row r="6" spans="1:7" x14ac:dyDescent="0.3">
      <c r="A6" s="97"/>
      <c r="B6" s="98" t="str" cm="1">
        <f t="array" ref="B6">IF($A6="","",
  IFERROR(
    ROWS(
      _xlfn.UNIQUE(
        _xlfn._xlws.FILTER(
          Extraccion_HORAS!$A$2:$A$10000,
          (Extraccion_HORAS!$B$2:$B$10000=$A6)*
          (Extraccion_HORAS!$C$2:$C$10000&gt;=$F$2)*
          (Extraccion_HORAS!$C$2:$C$10000&lt;=$G$2)
        )
      )
    ),
  0)
)</f>
        <v/>
      </c>
      <c r="C6" s="98" t="str">
        <f>IF($A6="","",
  IFERROR(
    SUMIFS(
      Extraccion_HORAS!$F$2:$F$10000,
      Extraccion_HORAS!$B$2:$B$10000,$A6,
      Extraccion_HORAS!$C$2:$C$10000,"&gt;="&amp;$F$2,
      Extraccion_HORAS!$C$2:$C$10000,"&lt;="&amp;$G$2
    ),
  0)
)</f>
        <v/>
      </c>
    </row>
    <row r="7" spans="1:7" x14ac:dyDescent="0.3">
      <c r="A7" s="97"/>
      <c r="B7" s="98" t="str" cm="1">
        <f t="array" ref="B7">IF($A7="","",
  IFERROR(
    ROWS(
      _xlfn.UNIQUE(
        _xlfn._xlws.FILTER(
          Extraccion_HORAS!$A$2:$A$10000,
          (Extraccion_HORAS!$B$2:$B$10000=$A7)*
          (Extraccion_HORAS!$C$2:$C$10000&gt;=$F$2)*
          (Extraccion_HORAS!$C$2:$C$10000&lt;=$G$2)
        )
      )
    ),
  0)
)</f>
        <v/>
      </c>
      <c r="C7" s="98" t="str">
        <f>IF($A7="","",
  IFERROR(
    SUMIFS(
      Extraccion_HORAS!$F$2:$F$10000,
      Extraccion_HORAS!$B$2:$B$10000,$A7,
      Extraccion_HORAS!$C$2:$C$10000,"&gt;="&amp;$F$2,
      Extraccion_HORAS!$C$2:$C$10000,"&lt;="&amp;$G$2
    ),
  0)
)</f>
        <v/>
      </c>
    </row>
    <row r="8" spans="1:7" x14ac:dyDescent="0.3">
      <c r="A8" s="97"/>
      <c r="B8" s="98" t="str" cm="1">
        <f t="array" ref="B8">IF($A8="","",
  IFERROR(
    ROWS(
      _xlfn.UNIQUE(
        _xlfn._xlws.FILTER(
          Extraccion_HORAS!$A$2:$A$10000,
          (Extraccion_HORAS!$B$2:$B$10000=$A8)*
          (Extraccion_HORAS!$C$2:$C$10000&gt;=$F$2)*
          (Extraccion_HORAS!$C$2:$C$10000&lt;=$G$2)
        )
      )
    ),
  0)
)</f>
        <v/>
      </c>
      <c r="C8" s="98" t="str">
        <f>IF($A8="","",
  IFERROR(
    SUMIFS(
      Extraccion_HORAS!$F$2:$F$10000,
      Extraccion_HORAS!$B$2:$B$10000,$A8,
      Extraccion_HORAS!$C$2:$C$10000,"&gt;="&amp;$F$2,
      Extraccion_HORAS!$C$2:$C$10000,"&lt;="&amp;$G$2
    ),
  0)
)</f>
        <v/>
      </c>
    </row>
    <row r="9" spans="1:7" x14ac:dyDescent="0.3">
      <c r="A9" s="97"/>
      <c r="B9" s="98" t="str" cm="1">
        <f t="array" ref="B9">IF($A9="","",
  IFERROR(
    ROWS(
      _xlfn.UNIQUE(
        _xlfn._xlws.FILTER(
          Extraccion_HORAS!$A$2:$A$10000,
          (Extraccion_HORAS!$B$2:$B$10000=$A9)*
          (Extraccion_HORAS!$C$2:$C$10000&gt;=$F$2)*
          (Extraccion_HORAS!$C$2:$C$10000&lt;=$G$2)
        )
      )
    ),
  0)
)</f>
        <v/>
      </c>
      <c r="C9" s="98" t="str">
        <f>IF($A9="","",
  IFERROR(
    SUMIFS(
      Extraccion_HORAS!$F$2:$F$10000,
      Extraccion_HORAS!$B$2:$B$10000,$A9,
      Extraccion_HORAS!$C$2:$C$10000,"&gt;="&amp;$F$2,
      Extraccion_HORAS!$C$2:$C$10000,"&lt;="&amp;$G$2
    ),
  0)
)</f>
        <v/>
      </c>
    </row>
    <row r="10" spans="1:7" x14ac:dyDescent="0.3">
      <c r="A10" s="97"/>
      <c r="B10" s="98" t="str" cm="1">
        <f t="array" ref="B10">IF($A10="","",
  IFERROR(
    ROWS(
      _xlfn.UNIQUE(
        _xlfn._xlws.FILTER(
          Extraccion_HORAS!$A$2:$A$10000,
          (Extraccion_HORAS!$B$2:$B$10000=$A10)*
          (Extraccion_HORAS!$C$2:$C$10000&gt;=$F$2)*
          (Extraccion_HORAS!$C$2:$C$10000&lt;=$G$2)
        )
      )
    ),
  0)
)</f>
        <v/>
      </c>
      <c r="C10" s="98" t="str">
        <f>IF($A10="","",
  IFERROR(
    SUMIFS(
      Extraccion_HORAS!$F$2:$F$10000,
      Extraccion_HORAS!$B$2:$B$10000,$A10,
      Extraccion_HORAS!$C$2:$C$10000,"&gt;="&amp;$F$2,
      Extraccion_HORAS!$C$2:$C$10000,"&lt;="&amp;$G$2
    ),
  0)
)</f>
        <v/>
      </c>
    </row>
    <row r="11" spans="1:7" x14ac:dyDescent="0.3">
      <c r="A11" s="97"/>
      <c r="B11" s="98" t="str" cm="1">
        <f t="array" ref="B11">IF($A11="","",
  IFERROR(
    ROWS(
      _xlfn.UNIQUE(
        _xlfn._xlws.FILTER(
          Extraccion_HORAS!$A$2:$A$10000,
          (Extraccion_HORAS!$B$2:$B$10000=$A11)*
          (Extraccion_HORAS!$C$2:$C$10000&gt;=$F$2)*
          (Extraccion_HORAS!$C$2:$C$10000&lt;=$G$2)
        )
      )
    ),
  0)
)</f>
        <v/>
      </c>
      <c r="C11" s="98" t="str">
        <f>IF($A11="","",
  IFERROR(
    SUMIFS(
      Extraccion_HORAS!$F$2:$F$10000,
      Extraccion_HORAS!$B$2:$B$10000,$A11,
      Extraccion_HORAS!$C$2:$C$10000,"&gt;="&amp;$F$2,
      Extraccion_HORAS!$C$2:$C$10000,"&lt;="&amp;$G$2
    ),
  0)
)</f>
        <v/>
      </c>
    </row>
    <row r="12" spans="1:7" x14ac:dyDescent="0.3">
      <c r="A12" s="97"/>
      <c r="B12" s="98" t="str" cm="1">
        <f t="array" ref="B12">IF($A12="","",
  IFERROR(
    ROWS(
      _xlfn.UNIQUE(
        _xlfn._xlws.FILTER(
          Extraccion_HORAS!$A$2:$A$10000,
          (Extraccion_HORAS!$B$2:$B$10000=$A12)*
          (Extraccion_HORAS!$C$2:$C$10000&gt;=$F$2)*
          (Extraccion_HORAS!$C$2:$C$10000&lt;=$G$2)
        )
      )
    ),
  0)
)</f>
        <v/>
      </c>
      <c r="C12" s="98" t="str">
        <f>IF($A12="","",
  IFERROR(
    SUMIFS(
      Extraccion_HORAS!$F$2:$F$10000,
      Extraccion_HORAS!$B$2:$B$10000,$A12,
      Extraccion_HORAS!$C$2:$C$10000,"&gt;="&amp;$F$2,
      Extraccion_HORAS!$C$2:$C$10000,"&lt;="&amp;$G$2
    ),
  0)
)</f>
        <v/>
      </c>
    </row>
    <row r="13" spans="1:7" x14ac:dyDescent="0.3">
      <c r="A13" s="97"/>
      <c r="B13" s="98" t="str" cm="1">
        <f t="array" ref="B13">IF($A13="","",
  IFERROR(
    ROWS(
      _xlfn.UNIQUE(
        _xlfn._xlws.FILTER(
          Extraccion_HORAS!$A$2:$A$10000,
          (Extraccion_HORAS!$B$2:$B$10000=$A13)*
          (Extraccion_HORAS!$C$2:$C$10000&gt;=$F$2)*
          (Extraccion_HORAS!$C$2:$C$10000&lt;=$G$2)
        )
      )
    ),
  0)
)</f>
        <v/>
      </c>
      <c r="C13" s="98" t="str">
        <f>IF($A13="","",
  IFERROR(
    SUMIFS(
      Extraccion_HORAS!$F$2:$F$10000,
      Extraccion_HORAS!$B$2:$B$10000,$A13,
      Extraccion_HORAS!$C$2:$C$10000,"&gt;="&amp;$F$2,
      Extraccion_HORAS!$C$2:$C$10000,"&lt;="&amp;$G$2
    ),
  0)
)</f>
        <v/>
      </c>
    </row>
    <row r="14" spans="1:7" x14ac:dyDescent="0.3">
      <c r="A14" s="97"/>
      <c r="B14" s="98" t="str" cm="1">
        <f t="array" ref="B14">IF($A14="","",
  IFERROR(
    ROWS(
      _xlfn.UNIQUE(
        _xlfn._xlws.FILTER(
          Extraccion_HORAS!$A$2:$A$10000,
          (Extraccion_HORAS!$B$2:$B$10000=$A14)*
          (Extraccion_HORAS!$C$2:$C$10000&gt;=$F$2)*
          (Extraccion_HORAS!$C$2:$C$10000&lt;=$G$2)
        )
      )
    ),
  0)
)</f>
        <v/>
      </c>
      <c r="C14" s="98" t="str">
        <f>IF($A14="","",
  IFERROR(
    SUMIFS(
      Extraccion_HORAS!$F$2:$F$10000,
      Extraccion_HORAS!$B$2:$B$10000,$A14,
      Extraccion_HORAS!$C$2:$C$10000,"&gt;="&amp;$F$2,
      Extraccion_HORAS!$C$2:$C$10000,"&lt;="&amp;$G$2
    ),
  0)
)</f>
        <v/>
      </c>
    </row>
    <row r="15" spans="1:7" x14ac:dyDescent="0.3">
      <c r="A15" s="97"/>
      <c r="B15" s="98" t="str" cm="1">
        <f t="array" ref="B15">IF($A15="","",
  IFERROR(
    ROWS(
      _xlfn.UNIQUE(
        _xlfn._xlws.FILTER(
          Extraccion_HORAS!$A$2:$A$10000,
          (Extraccion_HORAS!$B$2:$B$10000=$A15)*
          (Extraccion_HORAS!$C$2:$C$10000&gt;=$F$2)*
          (Extraccion_HORAS!$C$2:$C$10000&lt;=$G$2)
        )
      )
    ),
  0)
)</f>
        <v/>
      </c>
      <c r="C15" s="98" t="str">
        <f>IF($A15="","",
  IFERROR(
    SUMIFS(
      Extraccion_HORAS!$F$2:$F$10000,
      Extraccion_HORAS!$B$2:$B$10000,$A15,
      Extraccion_HORAS!$C$2:$C$10000,"&gt;="&amp;$F$2,
      Extraccion_HORAS!$C$2:$C$10000,"&lt;="&amp;$G$2
    ),
  0)
)</f>
        <v/>
      </c>
    </row>
    <row r="16" spans="1:7" x14ac:dyDescent="0.3">
      <c r="A16" s="97"/>
      <c r="B16" s="98" t="str" cm="1">
        <f t="array" ref="B16">IF($A16="","",
  IFERROR(
    ROWS(
      _xlfn.UNIQUE(
        _xlfn._xlws.FILTER(
          Extraccion_HORAS!$A$2:$A$10000,
          (Extraccion_HORAS!$B$2:$B$10000=$A16)*
          (Extraccion_HORAS!$C$2:$C$10000&gt;=$F$2)*
          (Extraccion_HORAS!$C$2:$C$10000&lt;=$G$2)
        )
      )
    ),
  0)
)</f>
        <v/>
      </c>
      <c r="C16" s="98" t="str">
        <f>IF($A16="","",
  IFERROR(
    SUMIFS(
      Extraccion_HORAS!$F$2:$F$10000,
      Extraccion_HORAS!$B$2:$B$10000,$A16,
      Extraccion_HORAS!$C$2:$C$10000,"&gt;="&amp;$F$2,
      Extraccion_HORAS!$C$2:$C$10000,"&lt;="&amp;$G$2
    ),
  0)
)</f>
        <v/>
      </c>
    </row>
    <row r="17" spans="1:3" x14ac:dyDescent="0.3">
      <c r="A17" s="97"/>
      <c r="B17" s="98" t="str" cm="1">
        <f t="array" ref="B17">IF($A17="","",
  IFERROR(
    ROWS(
      _xlfn.UNIQUE(
        _xlfn._xlws.FILTER(
          Extraccion_HORAS!$A$2:$A$10000,
          (Extraccion_HORAS!$B$2:$B$10000=$A17)*
          (Extraccion_HORAS!$C$2:$C$10000&gt;=$F$2)*
          (Extraccion_HORAS!$C$2:$C$10000&lt;=$G$2)
        )
      )
    ),
  0)
)</f>
        <v/>
      </c>
      <c r="C17" s="98" t="str">
        <f>IF($A17="","",
  IFERROR(
    SUMIFS(
      Extraccion_HORAS!$F$2:$F$10000,
      Extraccion_HORAS!$B$2:$B$10000,$A17,
      Extraccion_HORAS!$C$2:$C$10000,"&gt;="&amp;$F$2,
      Extraccion_HORAS!$C$2:$C$10000,"&lt;="&amp;$G$2
    ),
  0)
)</f>
        <v/>
      </c>
    </row>
    <row r="18" spans="1:3" x14ac:dyDescent="0.3">
      <c r="A18" s="97"/>
      <c r="B18" s="98" t="str" cm="1">
        <f t="array" ref="B18">IF($A18="","",
  IFERROR(
    ROWS(
      _xlfn.UNIQUE(
        _xlfn._xlws.FILTER(
          Extraccion_HORAS!$A$2:$A$10000,
          (Extraccion_HORAS!$B$2:$B$10000=$A18)*
          (Extraccion_HORAS!$C$2:$C$10000&gt;=$F$2)*
          (Extraccion_HORAS!$C$2:$C$10000&lt;=$G$2)
        )
      )
    ),
  0)
)</f>
        <v/>
      </c>
      <c r="C18" s="98" t="str">
        <f>IF($A18="","",
  IFERROR(
    SUMIFS(
      Extraccion_HORAS!$F$2:$F$10000,
      Extraccion_HORAS!$B$2:$B$10000,$A18,
      Extraccion_HORAS!$C$2:$C$10000,"&gt;="&amp;$F$2,
      Extraccion_HORAS!$C$2:$C$10000,"&lt;="&amp;$G$2
    ),
  0)
)</f>
        <v/>
      </c>
    </row>
    <row r="19" spans="1:3" x14ac:dyDescent="0.3">
      <c r="A19" s="97"/>
      <c r="B19" s="98" t="str" cm="1">
        <f t="array" ref="B19">IF($A19="","",
  IFERROR(
    ROWS(
      _xlfn.UNIQUE(
        _xlfn._xlws.FILTER(
          Extraccion_HORAS!$A$2:$A$10000,
          (Extraccion_HORAS!$B$2:$B$10000=$A19)*
          (Extraccion_HORAS!$C$2:$C$10000&gt;=$F$2)*
          (Extraccion_HORAS!$C$2:$C$10000&lt;=$G$2)
        )
      )
    ),
  0)
)</f>
        <v/>
      </c>
      <c r="C19" s="98" t="str">
        <f>IF($A19="","",
  IFERROR(
    SUMIFS(
      Extraccion_HORAS!$F$2:$F$10000,
      Extraccion_HORAS!$B$2:$B$10000,$A19,
      Extraccion_HORAS!$C$2:$C$10000,"&gt;="&amp;$F$2,
      Extraccion_HORAS!$C$2:$C$10000,"&lt;="&amp;$G$2
    ),
  0)
)</f>
        <v/>
      </c>
    </row>
    <row r="20" spans="1:3" x14ac:dyDescent="0.3">
      <c r="A20" s="97"/>
      <c r="B20" s="98" t="str" cm="1">
        <f t="array" ref="B20">IF($A20="","",
  IFERROR(
    ROWS(
      _xlfn.UNIQUE(
        _xlfn._xlws.FILTER(
          Extraccion_HORAS!$A$2:$A$10000,
          (Extraccion_HORAS!$B$2:$B$10000=$A20)*
          (Extraccion_HORAS!$C$2:$C$10000&gt;=$F$2)*
          (Extraccion_HORAS!$C$2:$C$10000&lt;=$G$2)
        )
      )
    ),
  0)
)</f>
        <v/>
      </c>
      <c r="C20" s="98" t="str">
        <f>IF($A20="","",
  IFERROR(
    SUMIFS(
      Extraccion_HORAS!$F$2:$F$10000,
      Extraccion_HORAS!$B$2:$B$10000,$A20,
      Extraccion_HORAS!$C$2:$C$10000,"&gt;="&amp;$F$2,
      Extraccion_HORAS!$C$2:$C$10000,"&lt;="&amp;$G$2
    ),
  0)
)</f>
        <v/>
      </c>
    </row>
    <row r="21" spans="1:3" x14ac:dyDescent="0.3">
      <c r="A21" s="97"/>
      <c r="B21" s="98" t="str" cm="1">
        <f t="array" ref="B21">IF($A21="","",
  IFERROR(
    ROWS(
      _xlfn.UNIQUE(
        _xlfn._xlws.FILTER(
          Extraccion_HORAS!$A$2:$A$10000,
          (Extraccion_HORAS!$B$2:$B$10000=$A21)*
          (Extraccion_HORAS!$C$2:$C$10000&gt;=$F$2)*
          (Extraccion_HORAS!$C$2:$C$10000&lt;=$G$2)
        )
      )
    ),
  0)
)</f>
        <v/>
      </c>
      <c r="C21" s="98" t="str">
        <f>IF($A21="","",
  IFERROR(
    SUMIFS(
      Extraccion_HORAS!$F$2:$F$10000,
      Extraccion_HORAS!$B$2:$B$10000,$A21,
      Extraccion_HORAS!$C$2:$C$10000,"&gt;="&amp;$F$2,
      Extraccion_HORAS!$C$2:$C$10000,"&lt;="&amp;$G$2
    ),
  0)
)</f>
        <v/>
      </c>
    </row>
    <row r="22" spans="1:3" x14ac:dyDescent="0.3">
      <c r="A22" s="97"/>
      <c r="B22" s="98" t="str" cm="1">
        <f t="array" ref="B22">IF($A22="","",
  IFERROR(
    ROWS(
      _xlfn.UNIQUE(
        _xlfn._xlws.FILTER(
          Extraccion_HORAS!$A$2:$A$10000,
          (Extraccion_HORAS!$B$2:$B$10000=$A22)*
          (Extraccion_HORAS!$C$2:$C$10000&gt;=$F$2)*
          (Extraccion_HORAS!$C$2:$C$10000&lt;=$G$2)
        )
      )
    ),
  0)
)</f>
        <v/>
      </c>
      <c r="C22" s="98" t="str">
        <f>IF($A22="","",
  IFERROR(
    SUMIFS(
      Extraccion_HORAS!$F$2:$F$10000,
      Extraccion_HORAS!$B$2:$B$10000,$A22,
      Extraccion_HORAS!$C$2:$C$10000,"&gt;="&amp;$F$2,
      Extraccion_HORAS!$C$2:$C$10000,"&lt;="&amp;$G$2
    ),
  0)
)</f>
        <v/>
      </c>
    </row>
    <row r="23" spans="1:3" x14ac:dyDescent="0.3">
      <c r="A23" s="97"/>
      <c r="B23" s="98" t="str" cm="1">
        <f t="array" ref="B23">IF($A23="","",
  IFERROR(
    ROWS(
      _xlfn.UNIQUE(
        _xlfn._xlws.FILTER(
          Extraccion_HORAS!$A$2:$A$10000,
          (Extraccion_HORAS!$B$2:$B$10000=$A23)*
          (Extraccion_HORAS!$C$2:$C$10000&gt;=$F$2)*
          (Extraccion_HORAS!$C$2:$C$10000&lt;=$G$2)
        )
      )
    ),
  0)
)</f>
        <v/>
      </c>
      <c r="C23" s="98" t="str">
        <f>IF($A23="","",
  IFERROR(
    SUMIFS(
      Extraccion_HORAS!$F$2:$F$10000,
      Extraccion_HORAS!$B$2:$B$10000,$A23,
      Extraccion_HORAS!$C$2:$C$10000,"&gt;="&amp;$F$2,
      Extraccion_HORAS!$C$2:$C$10000,"&lt;="&amp;$G$2
    ),
  0)
)</f>
        <v/>
      </c>
    </row>
    <row r="24" spans="1:3" x14ac:dyDescent="0.3">
      <c r="A24" s="97"/>
      <c r="B24" s="98" t="str" cm="1">
        <f t="array" ref="B24">IF($A24="","",
  IFERROR(
    ROWS(
      _xlfn.UNIQUE(
        _xlfn._xlws.FILTER(
          Extraccion_HORAS!$A$2:$A$10000,
          (Extraccion_HORAS!$B$2:$B$10000=$A24)*
          (Extraccion_HORAS!$C$2:$C$10000&gt;=$F$2)*
          (Extraccion_HORAS!$C$2:$C$10000&lt;=$G$2)
        )
      )
    ),
  0)
)</f>
        <v/>
      </c>
      <c r="C24" s="98" t="str">
        <f>IF($A24="","",
  IFERROR(
    SUMIFS(
      Extraccion_HORAS!$F$2:$F$10000,
      Extraccion_HORAS!$B$2:$B$10000,$A24,
      Extraccion_HORAS!$C$2:$C$10000,"&gt;="&amp;$F$2,
      Extraccion_HORAS!$C$2:$C$10000,"&lt;="&amp;$G$2
    ),
  0)
)</f>
        <v/>
      </c>
    </row>
    <row r="25" spans="1:3" x14ac:dyDescent="0.3">
      <c r="A25" s="97"/>
      <c r="B25" s="98" t="str" cm="1">
        <f t="array" ref="B25">IF($A25="","",
  IFERROR(
    ROWS(
      _xlfn.UNIQUE(
        _xlfn._xlws.FILTER(
          Extraccion_HORAS!$A$2:$A$10000,
          (Extraccion_HORAS!$B$2:$B$10000=$A25)*
          (Extraccion_HORAS!$C$2:$C$10000&gt;=$F$2)*
          (Extraccion_HORAS!$C$2:$C$10000&lt;=$G$2)
        )
      )
    ),
  0)
)</f>
        <v/>
      </c>
      <c r="C25" s="98" t="str">
        <f>IF($A25="","",
  IFERROR(
    SUMIFS(
      Extraccion_HORAS!$F$2:$F$10000,
      Extraccion_HORAS!$B$2:$B$10000,$A25,
      Extraccion_HORAS!$C$2:$C$10000,"&gt;="&amp;$F$2,
      Extraccion_HORAS!$C$2:$C$10000,"&lt;="&amp;$G$2
    ),
  0)
)</f>
        <v/>
      </c>
    </row>
    <row r="26" spans="1:3" x14ac:dyDescent="0.3">
      <c r="A26" s="97"/>
      <c r="B26" s="98" t="str" cm="1">
        <f t="array" ref="B26">IF($A26="","",
  IFERROR(
    ROWS(
      _xlfn.UNIQUE(
        _xlfn._xlws.FILTER(
          Extraccion_HORAS!$A$2:$A$10000,
          (Extraccion_HORAS!$B$2:$B$10000=$A26)*
          (Extraccion_HORAS!$C$2:$C$10000&gt;=$F$2)*
          (Extraccion_HORAS!$C$2:$C$10000&lt;=$G$2)
        )
      )
    ),
  0)
)</f>
        <v/>
      </c>
      <c r="C26" s="98" t="str">
        <f>IF($A26="","",
  IFERROR(
    SUMIFS(
      Extraccion_HORAS!$F$2:$F$10000,
      Extraccion_HORAS!$B$2:$B$10000,$A26,
      Extraccion_HORAS!$C$2:$C$10000,"&gt;="&amp;$F$2,
      Extraccion_HORAS!$C$2:$C$10000,"&lt;="&amp;$G$2
    ),
  0)
)</f>
        <v/>
      </c>
    </row>
    <row r="27" spans="1:3" x14ac:dyDescent="0.3">
      <c r="A27" s="97"/>
      <c r="B27" s="98" t="str" cm="1">
        <f t="array" ref="B27">IF($A27="","",
  IFERROR(
    ROWS(
      _xlfn.UNIQUE(
        _xlfn._xlws.FILTER(
          Extraccion_HORAS!$A$2:$A$10000,
          (Extraccion_HORAS!$B$2:$B$10000=$A27)*
          (Extraccion_HORAS!$C$2:$C$10000&gt;=$F$2)*
          (Extraccion_HORAS!$C$2:$C$10000&lt;=$G$2)
        )
      )
    ),
  0)
)</f>
        <v/>
      </c>
      <c r="C27" s="98" t="str">
        <f>IF($A27="","",
  IFERROR(
    SUMIFS(
      Extraccion_HORAS!$F$2:$F$10000,
      Extraccion_HORAS!$B$2:$B$10000,$A27,
      Extraccion_HORAS!$C$2:$C$10000,"&gt;="&amp;$F$2,
      Extraccion_HORAS!$C$2:$C$10000,"&lt;="&amp;$G$2
    ),
  0)
)</f>
        <v/>
      </c>
    </row>
    <row r="28" spans="1:3" x14ac:dyDescent="0.3">
      <c r="A28" s="97"/>
      <c r="B28" s="98" t="str" cm="1">
        <f t="array" ref="B28">IF($A28="","",
  IFERROR(
    ROWS(
      _xlfn.UNIQUE(
        _xlfn._xlws.FILTER(
          Extraccion_HORAS!$A$2:$A$10000,
          (Extraccion_HORAS!$B$2:$B$10000=$A28)*
          (Extraccion_HORAS!$C$2:$C$10000&gt;=$F$2)*
          (Extraccion_HORAS!$C$2:$C$10000&lt;=$G$2)
        )
      )
    ),
  0)
)</f>
        <v/>
      </c>
      <c r="C28" s="98" t="str">
        <f>IF($A28="","",
  IFERROR(
    SUMIFS(
      Extraccion_HORAS!$F$2:$F$10000,
      Extraccion_HORAS!$B$2:$B$10000,$A28,
      Extraccion_HORAS!$C$2:$C$10000,"&gt;="&amp;$F$2,
      Extraccion_HORAS!$C$2:$C$10000,"&lt;="&amp;$G$2
    ),
  0)
)</f>
        <v/>
      </c>
    </row>
    <row r="29" spans="1:3" x14ac:dyDescent="0.3">
      <c r="A29" s="97"/>
      <c r="B29" s="98" t="str" cm="1">
        <f t="array" ref="B29">IF($A29="","",
  IFERROR(
    ROWS(
      _xlfn.UNIQUE(
        _xlfn._xlws.FILTER(
          Extraccion_HORAS!$A$2:$A$10000,
          (Extraccion_HORAS!$B$2:$B$10000=$A29)*
          (Extraccion_HORAS!$C$2:$C$10000&gt;=$F$2)*
          (Extraccion_HORAS!$C$2:$C$10000&lt;=$G$2)
        )
      )
    ),
  0)
)</f>
        <v/>
      </c>
      <c r="C29" s="98" t="str">
        <f>IF($A29="","",
  IFERROR(
    SUMIFS(
      Extraccion_HORAS!$F$2:$F$10000,
      Extraccion_HORAS!$B$2:$B$10000,$A29,
      Extraccion_HORAS!$C$2:$C$10000,"&gt;="&amp;$F$2,
      Extraccion_HORAS!$C$2:$C$10000,"&lt;="&amp;$G$2
    ),
  0)
)</f>
        <v/>
      </c>
    </row>
    <row r="30" spans="1:3" x14ac:dyDescent="0.3">
      <c r="A30" s="97"/>
      <c r="B30" s="98" t="str" cm="1">
        <f t="array" ref="B30">IF($A30="","",
  IFERROR(
    ROWS(
      _xlfn.UNIQUE(
        _xlfn._xlws.FILTER(
          Extraccion_HORAS!$A$2:$A$10000,
          (Extraccion_HORAS!$B$2:$B$10000=$A30)*
          (Extraccion_HORAS!$C$2:$C$10000&gt;=$F$2)*
          (Extraccion_HORAS!$C$2:$C$10000&lt;=$G$2)
        )
      )
    ),
  0)
)</f>
        <v/>
      </c>
      <c r="C30" s="98" t="str">
        <f>IF($A30="","",
  IFERROR(
    SUMIFS(
      Extraccion_HORAS!$F$2:$F$10000,
      Extraccion_HORAS!$B$2:$B$10000,$A30,
      Extraccion_HORAS!$C$2:$C$10000,"&gt;="&amp;$F$2,
      Extraccion_HORAS!$C$2:$C$10000,"&lt;="&amp;$G$2
    ),
  0)
)</f>
        <v/>
      </c>
    </row>
    <row r="31" spans="1:3" x14ac:dyDescent="0.3">
      <c r="A31" s="97"/>
      <c r="B31" s="98" t="str" cm="1">
        <f t="array" ref="B31">IF($A31="","",
  IFERROR(
    ROWS(
      _xlfn.UNIQUE(
        _xlfn._xlws.FILTER(
          Extraccion_HORAS!$A$2:$A$10000,
          (Extraccion_HORAS!$B$2:$B$10000=$A31)*
          (Extraccion_HORAS!$C$2:$C$10000&gt;=$F$2)*
          (Extraccion_HORAS!$C$2:$C$10000&lt;=$G$2)
        )
      )
    ),
  0)
)</f>
        <v/>
      </c>
      <c r="C31" s="98" t="str">
        <f>IF($A31="","",
  IFERROR(
    SUMIFS(
      Extraccion_HORAS!$F$2:$F$10000,
      Extraccion_HORAS!$B$2:$B$10000,$A31,
      Extraccion_HORAS!$C$2:$C$10000,"&gt;="&amp;$F$2,
      Extraccion_HORAS!$C$2:$C$10000,"&lt;="&amp;$G$2
    ),
  0)
)</f>
        <v/>
      </c>
    </row>
    <row r="32" spans="1:3" x14ac:dyDescent="0.3">
      <c r="A32" s="97"/>
      <c r="B32" s="98" t="str" cm="1">
        <f t="array" ref="B32">IF($A32="","",
  IFERROR(
    ROWS(
      _xlfn.UNIQUE(
        _xlfn._xlws.FILTER(
          Extraccion_HORAS!$A$2:$A$10000,
          (Extraccion_HORAS!$B$2:$B$10000=$A32)*
          (Extraccion_HORAS!$C$2:$C$10000&gt;=$F$2)*
          (Extraccion_HORAS!$C$2:$C$10000&lt;=$G$2)
        )
      )
    ),
  0)
)</f>
        <v/>
      </c>
      <c r="C32" s="98" t="str">
        <f>IF($A32="","",
  IFERROR(
    SUMIFS(
      Extraccion_HORAS!$F$2:$F$10000,
      Extraccion_HORAS!$B$2:$B$10000,$A32,
      Extraccion_HORAS!$C$2:$C$10000,"&gt;="&amp;$F$2,
      Extraccion_HORAS!$C$2:$C$10000,"&lt;="&amp;$G$2
    ),
  0)
)</f>
        <v/>
      </c>
    </row>
    <row r="33" spans="1:3" x14ac:dyDescent="0.3">
      <c r="A33" s="97"/>
      <c r="B33" s="98" t="str" cm="1">
        <f t="array" ref="B33">IF($A33="","",
  IFERROR(
    ROWS(
      _xlfn.UNIQUE(
        _xlfn._xlws.FILTER(
          Extraccion_HORAS!$A$2:$A$10000,
          (Extraccion_HORAS!$B$2:$B$10000=$A33)*
          (Extraccion_HORAS!$C$2:$C$10000&gt;=$F$2)*
          (Extraccion_HORAS!$C$2:$C$10000&lt;=$G$2)
        )
      )
    ),
  0)
)</f>
        <v/>
      </c>
      <c r="C33" s="98" t="str">
        <f>IF($A33="","",
  IFERROR(
    SUMIFS(
      Extraccion_HORAS!$F$2:$F$10000,
      Extraccion_HORAS!$B$2:$B$10000,$A33,
      Extraccion_HORAS!$C$2:$C$10000,"&gt;="&amp;$F$2,
      Extraccion_HORAS!$C$2:$C$10000,"&lt;="&amp;$G$2
    ),
  0)
)</f>
        <v/>
      </c>
    </row>
    <row r="34" spans="1:3" x14ac:dyDescent="0.3">
      <c r="A34" s="97"/>
      <c r="B34" s="98" t="str" cm="1">
        <f t="array" ref="B34">IF($A34="","",
  IFERROR(
    ROWS(
      _xlfn.UNIQUE(
        _xlfn._xlws.FILTER(
          Extraccion_HORAS!$A$2:$A$10000,
          (Extraccion_HORAS!$B$2:$B$10000=$A34)*
          (Extraccion_HORAS!$C$2:$C$10000&gt;=$F$2)*
          (Extraccion_HORAS!$C$2:$C$10000&lt;=$G$2)
        )
      )
    ),
  0)
)</f>
        <v/>
      </c>
      <c r="C34" s="98" t="str">
        <f>IF($A34="","",
  IFERROR(
    SUMIFS(
      Extraccion_HORAS!$F$2:$F$10000,
      Extraccion_HORAS!$B$2:$B$10000,$A34,
      Extraccion_HORAS!$C$2:$C$10000,"&gt;="&amp;$F$2,
      Extraccion_HORAS!$C$2:$C$10000,"&lt;="&amp;$G$2
    ),
  0)
)</f>
        <v/>
      </c>
    </row>
    <row r="35" spans="1:3" x14ac:dyDescent="0.3">
      <c r="A35" s="97"/>
      <c r="B35" s="98" t="str" cm="1">
        <f t="array" ref="B35">IF($A35="","",
  IFERROR(
    ROWS(
      _xlfn.UNIQUE(
        _xlfn._xlws.FILTER(
          Extraccion_HORAS!$A$2:$A$10000,
          (Extraccion_HORAS!$B$2:$B$10000=$A35)*
          (Extraccion_HORAS!$C$2:$C$10000&gt;=$F$2)*
          (Extraccion_HORAS!$C$2:$C$10000&lt;=$G$2)
        )
      )
    ),
  0)
)</f>
        <v/>
      </c>
      <c r="C35" s="98" t="str">
        <f>IF($A35="","",
  IFERROR(
    SUMIFS(
      Extraccion_HORAS!$F$2:$F$10000,
      Extraccion_HORAS!$B$2:$B$10000,$A35,
      Extraccion_HORAS!$C$2:$C$10000,"&gt;="&amp;$F$2,
      Extraccion_HORAS!$C$2:$C$10000,"&lt;="&amp;$G$2
    ),
  0)
)</f>
        <v/>
      </c>
    </row>
    <row r="36" spans="1:3" x14ac:dyDescent="0.3">
      <c r="A36" s="97"/>
      <c r="B36" s="98" t="str" cm="1">
        <f t="array" ref="B36">IF($A36="","",
  IFERROR(
    ROWS(
      _xlfn.UNIQUE(
        _xlfn._xlws.FILTER(
          Extraccion_HORAS!$A$2:$A$10000,
          (Extraccion_HORAS!$B$2:$B$10000=$A36)*
          (Extraccion_HORAS!$C$2:$C$10000&gt;=$F$2)*
          (Extraccion_HORAS!$C$2:$C$10000&lt;=$G$2)
        )
      )
    ),
  0)
)</f>
        <v/>
      </c>
      <c r="C36" s="98" t="str">
        <f>IF($A36="","",
  IFERROR(
    SUMIFS(
      Extraccion_HORAS!$F$2:$F$10000,
      Extraccion_HORAS!$B$2:$B$10000,$A36,
      Extraccion_HORAS!$C$2:$C$10000,"&gt;="&amp;$F$2,
      Extraccion_HORAS!$C$2:$C$10000,"&lt;="&amp;$G$2
    ),
  0)
)</f>
        <v/>
      </c>
    </row>
    <row r="37" spans="1:3" x14ac:dyDescent="0.3">
      <c r="A37" s="97"/>
      <c r="B37" s="98" t="str" cm="1">
        <f t="array" ref="B37">IF($A37="","",
  IFERROR(
    ROWS(
      _xlfn.UNIQUE(
        _xlfn._xlws.FILTER(
          Extraccion_HORAS!$A$2:$A$10000,
          (Extraccion_HORAS!$B$2:$B$10000=$A37)*
          (Extraccion_HORAS!$C$2:$C$10000&gt;=$F$2)*
          (Extraccion_HORAS!$C$2:$C$10000&lt;=$G$2)
        )
      )
    ),
  0)
)</f>
        <v/>
      </c>
      <c r="C37" s="98" t="str">
        <f>IF($A37="","",
  IFERROR(
    SUMIFS(
      Extraccion_HORAS!$F$2:$F$10000,
      Extraccion_HORAS!$B$2:$B$10000,$A37,
      Extraccion_HORAS!$C$2:$C$10000,"&gt;="&amp;$F$2,
      Extraccion_HORAS!$C$2:$C$10000,"&lt;="&amp;$G$2
    ),
  0)
)</f>
        <v/>
      </c>
    </row>
    <row r="38" spans="1:3" x14ac:dyDescent="0.3">
      <c r="A38" s="97"/>
      <c r="B38" s="98" t="str" cm="1">
        <f t="array" ref="B38">IF($A38="","",
  IFERROR(
    ROWS(
      _xlfn.UNIQUE(
        _xlfn._xlws.FILTER(
          Extraccion_HORAS!$A$2:$A$10000,
          (Extraccion_HORAS!$B$2:$B$10000=$A38)*
          (Extraccion_HORAS!$C$2:$C$10000&gt;=$F$2)*
          (Extraccion_HORAS!$C$2:$C$10000&lt;=$G$2)
        )
      )
    ),
  0)
)</f>
        <v/>
      </c>
      <c r="C38" s="98" t="str">
        <f>IF($A38="","",
  IFERROR(
    SUMIFS(
      Extraccion_HORAS!$F$2:$F$10000,
      Extraccion_HORAS!$B$2:$B$10000,$A38,
      Extraccion_HORAS!$C$2:$C$10000,"&gt;="&amp;$F$2,
      Extraccion_HORAS!$C$2:$C$10000,"&lt;="&amp;$G$2
    ),
  0)
)</f>
        <v/>
      </c>
    </row>
    <row r="39" spans="1:3" x14ac:dyDescent="0.3">
      <c r="A39" s="97"/>
      <c r="B39" s="98" t="str" cm="1">
        <f t="array" ref="B39">IF($A39="","",
  IFERROR(
    ROWS(
      _xlfn.UNIQUE(
        _xlfn._xlws.FILTER(
          Extraccion_HORAS!$A$2:$A$10000,
          (Extraccion_HORAS!$B$2:$B$10000=$A39)*
          (Extraccion_HORAS!$C$2:$C$10000&gt;=$F$2)*
          (Extraccion_HORAS!$C$2:$C$10000&lt;=$G$2)
        )
      )
    ),
  0)
)</f>
        <v/>
      </c>
      <c r="C39" s="98" t="str">
        <f>IF($A39="","",
  IFERROR(
    SUMIFS(
      Extraccion_HORAS!$F$2:$F$10000,
      Extraccion_HORAS!$B$2:$B$10000,$A39,
      Extraccion_HORAS!$C$2:$C$10000,"&gt;="&amp;$F$2,
      Extraccion_HORAS!$C$2:$C$10000,"&lt;="&amp;$G$2
    ),
  0)
)</f>
        <v/>
      </c>
    </row>
    <row r="40" spans="1:3" x14ac:dyDescent="0.3">
      <c r="A40" s="97"/>
      <c r="B40" s="98" t="str" cm="1">
        <f t="array" ref="B40">IF($A40="","",
  IFERROR(
    ROWS(
      _xlfn.UNIQUE(
        _xlfn._xlws.FILTER(
          Extraccion_HORAS!$A$2:$A$10000,
          (Extraccion_HORAS!$B$2:$B$10000=$A40)*
          (Extraccion_HORAS!$C$2:$C$10000&gt;=$F$2)*
          (Extraccion_HORAS!$C$2:$C$10000&lt;=$G$2)
        )
      )
    ),
  0)
)</f>
        <v/>
      </c>
      <c r="C40" s="98" t="str">
        <f>IF($A40="","",
  IFERROR(
    SUMIFS(
      Extraccion_HORAS!$F$2:$F$10000,
      Extraccion_HORAS!$B$2:$B$10000,$A40,
      Extraccion_HORAS!$C$2:$C$10000,"&gt;="&amp;$F$2,
      Extraccion_HORAS!$C$2:$C$10000,"&lt;="&amp;$G$2
    ),
  0)
)</f>
        <v/>
      </c>
    </row>
    <row r="41" spans="1:3" x14ac:dyDescent="0.3">
      <c r="A41" s="97"/>
      <c r="B41" s="98" t="str" cm="1">
        <f t="array" ref="B41">IF($A41="","",
  IFERROR(
    ROWS(
      _xlfn.UNIQUE(
        _xlfn._xlws.FILTER(
          Extraccion_HORAS!$A$2:$A$10000,
          (Extraccion_HORAS!$B$2:$B$10000=$A41)*
          (Extraccion_HORAS!$C$2:$C$10000&gt;=$F$2)*
          (Extraccion_HORAS!$C$2:$C$10000&lt;=$G$2)
        )
      )
    ),
  0)
)</f>
        <v/>
      </c>
      <c r="C41" s="98" t="str">
        <f>IF($A41="","",
  IFERROR(
    SUMIFS(
      Extraccion_HORAS!$F$2:$F$10000,
      Extraccion_HORAS!$B$2:$B$10000,$A41,
      Extraccion_HORAS!$C$2:$C$10000,"&gt;="&amp;$F$2,
      Extraccion_HORAS!$C$2:$C$10000,"&lt;="&amp;$G$2
    ),
  0)
)</f>
        <v/>
      </c>
    </row>
    <row r="42" spans="1:3" x14ac:dyDescent="0.3">
      <c r="A42" s="97"/>
      <c r="B42" s="98" t="str" cm="1">
        <f t="array" ref="B42">IF($A42="","",
  IFERROR(
    ROWS(
      _xlfn.UNIQUE(
        _xlfn._xlws.FILTER(
          Extraccion_HORAS!$A$2:$A$10000,
          (Extraccion_HORAS!$B$2:$B$10000=$A42)*
          (Extraccion_HORAS!$C$2:$C$10000&gt;=$F$2)*
          (Extraccion_HORAS!$C$2:$C$10000&lt;=$G$2)
        )
      )
    ),
  0)
)</f>
        <v/>
      </c>
      <c r="C42" s="98" t="str">
        <f>IF($A42="","",
  IFERROR(
    SUMIFS(
      Extraccion_HORAS!$F$2:$F$10000,
      Extraccion_HORAS!$B$2:$B$10000,$A42,
      Extraccion_HORAS!$C$2:$C$10000,"&gt;="&amp;$F$2,
      Extraccion_HORAS!$C$2:$C$10000,"&lt;="&amp;$G$2
    ),
  0)
)</f>
        <v/>
      </c>
    </row>
    <row r="43" spans="1:3" x14ac:dyDescent="0.3">
      <c r="A43" s="97"/>
      <c r="B43" s="98" t="str" cm="1">
        <f t="array" ref="B43">IF($A43="","",
  IFERROR(
    ROWS(
      _xlfn.UNIQUE(
        _xlfn._xlws.FILTER(
          Extraccion_HORAS!$A$2:$A$10000,
          (Extraccion_HORAS!$B$2:$B$10000=$A43)*
          (Extraccion_HORAS!$C$2:$C$10000&gt;=$F$2)*
          (Extraccion_HORAS!$C$2:$C$10000&lt;=$G$2)
        )
      )
    ),
  0)
)</f>
        <v/>
      </c>
      <c r="C43" s="98" t="str">
        <f>IF($A43="","",
  IFERROR(
    SUMIFS(
      Extraccion_HORAS!$F$2:$F$10000,
      Extraccion_HORAS!$B$2:$B$10000,$A43,
      Extraccion_HORAS!$C$2:$C$10000,"&gt;="&amp;$F$2,
      Extraccion_HORAS!$C$2:$C$10000,"&lt;="&amp;$G$2
    ),
  0)
)</f>
        <v/>
      </c>
    </row>
    <row r="44" spans="1:3" x14ac:dyDescent="0.3">
      <c r="A44" s="97"/>
      <c r="B44" s="98" t="str" cm="1">
        <f t="array" ref="B44">IF($A44="","",
  IFERROR(
    ROWS(
      _xlfn.UNIQUE(
        _xlfn._xlws.FILTER(
          Extraccion_HORAS!$A$2:$A$10000,
          (Extraccion_HORAS!$B$2:$B$10000=$A44)*
          (Extraccion_HORAS!$C$2:$C$10000&gt;=$F$2)*
          (Extraccion_HORAS!$C$2:$C$10000&lt;=$G$2)
        )
      )
    ),
  0)
)</f>
        <v/>
      </c>
      <c r="C44" s="98" t="str">
        <f>IF($A44="","",
  IFERROR(
    SUMIFS(
      Extraccion_HORAS!$F$2:$F$10000,
      Extraccion_HORAS!$B$2:$B$10000,$A44,
      Extraccion_HORAS!$C$2:$C$10000,"&gt;="&amp;$F$2,
      Extraccion_HORAS!$C$2:$C$10000,"&lt;="&amp;$G$2
    ),
  0)
)</f>
        <v/>
      </c>
    </row>
    <row r="45" spans="1:3" x14ac:dyDescent="0.3">
      <c r="A45" s="97"/>
      <c r="B45" s="98" t="str" cm="1">
        <f t="array" ref="B45">IF($A45="","",
  IFERROR(
    ROWS(
      _xlfn.UNIQUE(
        _xlfn._xlws.FILTER(
          Extraccion_HORAS!$A$2:$A$10000,
          (Extraccion_HORAS!$B$2:$B$10000=$A45)*
          (Extraccion_HORAS!$C$2:$C$10000&gt;=$F$2)*
          (Extraccion_HORAS!$C$2:$C$10000&lt;=$G$2)
        )
      )
    ),
  0)
)</f>
        <v/>
      </c>
      <c r="C45" s="98" t="str">
        <f>IF($A45="","",
  IFERROR(
    SUMIFS(
      Extraccion_HORAS!$F$2:$F$10000,
      Extraccion_HORAS!$B$2:$B$10000,$A45,
      Extraccion_HORAS!$C$2:$C$10000,"&gt;="&amp;$F$2,
      Extraccion_HORAS!$C$2:$C$10000,"&lt;="&amp;$G$2
    ),
  0)
)</f>
        <v/>
      </c>
    </row>
    <row r="46" spans="1:3" x14ac:dyDescent="0.3">
      <c r="A46" s="97"/>
      <c r="B46" s="98" t="str" cm="1">
        <f t="array" ref="B46">IF($A46="","",
  IFERROR(
    ROWS(
      _xlfn.UNIQUE(
        _xlfn._xlws.FILTER(
          Extraccion_HORAS!$A$2:$A$10000,
          (Extraccion_HORAS!$B$2:$B$10000=$A46)*
          (Extraccion_HORAS!$C$2:$C$10000&gt;=$F$2)*
          (Extraccion_HORAS!$C$2:$C$10000&lt;=$G$2)
        )
      )
    ),
  0)
)</f>
        <v/>
      </c>
      <c r="C46" s="98" t="str">
        <f>IF($A46="","",
  IFERROR(
    SUMIFS(
      Extraccion_HORAS!$F$2:$F$10000,
      Extraccion_HORAS!$B$2:$B$10000,$A46,
      Extraccion_HORAS!$C$2:$C$10000,"&gt;="&amp;$F$2,
      Extraccion_HORAS!$C$2:$C$10000,"&lt;="&amp;$G$2
    ),
  0)
)</f>
        <v/>
      </c>
    </row>
    <row r="47" spans="1:3" x14ac:dyDescent="0.3">
      <c r="A47" s="97"/>
      <c r="B47" s="98" t="str" cm="1">
        <f t="array" ref="B47">IF($A47="","",
  IFERROR(
    ROWS(
      _xlfn.UNIQUE(
        _xlfn._xlws.FILTER(
          Extraccion_HORAS!$A$2:$A$10000,
          (Extraccion_HORAS!$B$2:$B$10000=$A47)*
          (Extraccion_HORAS!$C$2:$C$10000&gt;=$F$2)*
          (Extraccion_HORAS!$C$2:$C$10000&lt;=$G$2)
        )
      )
    ),
  0)
)</f>
        <v/>
      </c>
      <c r="C47" s="98" t="str">
        <f>IF($A47="","",
  IFERROR(
    SUMIFS(
      Extraccion_HORAS!$F$2:$F$10000,
      Extraccion_HORAS!$B$2:$B$10000,$A47,
      Extraccion_HORAS!$C$2:$C$10000,"&gt;="&amp;$F$2,
      Extraccion_HORAS!$C$2:$C$10000,"&lt;="&amp;$G$2
    ),
  0)
)</f>
        <v/>
      </c>
    </row>
  </sheetData>
  <sheetProtection algorithmName="SHA-512" hashValue="NpnZVjQAQDKNxSHB6BuU3ORrRJ8uAzEVg4/fn19/33Rz3PiGFSqx1aLpMbMqLzgr0qGu4+zFL4jgy+x15H/1+g==" saltValue="L5P822tUWVIQZ1higgoMYw==" spinCount="100000" sheet="1" objects="1" scenarios="1"/>
  <mergeCells count="1">
    <mergeCell ref="A1:A2"/>
  </mergeCells>
  <phoneticPr fontId="32" type="noConversion"/>
  <dataValidations count="2">
    <dataValidation type="list" allowBlank="1" showInputMessage="1" showErrorMessage="1" sqref="C2" xr:uid="{E7B69138-0327-4994-8ACF-F455A77EA2B2}">
      <formula1>"Enero,Febrero,Marzo,Abril,Mayo,Junio,Julio,Agosto,Septiembre,Octubre,Noviembre,Diciembre"</formula1>
    </dataValidation>
    <dataValidation type="list" allowBlank="1" showInputMessage="1" showErrorMessage="1" sqref="C1" xr:uid="{E0F16973-68A9-45A9-8BFF-F76892341CC2}">
      <formula1>"2023,2024,2025,2026"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E006FC-3F2E-4BB0-A3AA-3CF79DC36CFA}">
  <sheetPr codeName="Hoja6">
    <tabColor theme="0" tint="-0.34998626667073579"/>
  </sheetPr>
  <dimension ref="A1:C9"/>
  <sheetViews>
    <sheetView workbookViewId="0">
      <selection activeCell="C1" sqref="C1:C1048576"/>
    </sheetView>
  </sheetViews>
  <sheetFormatPr baseColWidth="10" defaultColWidth="11.44140625" defaultRowHeight="14.4" x14ac:dyDescent="0.3"/>
  <cols>
    <col min="1" max="1" width="25.88671875" bestFit="1" customWidth="1"/>
  </cols>
  <sheetData>
    <row r="1" spans="1:3" x14ac:dyDescent="0.3">
      <c r="A1" t="s">
        <v>845</v>
      </c>
      <c r="B1" t="s">
        <v>846</v>
      </c>
      <c r="C1" t="s">
        <v>847</v>
      </c>
    </row>
    <row r="2" spans="1:3" x14ac:dyDescent="0.3">
      <c r="A2" s="15" t="s">
        <v>848</v>
      </c>
      <c r="B2">
        <v>2458</v>
      </c>
      <c r="C2">
        <v>10770507</v>
      </c>
    </row>
    <row r="3" spans="1:3" x14ac:dyDescent="0.3">
      <c r="A3" s="15" t="s">
        <v>849</v>
      </c>
      <c r="B3">
        <v>2452</v>
      </c>
      <c r="C3">
        <v>10770511</v>
      </c>
    </row>
    <row r="4" spans="1:3" x14ac:dyDescent="0.3">
      <c r="A4" s="15" t="s">
        <v>32</v>
      </c>
      <c r="B4">
        <v>2452</v>
      </c>
      <c r="C4">
        <v>10770512</v>
      </c>
    </row>
    <row r="5" spans="1:3" x14ac:dyDescent="0.3">
      <c r="A5" s="15" t="s">
        <v>850</v>
      </c>
      <c r="B5">
        <v>6026</v>
      </c>
      <c r="C5">
        <v>10770515</v>
      </c>
    </row>
    <row r="6" spans="1:3" x14ac:dyDescent="0.3">
      <c r="A6" s="15" t="s">
        <v>851</v>
      </c>
      <c r="B6">
        <v>2431</v>
      </c>
      <c r="C6">
        <v>10770508</v>
      </c>
    </row>
    <row r="7" spans="1:3" x14ac:dyDescent="0.3">
      <c r="A7" s="15" t="s">
        <v>852</v>
      </c>
      <c r="B7">
        <v>2452</v>
      </c>
      <c r="C7">
        <v>10770503</v>
      </c>
    </row>
    <row r="8" spans="1:3" x14ac:dyDescent="0.3">
      <c r="A8" s="15" t="s">
        <v>853</v>
      </c>
      <c r="B8" t="s">
        <v>854</v>
      </c>
      <c r="C8">
        <v>10770540</v>
      </c>
    </row>
    <row r="9" spans="1:3" x14ac:dyDescent="0.3">
      <c r="A9" s="15" t="s">
        <v>855</v>
      </c>
      <c r="B9" t="s">
        <v>854</v>
      </c>
      <c r="C9">
        <v>10770530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B8407-7C63-4117-93C8-3AD66C9D0AF0}">
  <sheetPr codeName="Hoja13">
    <tabColor theme="0" tint="-4.9989318521683403E-2"/>
  </sheetPr>
  <dimension ref="A1:G721"/>
  <sheetViews>
    <sheetView workbookViewId="0">
      <selection activeCell="I2" sqref="I2"/>
    </sheetView>
  </sheetViews>
  <sheetFormatPr baseColWidth="10" defaultColWidth="10.88671875" defaultRowHeight="14.4" x14ac:dyDescent="0.3"/>
  <cols>
    <col min="1" max="1" width="23.88671875" style="89" customWidth="1"/>
    <col min="2" max="2" width="15" style="89" customWidth="1"/>
    <col min="3" max="3" width="10.88671875" style="93"/>
    <col min="4" max="16384" width="10.88671875" style="89"/>
  </cols>
  <sheetData>
    <row r="1" spans="1:7" x14ac:dyDescent="0.3">
      <c r="A1" s="102" t="str" cm="1">
        <f t="array" aca="1" ref="A1:G721" ca="1">_xlfn._xlws.FILTER(BASE_LINEAS!A:G,BASE_LINEAS!A:A&lt;&gt;"")</f>
        <v>NOMBRE</v>
      </c>
      <c r="B1" s="102" t="str">
        <f ca="1"/>
        <v>COMPETENCIAS</v>
      </c>
      <c r="C1" s="103" t="str">
        <f ca="1"/>
        <v>FECHA</v>
      </c>
      <c r="D1" s="102" t="str">
        <f ca="1"/>
        <v>TIPO</v>
      </c>
      <c r="E1" s="102" t="str">
        <f ca="1"/>
        <v>VIGENCIAS</v>
      </c>
      <c r="F1" s="102" t="str">
        <f ca="1"/>
        <v>HORAS</v>
      </c>
      <c r="G1" s="102" t="str">
        <f ca="1"/>
        <v>ESTADO</v>
      </c>
    </row>
    <row r="2" spans="1:7" x14ac:dyDescent="0.3">
      <c r="A2" s="89" t="str">
        <f ca="1"/>
        <v>ALDRICH, SERGIO RUBEN</v>
      </c>
      <c r="B2" s="89" t="str">
        <f ca="1"/>
        <v>Programa de Aire</v>
      </c>
      <c r="C2" s="93" t="str">
        <f ca="1"/>
        <v/>
      </c>
      <c r="D2" s="89" t="str">
        <f ca="1"/>
        <v>Evento</v>
      </c>
      <c r="E2" s="89">
        <f ca="1"/>
        <v>0</v>
      </c>
      <c r="F2" s="89">
        <f ca="1"/>
        <v>1</v>
      </c>
      <c r="G2" s="89" t="str">
        <f ca="1"/>
        <v>SIN FECHA</v>
      </c>
    </row>
    <row r="3" spans="1:7" x14ac:dyDescent="0.3">
      <c r="A3" s="89" t="str">
        <f ca="1"/>
        <v>ALDRICH, SERGIO RUBEN</v>
      </c>
      <c r="B3" s="89" t="str">
        <f ca="1"/>
        <v>Conciencia Ambiental</v>
      </c>
      <c r="C3" s="93">
        <f ca="1"/>
        <v>46134</v>
      </c>
      <c r="D3" s="89" t="str">
        <f ca="1"/>
        <v>Periódica</v>
      </c>
      <c r="E3" s="89">
        <f ca="1"/>
        <v>365</v>
      </c>
      <c r="F3" s="89">
        <f ca="1"/>
        <v>1</v>
      </c>
      <c r="G3" s="89" t="str">
        <f ca="1"/>
        <v>VIGENTE</v>
      </c>
    </row>
    <row r="4" spans="1:7" x14ac:dyDescent="0.3">
      <c r="A4" s="89" t="str">
        <f ca="1"/>
        <v>ALDRICH, SERGIO RUBEN</v>
      </c>
      <c r="B4" s="89" t="str">
        <f ca="1"/>
        <v xml:space="preserve">Control de Documentos e Informacion de HSE </v>
      </c>
      <c r="C4" s="93" t="str">
        <f ca="1"/>
        <v/>
      </c>
      <c r="D4" s="89" t="str">
        <f ca="1"/>
        <v>Evento</v>
      </c>
      <c r="E4" s="89">
        <f ca="1"/>
        <v>0</v>
      </c>
      <c r="F4" s="89">
        <f ca="1"/>
        <v>1</v>
      </c>
      <c r="G4" s="89" t="str">
        <f ca="1"/>
        <v>SIN FECHA</v>
      </c>
    </row>
    <row r="5" spans="1:7" x14ac:dyDescent="0.3">
      <c r="A5" s="89" t="str">
        <f ca="1"/>
        <v>ALDRICH, SERGIO RUBEN</v>
      </c>
      <c r="B5" s="89" t="str">
        <f ca="1"/>
        <v xml:space="preserve"> Acciones Correctivas y Preventivas (CAPA)</v>
      </c>
      <c r="C5" s="93" t="str">
        <f ca="1"/>
        <v/>
      </c>
      <c r="D5" s="89" t="str">
        <f ca="1"/>
        <v>Evento</v>
      </c>
      <c r="E5" s="89">
        <f ca="1"/>
        <v>0</v>
      </c>
      <c r="F5" s="89">
        <f ca="1"/>
        <v>1</v>
      </c>
      <c r="G5" s="89" t="str">
        <f ca="1"/>
        <v>SIN FECHA</v>
      </c>
    </row>
    <row r="6" spans="1:7" x14ac:dyDescent="0.3">
      <c r="A6" s="89" t="str">
        <f ca="1"/>
        <v>ALDRICH, SERGIO RUBEN</v>
      </c>
      <c r="B6" s="89" t="str">
        <f ca="1"/>
        <v>Seguridad Basada en el Comportamiento (Observation Program) // HSMS.043 / Autoridad de Detener el Trabajo</v>
      </c>
      <c r="C6" s="93">
        <f ca="1"/>
        <v>45827</v>
      </c>
      <c r="D6" s="89" t="str">
        <f ca="1"/>
        <v>Periódica</v>
      </c>
      <c r="E6" s="89">
        <f ca="1"/>
        <v>365</v>
      </c>
      <c r="F6" s="89">
        <f ca="1"/>
        <v>1</v>
      </c>
      <c r="G6" s="89" t="str">
        <f ca="1"/>
        <v>VENCIDA</v>
      </c>
    </row>
    <row r="7" spans="1:7" x14ac:dyDescent="0.3">
      <c r="A7" s="89" t="str">
        <f ca="1"/>
        <v>ALDRICH, SERGIO RUBEN</v>
      </c>
      <c r="B7" s="89" t="str">
        <f ca="1"/>
        <v>Identificacion de Peligros y Evaluacion de Riesgos</v>
      </c>
      <c r="C7" s="93">
        <f ca="1"/>
        <v>46006</v>
      </c>
      <c r="D7" s="89" t="str">
        <f ca="1"/>
        <v>Evento</v>
      </c>
      <c r="E7" s="89">
        <f ca="1"/>
        <v>0</v>
      </c>
      <c r="F7" s="89">
        <f ca="1"/>
        <v>1</v>
      </c>
      <c r="G7" s="89" t="str">
        <f ca="1"/>
        <v>VIGENTE</v>
      </c>
    </row>
    <row r="8" spans="1:7" x14ac:dyDescent="0.3">
      <c r="A8" s="89" t="str">
        <f ca="1"/>
        <v>ALDRICH, SERGIO RUBEN</v>
      </c>
      <c r="B8" s="89" t="str">
        <f ca="1"/>
        <v xml:space="preserve"> Plan de Respuesta ante Eemergencias / HSMS.010 /Primeros Axulios &amp; RCP/DEA / HSMSWT-002 / Patogenos Trasnmitidos por la Sangre</v>
      </c>
      <c r="C8" s="93" t="str">
        <f ca="1"/>
        <v/>
      </c>
      <c r="D8" s="89" t="str">
        <f ca="1"/>
        <v>Periódica</v>
      </c>
      <c r="E8" s="89">
        <f ca="1"/>
        <v>365</v>
      </c>
      <c r="F8" s="89">
        <f ca="1"/>
        <v>1</v>
      </c>
      <c r="G8" s="89" t="str">
        <f ca="1"/>
        <v>SIN FECHA</v>
      </c>
    </row>
    <row r="9" spans="1:7" x14ac:dyDescent="0.3">
      <c r="A9" s="89" t="str">
        <f ca="1"/>
        <v>ALDRICH, SERGIO RUBEN</v>
      </c>
      <c r="B9" s="89" t="str">
        <f ca="1"/>
        <v>Reporte y Gestion de Incidentes HSE (Todos)</v>
      </c>
      <c r="C9" s="93">
        <f ca="1"/>
        <v>46006</v>
      </c>
      <c r="D9" s="89" t="str">
        <f ca="1"/>
        <v>Periódica</v>
      </c>
      <c r="E9" s="89">
        <f ca="1"/>
        <v>365</v>
      </c>
      <c r="F9" s="89">
        <f ca="1"/>
        <v>1</v>
      </c>
      <c r="G9" s="89" t="str">
        <f ca="1"/>
        <v>VIGENTE</v>
      </c>
    </row>
    <row r="10" spans="1:7" x14ac:dyDescent="0.3">
      <c r="A10" s="89" t="str">
        <f ca="1"/>
        <v>ALDRICH, SERGIO RUBEN</v>
      </c>
      <c r="B10" s="89" t="str">
        <f ca="1"/>
        <v>Reporte, Gestion e Investigacion de Incidentes HSE (supervisores / investigadores (rol))</v>
      </c>
      <c r="C10" s="93" t="str">
        <f ca="1"/>
        <v/>
      </c>
      <c r="D10" s="89" t="str">
        <f ca="1"/>
        <v>Periódica</v>
      </c>
      <c r="E10" s="89">
        <f ca="1"/>
        <v>1095</v>
      </c>
      <c r="F10" s="89">
        <f ca="1"/>
        <v>2</v>
      </c>
      <c r="G10" s="89" t="str">
        <f ca="1"/>
        <v>SIN FECHA</v>
      </c>
    </row>
    <row r="11" spans="1:7" x14ac:dyDescent="0.3">
      <c r="A11" s="89" t="str">
        <f ca="1"/>
        <v>ALDRICH, SERGIO RUBEN</v>
      </c>
      <c r="B11" s="89" t="str">
        <f ca="1"/>
        <v>Gruas y Equipos de Izaje (Todos)</v>
      </c>
      <c r="C11" s="93" t="str">
        <f ca="1"/>
        <v/>
      </c>
      <c r="D11" s="89" t="str">
        <f ca="1"/>
        <v>Periódica</v>
      </c>
      <c r="E11" s="89">
        <f ca="1"/>
        <v>365</v>
      </c>
      <c r="F11" s="89">
        <f ca="1"/>
        <v>2</v>
      </c>
      <c r="G11" s="89" t="str">
        <f ca="1"/>
        <v>SIN FECHA</v>
      </c>
    </row>
    <row r="12" spans="1:7" x14ac:dyDescent="0.3">
      <c r="A12" s="89" t="str">
        <f ca="1"/>
        <v>ALDRICH, SERGIO RUBEN</v>
      </c>
      <c r="B12" s="89" t="str">
        <f ca="1"/>
        <v>HSMS.007 / Gruas y Equipos de Izaje (Operadores)</v>
      </c>
      <c r="C12" s="93">
        <f ca="1"/>
        <v>46141</v>
      </c>
      <c r="D12" s="89" t="str">
        <f ca="1"/>
        <v>Periódica</v>
      </c>
      <c r="E12" s="89">
        <f ca="1"/>
        <v>365</v>
      </c>
      <c r="F12" s="89">
        <f ca="1"/>
        <v>8</v>
      </c>
      <c r="G12" s="89" t="str">
        <f ca="1"/>
        <v>VIGENTE</v>
      </c>
    </row>
    <row r="13" spans="1:7" x14ac:dyDescent="0.3">
      <c r="A13" s="89" t="str">
        <f ca="1"/>
        <v>ALDRICH, SERGIO RUBEN</v>
      </c>
      <c r="B13" s="89" t="str">
        <f ca="1"/>
        <v>Proteccion Contra Incendios (Todos)</v>
      </c>
      <c r="C13" s="93">
        <f ca="1"/>
        <v>45835</v>
      </c>
      <c r="D13" s="89" t="str">
        <f ca="1"/>
        <v>Periódica</v>
      </c>
      <c r="E13" s="89">
        <f ca="1"/>
        <v>365</v>
      </c>
      <c r="F13" s="89">
        <f ca="1"/>
        <v>1</v>
      </c>
      <c r="G13" s="89" t="str">
        <f ca="1"/>
        <v>VENCIDA</v>
      </c>
    </row>
    <row r="14" spans="1:7" x14ac:dyDescent="0.3">
      <c r="A14" s="89" t="str">
        <f ca="1"/>
        <v>ALDRICH, SERGIO RUBEN</v>
      </c>
      <c r="B14" s="89" t="str">
        <f ca="1"/>
        <v>Proteccion Contra Incendios (Brigadistas)</v>
      </c>
      <c r="C14" s="93" t="str">
        <f ca="1"/>
        <v/>
      </c>
      <c r="D14" s="89" t="str">
        <f ca="1"/>
        <v>Periódica</v>
      </c>
      <c r="E14" s="89">
        <f ca="1"/>
        <v>365</v>
      </c>
      <c r="F14" s="89">
        <f ca="1"/>
        <v>2</v>
      </c>
      <c r="G14" s="89" t="str">
        <f ca="1"/>
        <v>SIN FECHA</v>
      </c>
    </row>
    <row r="15" spans="1:7" x14ac:dyDescent="0.3">
      <c r="A15" s="89" t="str">
        <f ca="1"/>
        <v>ALDRICH, SERGIO RUBEN</v>
      </c>
      <c r="B15" s="89" t="str">
        <f ca="1"/>
        <v>Primeros Auxilios (Brigadistas)</v>
      </c>
      <c r="C15" s="93" t="str">
        <f ca="1"/>
        <v/>
      </c>
      <c r="D15" s="89" t="str">
        <f ca="1"/>
        <v>Periódica</v>
      </c>
      <c r="E15" s="89">
        <f ca="1"/>
        <v>365</v>
      </c>
      <c r="F15" s="89">
        <f ca="1"/>
        <v>2</v>
      </c>
      <c r="G15" s="89" t="str">
        <f ca="1"/>
        <v>SIN FECHA</v>
      </c>
    </row>
    <row r="16" spans="1:7" x14ac:dyDescent="0.3">
      <c r="A16" s="89" t="str">
        <f ca="1"/>
        <v>ALDRICH, SERGIO RUBEN</v>
      </c>
      <c r="B16" s="89" t="str">
        <f ca="1"/>
        <v>Seguridad Electrica (Todos)</v>
      </c>
      <c r="C16" s="93" t="str">
        <f ca="1"/>
        <v/>
      </c>
      <c r="D16" s="89" t="str">
        <f ca="1"/>
        <v>Periódica</v>
      </c>
      <c r="E16" s="89">
        <f ca="1"/>
        <v>365</v>
      </c>
      <c r="F16" s="89">
        <f ca="1"/>
        <v>1</v>
      </c>
      <c r="G16" s="89" t="str">
        <f ca="1"/>
        <v>SIN FECHA</v>
      </c>
    </row>
    <row r="17" spans="1:7" x14ac:dyDescent="0.3">
      <c r="A17" s="89" t="str">
        <f ca="1"/>
        <v>ALDRICH, SERGIO RUBEN</v>
      </c>
      <c r="B17" s="89" t="str">
        <f ca="1"/>
        <v>Seguridad Electrica (Personal Autorizado)</v>
      </c>
      <c r="C17" s="93" t="str">
        <f ca="1"/>
        <v/>
      </c>
      <c r="D17" s="89" t="str">
        <f ca="1"/>
        <v>Periódica</v>
      </c>
      <c r="E17" s="89">
        <f ca="1"/>
        <v>1095</v>
      </c>
      <c r="F17" s="89">
        <f ca="1"/>
        <v>4</v>
      </c>
      <c r="G17" s="89" t="str">
        <f ca="1"/>
        <v>SIN FECHA</v>
      </c>
    </row>
    <row r="18" spans="1:7" x14ac:dyDescent="0.3">
      <c r="A18" s="89" t="str">
        <f ca="1"/>
        <v>ALDRICH, SERGIO RUBEN</v>
      </c>
      <c r="B18" s="89" t="str">
        <f ca="1"/>
        <v>Camiones Industriales Motorizados (PIT) (Todos)</v>
      </c>
      <c r="C18" s="93" t="str">
        <f ca="1"/>
        <v/>
      </c>
      <c r="D18" s="89" t="str">
        <f ca="1"/>
        <v>Periódica</v>
      </c>
      <c r="E18" s="89">
        <f ca="1"/>
        <v>365</v>
      </c>
      <c r="F18" s="89">
        <f ca="1"/>
        <v>1</v>
      </c>
      <c r="G18" s="89" t="str">
        <f ca="1"/>
        <v>SIN FECHA</v>
      </c>
    </row>
    <row r="19" spans="1:7" x14ac:dyDescent="0.3">
      <c r="A19" s="89" t="str">
        <f ca="1"/>
        <v>ALDRICH, SERGIO RUBEN</v>
      </c>
      <c r="B19" s="89" t="str">
        <f ca="1"/>
        <v>Camiones Industriales Motorizados (PIT) (Op. Montacargas)</v>
      </c>
      <c r="C19" s="93" t="str">
        <f ca="1"/>
        <v/>
      </c>
      <c r="D19" s="89" t="str">
        <f ca="1"/>
        <v>Periódica</v>
      </c>
      <c r="E19" s="89">
        <f ca="1"/>
        <v>365</v>
      </c>
      <c r="F19" s="89">
        <f ca="1"/>
        <v>8</v>
      </c>
      <c r="G19" s="89" t="str">
        <f ca="1"/>
        <v>SIN FECHA</v>
      </c>
    </row>
    <row r="20" spans="1:7" x14ac:dyDescent="0.3">
      <c r="A20" s="89" t="str">
        <f ca="1"/>
        <v>ALDRICH, SERGIO RUBEN</v>
      </c>
      <c r="B20" s="89" t="str">
        <f ca="1"/>
        <v>Control de Energias Peligrosas (LOTO) (Todos)</v>
      </c>
      <c r="C20" s="93">
        <f ca="1"/>
        <v>45827</v>
      </c>
      <c r="D20" s="89" t="str">
        <f ca="1"/>
        <v>Evento</v>
      </c>
      <c r="E20" s="89">
        <f ca="1"/>
        <v>0</v>
      </c>
      <c r="F20" s="89">
        <f ca="1"/>
        <v>1</v>
      </c>
      <c r="G20" s="89" t="str">
        <f ca="1"/>
        <v>VIGENTE</v>
      </c>
    </row>
    <row r="21" spans="1:7" x14ac:dyDescent="0.3">
      <c r="A21" s="89" t="str">
        <f ca="1"/>
        <v>ALDRICH, SERGIO RUBEN</v>
      </c>
      <c r="B21" s="89" t="str">
        <f ca="1"/>
        <v>Control de Energias Peligrosas (LOTO) (Empleados Autorizados)</v>
      </c>
      <c r="C21" s="93">
        <f ca="1"/>
        <v>46026</v>
      </c>
      <c r="D21" s="89" t="str">
        <f ca="1"/>
        <v>Periódica</v>
      </c>
      <c r="E21" s="89">
        <f ca="1"/>
        <v>365</v>
      </c>
      <c r="F21" s="89">
        <f ca="1"/>
        <v>2</v>
      </c>
      <c r="G21" s="89" t="str">
        <f ca="1"/>
        <v>VIGENTE</v>
      </c>
    </row>
    <row r="22" spans="1:7" x14ac:dyDescent="0.3">
      <c r="A22" s="89" t="str">
        <f ca="1"/>
        <v>ALDRICH, SERGIO RUBEN</v>
      </c>
      <c r="B22" s="89" t="str">
        <f ca="1"/>
        <v>Seguridad aplicada al Pozo &amp; Yacimiento</v>
      </c>
      <c r="C22" s="93" t="str">
        <f ca="1"/>
        <v/>
      </c>
      <c r="D22" s="89" t="str">
        <f ca="1"/>
        <v>Periódica</v>
      </c>
      <c r="E22" s="89">
        <f ca="1"/>
        <v>365</v>
      </c>
      <c r="F22" s="89">
        <f ca="1"/>
        <v>1</v>
      </c>
      <c r="G22" s="89" t="str">
        <f ca="1"/>
        <v>SIN FECHA</v>
      </c>
    </row>
    <row r="23" spans="1:7" x14ac:dyDescent="0.3">
      <c r="A23" s="89" t="str">
        <f ca="1"/>
        <v>ALDRICH, SERGIO RUBEN</v>
      </c>
      <c r="B23" s="89" t="str">
        <f ca="1"/>
        <v>Las Reglas que Salvan Vidas</v>
      </c>
      <c r="C23" s="93" t="str">
        <f ca="1"/>
        <v/>
      </c>
      <c r="D23" s="89" t="str">
        <f ca="1"/>
        <v>Periódica</v>
      </c>
      <c r="E23" s="89">
        <f ca="1"/>
        <v>365</v>
      </c>
      <c r="F23" s="89">
        <f ca="1"/>
        <v>1</v>
      </c>
      <c r="G23" s="89" t="str">
        <f ca="1"/>
        <v>SIN FECHA</v>
      </c>
    </row>
    <row r="24" spans="1:7" x14ac:dyDescent="0.3">
      <c r="A24" s="89" t="str">
        <f ca="1"/>
        <v>ALDRICH, SERGIO RUBEN</v>
      </c>
      <c r="B24" s="89" t="str">
        <f ca="1"/>
        <v xml:space="preserve">Resguardo de Maquinas &amp; Equipos </v>
      </c>
      <c r="C24" s="93" t="str">
        <f ca="1"/>
        <v/>
      </c>
      <c r="D24" s="89" t="str">
        <f ca="1"/>
        <v>Periódica</v>
      </c>
      <c r="E24" s="89">
        <f ca="1"/>
        <v>365</v>
      </c>
      <c r="F24" s="89">
        <f ca="1"/>
        <v>1</v>
      </c>
      <c r="G24" s="89" t="str">
        <f ca="1"/>
        <v>SIN FECHA</v>
      </c>
    </row>
    <row r="25" spans="1:7" x14ac:dyDescent="0.3">
      <c r="A25" s="89" t="str">
        <f ca="1"/>
        <v>ALDRICH, SERGIO RUBEN</v>
      </c>
      <c r="B25" s="89" t="str">
        <f ca="1"/>
        <v>Conduccion y Gestion de Viajes (Todos)</v>
      </c>
      <c r="C25" s="93">
        <f ca="1"/>
        <v>45770</v>
      </c>
      <c r="D25" s="89" t="str">
        <f ca="1"/>
        <v>Periódica</v>
      </c>
      <c r="E25" s="89">
        <f ca="1"/>
        <v>730</v>
      </c>
      <c r="F25" s="89">
        <f ca="1"/>
        <v>1</v>
      </c>
      <c r="G25" s="89" t="str">
        <f ca="1"/>
        <v>VIGENTE</v>
      </c>
    </row>
    <row r="26" spans="1:7" x14ac:dyDescent="0.3">
      <c r="A26" s="89" t="str">
        <f ca="1"/>
        <v>ALDRICH, SERGIO RUBEN</v>
      </c>
      <c r="B26" s="89" t="str">
        <f ca="1"/>
        <v>Conduccion y Gestion de Viajes (Conductores)</v>
      </c>
      <c r="C26" s="93">
        <f ca="1"/>
        <v>46211</v>
      </c>
      <c r="D26" s="89" t="str">
        <f ca="1"/>
        <v>Periódica</v>
      </c>
      <c r="E26" s="89">
        <f ca="1"/>
        <v>1095</v>
      </c>
      <c r="F26" s="89">
        <f ca="1"/>
        <v>5</v>
      </c>
      <c r="G26" s="89" t="str">
        <f ca="1"/>
        <v>VIGENTE</v>
      </c>
    </row>
    <row r="27" spans="1:7" x14ac:dyDescent="0.3">
      <c r="A27" s="89" t="str">
        <f ca="1"/>
        <v>ALDRICH, SERGIO RUBEN</v>
      </c>
      <c r="B27" s="89" t="str">
        <f ca="1"/>
        <v>Patogenos Transmitidos por la Sangre</v>
      </c>
      <c r="C27" s="93" t="str">
        <f ca="1"/>
        <v/>
      </c>
      <c r="D27" s="89" t="str">
        <f ca="1"/>
        <v>Periódica</v>
      </c>
      <c r="E27" s="89">
        <f ca="1"/>
        <v>365</v>
      </c>
      <c r="F27" s="89">
        <f ca="1"/>
        <v>1</v>
      </c>
      <c r="G27" s="89" t="str">
        <f ca="1"/>
        <v>SIN FECHA</v>
      </c>
    </row>
    <row r="28" spans="1:7" x14ac:dyDescent="0.3">
      <c r="A28" s="89" t="str">
        <f ca="1"/>
        <v>ALDRICH, SERGIO RUBEN</v>
      </c>
      <c r="B28" s="89" t="str">
        <f ca="1"/>
        <v>Conservacion Auditiva</v>
      </c>
      <c r="C28" s="93" t="str">
        <f ca="1"/>
        <v/>
      </c>
      <c r="D28" s="89" t="str">
        <f ca="1"/>
        <v>Periódica</v>
      </c>
      <c r="E28" s="89">
        <f ca="1"/>
        <v>365</v>
      </c>
      <c r="F28" s="89">
        <f ca="1"/>
        <v>1</v>
      </c>
      <c r="G28" s="89" t="str">
        <f ca="1"/>
        <v>SIN FECHA</v>
      </c>
    </row>
    <row r="29" spans="1:7" x14ac:dyDescent="0.3">
      <c r="A29" s="89" t="str">
        <f ca="1"/>
        <v>ALDRICH, SERGIO RUBEN</v>
      </c>
      <c r="B29" s="89" t="str">
        <f ca="1"/>
        <v xml:space="preserve">Ergonomia //  / Levantamiento &amp; Seguridad en la Espalda </v>
      </c>
      <c r="C29" s="93">
        <f ca="1"/>
        <v>46006</v>
      </c>
      <c r="D29" s="89" t="str">
        <f ca="1"/>
        <v>Periódica</v>
      </c>
      <c r="E29" s="89">
        <f ca="1"/>
        <v>365</v>
      </c>
      <c r="F29" s="89">
        <f ca="1"/>
        <v>1</v>
      </c>
      <c r="G29" s="89" t="str">
        <f ca="1"/>
        <v>VIGENTE</v>
      </c>
    </row>
    <row r="30" spans="1:7" x14ac:dyDescent="0.3">
      <c r="A30" s="89" t="str">
        <f ca="1"/>
        <v>ALDRICH, SERGIO RUBEN</v>
      </c>
      <c r="B30" s="89" t="str">
        <f ca="1"/>
        <v>Superficies Elevadas (Todos)</v>
      </c>
      <c r="C30" s="93">
        <f ca="1"/>
        <v>46006</v>
      </c>
      <c r="D30" s="89" t="str">
        <f ca="1"/>
        <v>Periódica</v>
      </c>
      <c r="E30" s="89">
        <f ca="1"/>
        <v>365</v>
      </c>
      <c r="F30" s="89">
        <f ca="1"/>
        <v>1</v>
      </c>
      <c r="G30" s="89" t="str">
        <f ca="1"/>
        <v>VIGENTE</v>
      </c>
    </row>
    <row r="31" spans="1:7" x14ac:dyDescent="0.3">
      <c r="A31" s="89" t="str">
        <f ca="1"/>
        <v>ALDRICH, SERGIO RUBEN</v>
      </c>
      <c r="B31" s="89" t="str">
        <f ca="1"/>
        <v>Superficies Elevadas (Personal Habilitado)</v>
      </c>
      <c r="C31" s="93" t="str">
        <f ca="1"/>
        <v/>
      </c>
      <c r="D31" s="89" t="str">
        <f ca="1"/>
        <v>Periódica</v>
      </c>
      <c r="E31" s="89">
        <f ca="1"/>
        <v>365</v>
      </c>
      <c r="F31" s="89">
        <f ca="1"/>
        <v>8</v>
      </c>
      <c r="G31" s="89" t="str">
        <f ca="1"/>
        <v>SIN FECHA</v>
      </c>
    </row>
    <row r="32" spans="1:7" x14ac:dyDescent="0.3">
      <c r="A32" s="89" t="str">
        <f ca="1"/>
        <v>ALDRICH, SERGIO RUBEN</v>
      </c>
      <c r="B32" s="89" t="str">
        <f ca="1"/>
        <v>Seguridad Quimica (Todos)</v>
      </c>
      <c r="C32" s="93">
        <f ca="1"/>
        <v>46006</v>
      </c>
      <c r="D32" s="89" t="str">
        <f ca="1"/>
        <v>Periódica</v>
      </c>
      <c r="E32" s="89">
        <f ca="1"/>
        <v>730</v>
      </c>
      <c r="F32" s="89">
        <f ca="1"/>
        <v>1</v>
      </c>
      <c r="G32" s="89" t="str">
        <f ca="1"/>
        <v>VIGENTE</v>
      </c>
    </row>
    <row r="33" spans="1:7" x14ac:dyDescent="0.3">
      <c r="A33" s="89" t="str">
        <f ca="1"/>
        <v>ALDRICH, SERGIO RUBEN</v>
      </c>
      <c r="B33" s="89" t="str">
        <f ca="1"/>
        <v>Seguridad Quimica (Mantenimiento)</v>
      </c>
      <c r="C33" s="93" t="str">
        <f ca="1"/>
        <v/>
      </c>
      <c r="D33" s="89" t="str">
        <f ca="1"/>
        <v>Periódica</v>
      </c>
      <c r="E33" s="89">
        <f ca="1"/>
        <v>365</v>
      </c>
      <c r="F33" s="89">
        <f ca="1"/>
        <v>1</v>
      </c>
      <c r="G33" s="89" t="str">
        <f ca="1"/>
        <v>SIN FECHA</v>
      </c>
    </row>
    <row r="34" spans="1:7" x14ac:dyDescent="0.3">
      <c r="A34" s="89" t="str">
        <f ca="1"/>
        <v>ALDRICH, SERGIO RUBEN</v>
      </c>
      <c r="B34" s="89" t="str">
        <f ca="1"/>
        <v>Seguridad Quimica (Contratistas)</v>
      </c>
      <c r="C34" s="93" t="str">
        <f ca="1"/>
        <v/>
      </c>
      <c r="D34" s="89" t="str">
        <f ca="1"/>
        <v>Periódica</v>
      </c>
      <c r="E34" s="89">
        <f ca="1"/>
        <v>365</v>
      </c>
      <c r="F34" s="89">
        <f ca="1"/>
        <v>1</v>
      </c>
      <c r="G34" s="89" t="str">
        <f ca="1"/>
        <v>SIN FECHA</v>
      </c>
    </row>
    <row r="35" spans="1:7" x14ac:dyDescent="0.3">
      <c r="A35" s="89" t="str">
        <f ca="1"/>
        <v>ALDRICH, SERGIO RUBEN</v>
      </c>
      <c r="B35" s="89" t="str">
        <f ca="1"/>
        <v>Seguridad para Trabajos en Caliente</v>
      </c>
      <c r="C35" s="93">
        <f ca="1"/>
        <v>45835</v>
      </c>
      <c r="D35" s="89" t="str">
        <f ca="1"/>
        <v>Periódica</v>
      </c>
      <c r="E35" s="89">
        <f ca="1"/>
        <v>365</v>
      </c>
      <c r="F35" s="89">
        <f ca="1"/>
        <v>1</v>
      </c>
      <c r="G35" s="89" t="str">
        <f ca="1"/>
        <v>VENCIDA</v>
      </c>
    </row>
    <row r="36" spans="1:7" x14ac:dyDescent="0.3">
      <c r="A36" s="89" t="str">
        <f ca="1"/>
        <v>ALDRICH, SERGIO RUBEN</v>
      </c>
      <c r="B36" s="89" t="str">
        <f ca="1"/>
        <v>Seguridad con la Radiacion</v>
      </c>
      <c r="C36" s="93">
        <f ca="1"/>
        <v>46013</v>
      </c>
      <c r="D36" s="89" t="str">
        <f ca="1"/>
        <v>Periódica</v>
      </c>
      <c r="E36" s="89">
        <f ca="1"/>
        <v>365</v>
      </c>
      <c r="F36" s="89">
        <f ca="1"/>
        <v>2</v>
      </c>
      <c r="G36" s="89" t="str">
        <f ca="1"/>
        <v>VIGENTE</v>
      </c>
    </row>
    <row r="37" spans="1:7" x14ac:dyDescent="0.3">
      <c r="A37" s="89" t="str">
        <f ca="1"/>
        <v>ALDRICH, SERGIO RUBEN</v>
      </c>
      <c r="B37" s="89" t="str">
        <f ca="1"/>
        <v>Equipo de Proteccion Personal (PPE)</v>
      </c>
      <c r="C37" s="93">
        <f ca="1"/>
        <v>46006</v>
      </c>
      <c r="D37" s="89" t="str">
        <f ca="1"/>
        <v>Periódica</v>
      </c>
      <c r="E37" s="89">
        <f ca="1"/>
        <v>365</v>
      </c>
      <c r="F37" s="89">
        <f ca="1"/>
        <v>1</v>
      </c>
      <c r="G37" s="89" t="str">
        <f ca="1"/>
        <v>VIGENTE</v>
      </c>
    </row>
    <row r="38" spans="1:7" x14ac:dyDescent="0.3">
      <c r="A38" s="89" t="str">
        <f ca="1"/>
        <v>ALDRICH, SERGIO RUBEN</v>
      </c>
      <c r="B38" s="89" t="str">
        <f ca="1"/>
        <v>Proteccion Respiratoria</v>
      </c>
      <c r="C38" s="93" t="str">
        <f ca="1"/>
        <v/>
      </c>
      <c r="D38" s="89" t="str">
        <f ca="1"/>
        <v>Periódica</v>
      </c>
      <c r="E38" s="89">
        <f ca="1"/>
        <v>365</v>
      </c>
      <c r="F38" s="89">
        <f ca="1"/>
        <v>1</v>
      </c>
      <c r="G38" s="89" t="str">
        <f ca="1"/>
        <v>SIN FECHA</v>
      </c>
    </row>
    <row r="39" spans="1:7" x14ac:dyDescent="0.3">
      <c r="A39" s="89" t="str">
        <f ca="1"/>
        <v>ALDRICH, SERGIO RUBEN</v>
      </c>
      <c r="B39" s="89" t="str">
        <f ca="1"/>
        <v xml:space="preserve">Seguridad con Escaleras </v>
      </c>
      <c r="C39" s="93">
        <f ca="1"/>
        <v>46006</v>
      </c>
      <c r="D39" s="89" t="str">
        <f ca="1"/>
        <v>Periódica</v>
      </c>
      <c r="E39" s="89">
        <f ca="1"/>
        <v>365</v>
      </c>
      <c r="F39" s="89">
        <f ca="1"/>
        <v>1</v>
      </c>
      <c r="G39" s="89" t="str">
        <f ca="1"/>
        <v>VIGENTE</v>
      </c>
    </row>
    <row r="40" spans="1:7" x14ac:dyDescent="0.3">
      <c r="A40" s="89" t="str">
        <f ca="1"/>
        <v>ALDRICH, SERGIO RUBEN</v>
      </c>
      <c r="B40" s="89" t="str">
        <f ca="1"/>
        <v>Seguridad con Escaleras // Estantes de Almacenamiento</v>
      </c>
      <c r="C40" s="93" t="str">
        <f ca="1"/>
        <v/>
      </c>
      <c r="D40" s="89" t="str">
        <f ca="1"/>
        <v>Periódica</v>
      </c>
      <c r="E40" s="89">
        <f ca="1"/>
        <v>365</v>
      </c>
      <c r="F40" s="89">
        <f ca="1"/>
        <v>1</v>
      </c>
      <c r="G40" s="89" t="str">
        <f ca="1"/>
        <v>SIN FECHA</v>
      </c>
    </row>
    <row r="41" spans="1:7" x14ac:dyDescent="0.3">
      <c r="A41" s="89" t="str">
        <f ca="1"/>
        <v>ALDRICH, SERGIO RUBEN</v>
      </c>
      <c r="B41" s="89" t="str">
        <f ca="1"/>
        <v>Responsabilidades del Supervisor</v>
      </c>
      <c r="C41" s="93">
        <f ca="1"/>
        <v>46163</v>
      </c>
      <c r="D41" s="89" t="str">
        <f ca="1"/>
        <v>Periódica</v>
      </c>
      <c r="E41" s="89">
        <f ca="1"/>
        <v>365</v>
      </c>
      <c r="F41" s="89">
        <f ca="1"/>
        <v>1</v>
      </c>
      <c r="G41" s="89" t="str">
        <f ca="1"/>
        <v>VIGENTE</v>
      </c>
    </row>
    <row r="42" spans="1:7" x14ac:dyDescent="0.3">
      <c r="A42" s="89" t="str">
        <f ca="1"/>
        <v>ALDRICH, SERGIO RUBEN</v>
      </c>
      <c r="B42" s="89" t="str">
        <f ca="1"/>
        <v>Espacios Confinados (Todos)</v>
      </c>
      <c r="C42" s="93" t="str">
        <f ca="1"/>
        <v/>
      </c>
      <c r="D42" s="89" t="str">
        <f ca="1"/>
        <v>Periódica</v>
      </c>
      <c r="E42" s="89">
        <f ca="1"/>
        <v>365</v>
      </c>
      <c r="F42" s="89">
        <f ca="1"/>
        <v>1</v>
      </c>
      <c r="G42" s="89" t="str">
        <f ca="1"/>
        <v>SIN FECHA</v>
      </c>
    </row>
    <row r="43" spans="1:7" x14ac:dyDescent="0.3">
      <c r="A43" s="89" t="str">
        <f ca="1"/>
        <v>ALDRICH, SERGIO RUBEN</v>
      </c>
      <c r="B43" s="89" t="str">
        <f ca="1"/>
        <v>HSMS.017 / Espacios Confinados (Entrantes)</v>
      </c>
      <c r="C43" s="93" t="str">
        <f ca="1"/>
        <v/>
      </c>
      <c r="D43" s="89" t="str">
        <f ca="1"/>
        <v>Evento</v>
      </c>
      <c r="E43" s="89">
        <f ca="1"/>
        <v>0</v>
      </c>
      <c r="F43" s="89">
        <f ca="1"/>
        <v>8</v>
      </c>
      <c r="G43" s="89" t="str">
        <f ca="1"/>
        <v>SIN FECHA</v>
      </c>
    </row>
    <row r="44" spans="1:7" x14ac:dyDescent="0.3">
      <c r="A44" s="89" t="str">
        <f ca="1"/>
        <v>ALDRICH, SERGIO RUBEN</v>
      </c>
      <c r="B44" s="89" t="str">
        <f ca="1"/>
        <v>Programa de Agua (Todos)</v>
      </c>
      <c r="C44" s="93">
        <f ca="1"/>
        <v>46134</v>
      </c>
      <c r="D44" s="89" t="str">
        <f ca="1"/>
        <v>Evento</v>
      </c>
      <c r="E44" s="89">
        <f ca="1"/>
        <v>0</v>
      </c>
      <c r="F44" s="89">
        <f ca="1"/>
        <v>1</v>
      </c>
      <c r="G44" s="89" t="str">
        <f ca="1"/>
        <v>VIGENTE</v>
      </c>
    </row>
    <row r="45" spans="1:7" x14ac:dyDescent="0.3">
      <c r="A45" s="89" t="str">
        <f ca="1"/>
        <v>ALDRICH, SERGIO RUBEN</v>
      </c>
      <c r="B45" s="89" t="str">
        <f ca="1"/>
        <v>Programa de Agua (HSE)</v>
      </c>
      <c r="C45" s="93" t="str">
        <f ca="1"/>
        <v/>
      </c>
      <c r="D45" s="89" t="str">
        <f ca="1"/>
        <v>Evento</v>
      </c>
      <c r="E45" s="89">
        <f ca="1"/>
        <v>0</v>
      </c>
      <c r="F45" s="89">
        <f ca="1"/>
        <v>1</v>
      </c>
      <c r="G45" s="89" t="str">
        <f ca="1"/>
        <v>SIN FECHA</v>
      </c>
    </row>
    <row r="46" spans="1:7" x14ac:dyDescent="0.3">
      <c r="A46" s="89" t="str">
        <f ca="1"/>
        <v>ALDRICH, SERGIO RUBEN</v>
      </c>
      <c r="B46" s="89" t="str">
        <f ca="1"/>
        <v>HIV/SIDA y otras enfermedades de transmisión sexual (ETS)</v>
      </c>
      <c r="C46" s="93" t="str">
        <f ca="1"/>
        <v/>
      </c>
      <c r="D46" s="89" t="str">
        <f ca="1"/>
        <v>Periódica</v>
      </c>
      <c r="E46" s="89">
        <f ca="1"/>
        <v>365</v>
      </c>
      <c r="F46" s="89">
        <f ca="1"/>
        <v>1</v>
      </c>
      <c r="G46" s="89" t="str">
        <f ca="1"/>
        <v>SIN FECHA</v>
      </c>
    </row>
    <row r="47" spans="1:7" x14ac:dyDescent="0.3">
      <c r="A47" s="89" t="str">
        <f ca="1"/>
        <v>ALDRICH, SERGIO RUBEN</v>
      </c>
      <c r="B47" s="89" t="str">
        <f ca="1"/>
        <v>Drogas de abuso (concientización y prevención)</v>
      </c>
      <c r="C47" s="93" t="str">
        <f ca="1"/>
        <v/>
      </c>
      <c r="D47" s="89" t="str">
        <f ca="1"/>
        <v>Periódica</v>
      </c>
      <c r="E47" s="89">
        <f ca="1"/>
        <v>365</v>
      </c>
      <c r="F47" s="89">
        <f ca="1"/>
        <v>1</v>
      </c>
      <c r="G47" s="89" t="str">
        <f ca="1"/>
        <v>SIN FECHA</v>
      </c>
    </row>
    <row r="48" spans="1:7" x14ac:dyDescent="0.3">
      <c r="A48" s="89" t="str">
        <f ca="1"/>
        <v>ALDRICH, SERGIO RUBEN</v>
      </c>
      <c r="B48" s="89" t="str">
        <f ca="1"/>
        <v>Vida saludable (hábitos, autocuidado y bienestar)</v>
      </c>
      <c r="C48" s="93" t="str">
        <f ca="1"/>
        <v/>
      </c>
      <c r="D48" s="89" t="str">
        <f ca="1"/>
        <v>Periódica</v>
      </c>
      <c r="E48" s="89">
        <f ca="1"/>
        <v>365</v>
      </c>
      <c r="F48" s="89">
        <f ca="1"/>
        <v>1</v>
      </c>
      <c r="G48" s="89" t="str">
        <f ca="1"/>
        <v>SIN FECHA</v>
      </c>
    </row>
    <row r="49" spans="1:7" x14ac:dyDescent="0.3">
      <c r="A49" s="89" t="str">
        <f ca="1"/>
        <v>ALDRICH, SERGIO RUBEN</v>
      </c>
      <c r="B49" s="89" t="str">
        <f ca="1"/>
        <v>Primeros auxilios y Reanimación Cardio Pulmonar (RCP)</v>
      </c>
      <c r="C49" s="93" t="str">
        <f ca="1"/>
        <v/>
      </c>
      <c r="D49" s="89" t="str">
        <f ca="1"/>
        <v>Periódica</v>
      </c>
      <c r="E49" s="89">
        <f ca="1"/>
        <v>365</v>
      </c>
      <c r="F49" s="89">
        <f ca="1"/>
        <v>4</v>
      </c>
      <c r="G49" s="89" t="str">
        <f ca="1"/>
        <v>SIN FECHA</v>
      </c>
    </row>
    <row r="50" spans="1:7" x14ac:dyDescent="0.3">
      <c r="A50" s="89" t="str">
        <f ca="1"/>
        <v>ALDRICH, SERGIO RUBEN</v>
      </c>
      <c r="B50" s="89" t="str">
        <f ca="1"/>
        <v>Prevención cardiovascular (factores de riesgo y señales de alarma)</v>
      </c>
      <c r="C50" s="93" t="str">
        <f ca="1"/>
        <v/>
      </c>
      <c r="D50" s="89" t="str">
        <f ca="1"/>
        <v>Periódica</v>
      </c>
      <c r="E50" s="89">
        <f ca="1"/>
        <v>365</v>
      </c>
      <c r="F50" s="89">
        <f ca="1"/>
        <v>1</v>
      </c>
      <c r="G50" s="89" t="str">
        <f ca="1"/>
        <v>SIN FECHA</v>
      </c>
    </row>
    <row r="51" spans="1:7" x14ac:dyDescent="0.3">
      <c r="A51" s="89" t="str">
        <f ca="1"/>
        <v>ALDRICH, SERGIO RUBEN</v>
      </c>
      <c r="B51" s="89" t="str">
        <f ca="1"/>
        <v>Efectos del tabaco sobre la salud</v>
      </c>
      <c r="C51" s="93" t="str">
        <f ca="1"/>
        <v/>
      </c>
      <c r="D51" s="89" t="str">
        <f ca="1"/>
        <v>Periódica</v>
      </c>
      <c r="E51" s="89">
        <f ca="1"/>
        <v>365</v>
      </c>
      <c r="F51" s="89">
        <f ca="1"/>
        <v>1</v>
      </c>
      <c r="G51" s="89" t="str">
        <f ca="1"/>
        <v>SIN FECHA</v>
      </c>
    </row>
    <row r="52" spans="1:7" x14ac:dyDescent="0.3">
      <c r="A52" s="89" t="str">
        <f ca="1"/>
        <v>ALDRICH, SERGIO RUBEN</v>
      </c>
      <c r="B52" s="89" t="str">
        <f ca="1"/>
        <v>Cargadora (Op. Montacargas)</v>
      </c>
      <c r="C52" s="93" t="str">
        <f ca="1"/>
        <v/>
      </c>
      <c r="D52" s="89" t="str">
        <f ca="1"/>
        <v>Periódica</v>
      </c>
      <c r="E52" s="89">
        <f ca="1"/>
        <v>365</v>
      </c>
      <c r="F52" s="89">
        <f ca="1"/>
        <v>8</v>
      </c>
      <c r="G52" s="89" t="str">
        <f ca="1"/>
        <v>SIN FECHA</v>
      </c>
    </row>
    <row r="53" spans="1:7" x14ac:dyDescent="0.3">
      <c r="A53" s="89" t="str">
        <f ca="1"/>
        <v>ALDRICH, SERGIO RUBEN</v>
      </c>
      <c r="B53" s="89">
        <f ca="1"/>
        <v>0</v>
      </c>
      <c r="C53" s="93" t="str">
        <f ca="1"/>
        <v/>
      </c>
      <c r="D53" s="89" t="str">
        <f ca="1"/>
        <v/>
      </c>
      <c r="E53" s="89" t="str">
        <f ca="1"/>
        <v/>
      </c>
      <c r="F53" s="89" t="str">
        <f ca="1"/>
        <v/>
      </c>
      <c r="G53" s="89" t="str">
        <f ca="1"/>
        <v>SIN FECHA</v>
      </c>
    </row>
    <row r="54" spans="1:7" x14ac:dyDescent="0.3">
      <c r="A54" s="89" t="str">
        <f ca="1"/>
        <v>ALDRICH, SERGIO RUBEN</v>
      </c>
      <c r="B54" s="89">
        <f ca="1"/>
        <v>0</v>
      </c>
      <c r="C54" s="93" t="str">
        <f ca="1"/>
        <v/>
      </c>
      <c r="D54" s="89" t="str">
        <f ca="1"/>
        <v/>
      </c>
      <c r="E54" s="89" t="str">
        <f ca="1"/>
        <v/>
      </c>
      <c r="F54" s="89" t="str">
        <f ca="1"/>
        <v/>
      </c>
      <c r="G54" s="89" t="str">
        <f ca="1"/>
        <v>SIN FECHA</v>
      </c>
    </row>
    <row r="55" spans="1:7" x14ac:dyDescent="0.3">
      <c r="A55" s="89" t="str">
        <f ca="1"/>
        <v>ALDRICH, SERGIO RUBEN</v>
      </c>
      <c r="B55" s="89">
        <f ca="1"/>
        <v>0</v>
      </c>
      <c r="C55" s="93" t="str">
        <f ca="1"/>
        <v/>
      </c>
      <c r="D55" s="89" t="str">
        <f ca="1"/>
        <v/>
      </c>
      <c r="E55" s="89" t="str">
        <f ca="1"/>
        <v/>
      </c>
      <c r="F55" s="89" t="str">
        <f ca="1"/>
        <v/>
      </c>
      <c r="G55" s="89" t="str">
        <f ca="1"/>
        <v>SIN FECHA</v>
      </c>
    </row>
    <row r="56" spans="1:7" x14ac:dyDescent="0.3">
      <c r="A56" s="89" t="str">
        <f ca="1"/>
        <v>ALDRICH, SERGIO RUBEN</v>
      </c>
      <c r="B56" s="89">
        <f ca="1"/>
        <v>0</v>
      </c>
      <c r="C56" s="93" t="str">
        <f ca="1"/>
        <v/>
      </c>
      <c r="D56" s="89" t="str">
        <f ca="1"/>
        <v/>
      </c>
      <c r="E56" s="89" t="str">
        <f ca="1"/>
        <v/>
      </c>
      <c r="F56" s="89" t="str">
        <f ca="1"/>
        <v/>
      </c>
      <c r="G56" s="89" t="str">
        <f ca="1"/>
        <v>SIN FECHA</v>
      </c>
    </row>
    <row r="57" spans="1:7" x14ac:dyDescent="0.3">
      <c r="A57" s="89" t="str">
        <f ca="1"/>
        <v>ALDRICH, SERGIO RUBEN</v>
      </c>
      <c r="B57" s="89">
        <f ca="1"/>
        <v>0</v>
      </c>
      <c r="C57" s="93" t="str">
        <f ca="1"/>
        <v/>
      </c>
      <c r="D57" s="89" t="str">
        <f ca="1"/>
        <v/>
      </c>
      <c r="E57" s="89" t="str">
        <f ca="1"/>
        <v/>
      </c>
      <c r="F57" s="89" t="str">
        <f ca="1"/>
        <v/>
      </c>
      <c r="G57" s="89" t="str">
        <f ca="1"/>
        <v>SIN FECHA</v>
      </c>
    </row>
    <row r="58" spans="1:7" x14ac:dyDescent="0.3">
      <c r="A58" s="89" t="str">
        <f ca="1"/>
        <v>ALDRICH, SERGIO RUBEN</v>
      </c>
      <c r="B58" s="89">
        <f ca="1"/>
        <v>0</v>
      </c>
      <c r="C58" s="93" t="str">
        <f ca="1"/>
        <v/>
      </c>
      <c r="D58" s="89" t="str">
        <f ca="1"/>
        <v/>
      </c>
      <c r="E58" s="89" t="str">
        <f ca="1"/>
        <v/>
      </c>
      <c r="F58" s="89" t="str">
        <f ca="1"/>
        <v/>
      </c>
      <c r="G58" s="89" t="str">
        <f ca="1"/>
        <v>SIN FECHA</v>
      </c>
    </row>
    <row r="59" spans="1:7" x14ac:dyDescent="0.3">
      <c r="A59" s="89" t="str">
        <f ca="1"/>
        <v>ALDRICH, SERGIO RUBEN</v>
      </c>
      <c r="B59" s="89">
        <f ca="1"/>
        <v>0</v>
      </c>
      <c r="C59" s="93" t="str">
        <f ca="1"/>
        <v/>
      </c>
      <c r="D59" s="89" t="str">
        <f ca="1"/>
        <v/>
      </c>
      <c r="E59" s="89" t="str">
        <f ca="1"/>
        <v/>
      </c>
      <c r="F59" s="89" t="str">
        <f ca="1"/>
        <v/>
      </c>
      <c r="G59" s="89" t="str">
        <f ca="1"/>
        <v>SIN FECHA</v>
      </c>
    </row>
    <row r="60" spans="1:7" x14ac:dyDescent="0.3">
      <c r="A60" s="89" t="str">
        <f ca="1"/>
        <v>ALDRICH, SERGIO RUBEN</v>
      </c>
      <c r="B60" s="89">
        <f ca="1"/>
        <v>0</v>
      </c>
      <c r="C60" s="93" t="str">
        <f ca="1"/>
        <v/>
      </c>
      <c r="D60" s="89" t="str">
        <f ca="1"/>
        <v/>
      </c>
      <c r="E60" s="89" t="str">
        <f ca="1"/>
        <v/>
      </c>
      <c r="F60" s="89" t="str">
        <f ca="1"/>
        <v/>
      </c>
      <c r="G60" s="89" t="str">
        <f ca="1"/>
        <v>SIN FECHA</v>
      </c>
    </row>
    <row r="61" spans="1:7" x14ac:dyDescent="0.3">
      <c r="A61" s="89" t="str">
        <f ca="1"/>
        <v>ALDRICH, SERGIO RUBEN</v>
      </c>
      <c r="B61" s="89">
        <f ca="1"/>
        <v>0</v>
      </c>
      <c r="C61" s="93" t="str">
        <f ca="1"/>
        <v/>
      </c>
      <c r="D61" s="89" t="str">
        <f ca="1"/>
        <v/>
      </c>
      <c r="E61" s="89" t="str">
        <f ca="1"/>
        <v/>
      </c>
      <c r="F61" s="89" t="str">
        <f ca="1"/>
        <v/>
      </c>
      <c r="G61" s="89" t="str">
        <f ca="1"/>
        <v>SIN FECHA</v>
      </c>
    </row>
    <row r="62" spans="1:7" x14ac:dyDescent="0.3">
      <c r="A62" s="89" t="str">
        <f ca="1"/>
        <v>ALVARADO, JOSE RAMON</v>
      </c>
      <c r="B62" s="89" t="str">
        <f ca="1"/>
        <v>Programa de Aire</v>
      </c>
      <c r="C62" s="93" t="str">
        <f ca="1"/>
        <v/>
      </c>
      <c r="D62" s="89" t="str">
        <f ca="1"/>
        <v>Evento</v>
      </c>
      <c r="E62" s="89">
        <f ca="1"/>
        <v>0</v>
      </c>
      <c r="F62" s="89">
        <f ca="1"/>
        <v>1</v>
      </c>
      <c r="G62" s="89" t="str">
        <f ca="1"/>
        <v>SIN FECHA</v>
      </c>
    </row>
    <row r="63" spans="1:7" x14ac:dyDescent="0.3">
      <c r="A63" s="89" t="str">
        <f ca="1"/>
        <v>ALVARADO, JOSE RAMON</v>
      </c>
      <c r="B63" s="89" t="str">
        <f ca="1"/>
        <v>Conciencia Ambiental</v>
      </c>
      <c r="C63" s="93">
        <f ca="1"/>
        <v>46162</v>
      </c>
      <c r="D63" s="89" t="str">
        <f ca="1"/>
        <v>Periódica</v>
      </c>
      <c r="E63" s="89">
        <f ca="1"/>
        <v>365</v>
      </c>
      <c r="F63" s="89">
        <f ca="1"/>
        <v>1</v>
      </c>
      <c r="G63" s="89" t="str">
        <f ca="1"/>
        <v>VIGENTE</v>
      </c>
    </row>
    <row r="64" spans="1:7" x14ac:dyDescent="0.3">
      <c r="A64" s="89" t="str">
        <f ca="1"/>
        <v>ALVARADO, JOSE RAMON</v>
      </c>
      <c r="B64" s="89" t="str">
        <f ca="1"/>
        <v xml:space="preserve">Control de Documentos e Informacion de HSE </v>
      </c>
      <c r="C64" s="93" t="str">
        <f ca="1"/>
        <v/>
      </c>
      <c r="D64" s="89" t="str">
        <f ca="1"/>
        <v>Evento</v>
      </c>
      <c r="E64" s="89">
        <f ca="1"/>
        <v>0</v>
      </c>
      <c r="F64" s="89">
        <f ca="1"/>
        <v>1</v>
      </c>
      <c r="G64" s="89" t="str">
        <f ca="1"/>
        <v>SIN FECHA</v>
      </c>
    </row>
    <row r="65" spans="1:7" x14ac:dyDescent="0.3">
      <c r="A65" s="89" t="str">
        <f ca="1"/>
        <v>ALVARADO, JOSE RAMON</v>
      </c>
      <c r="B65" s="89" t="str">
        <f ca="1"/>
        <v xml:space="preserve"> Acciones Correctivas y Preventivas (CAPA)</v>
      </c>
      <c r="C65" s="93" t="str">
        <f ca="1"/>
        <v/>
      </c>
      <c r="D65" s="89" t="str">
        <f ca="1"/>
        <v>Evento</v>
      </c>
      <c r="E65" s="89">
        <f ca="1"/>
        <v>0</v>
      </c>
      <c r="F65" s="89">
        <f ca="1"/>
        <v>1</v>
      </c>
      <c r="G65" s="89" t="str">
        <f ca="1"/>
        <v>SIN FECHA</v>
      </c>
    </row>
    <row r="66" spans="1:7" x14ac:dyDescent="0.3">
      <c r="A66" s="89" t="str">
        <f ca="1"/>
        <v>ALVARADO, JOSE RAMON</v>
      </c>
      <c r="B66" s="89" t="str">
        <f ca="1"/>
        <v>Seguridad Basada en el Comportamiento (Observation Program) // HSMS.043 / Autoridad de Detener el Trabajo</v>
      </c>
      <c r="C66" s="93">
        <f ca="1"/>
        <v>45838</v>
      </c>
      <c r="D66" s="89" t="str">
        <f ca="1"/>
        <v>Periódica</v>
      </c>
      <c r="E66" s="89">
        <f ca="1"/>
        <v>365</v>
      </c>
      <c r="F66" s="89">
        <f ca="1"/>
        <v>1</v>
      </c>
      <c r="G66" s="89" t="str">
        <f ca="1"/>
        <v>VENCIDA</v>
      </c>
    </row>
    <row r="67" spans="1:7" x14ac:dyDescent="0.3">
      <c r="A67" s="89" t="str">
        <f ca="1"/>
        <v>ALVARADO, JOSE RAMON</v>
      </c>
      <c r="B67" s="89" t="str">
        <f ca="1"/>
        <v>Identificacion de Peligros y Evaluacion de Riesgos</v>
      </c>
      <c r="C67" s="93">
        <f ca="1"/>
        <v>46009</v>
      </c>
      <c r="D67" s="89" t="str">
        <f ca="1"/>
        <v>Evento</v>
      </c>
      <c r="E67" s="89">
        <f ca="1"/>
        <v>0</v>
      </c>
      <c r="F67" s="89">
        <f ca="1"/>
        <v>1</v>
      </c>
      <c r="G67" s="89" t="str">
        <f ca="1"/>
        <v>VIGENTE</v>
      </c>
    </row>
    <row r="68" spans="1:7" x14ac:dyDescent="0.3">
      <c r="A68" s="89" t="str">
        <f ca="1"/>
        <v>ALVARADO, JOSE RAMON</v>
      </c>
      <c r="B68" s="89" t="str">
        <f ca="1"/>
        <v xml:space="preserve"> Plan de Respuesta ante Eemergencias / HSMS.010 /Primeros Axulios &amp; RCP/DEA / HSMSWT-002 / Patogenos Trasnmitidos por la Sangre</v>
      </c>
      <c r="C68" s="93" t="str">
        <f ca="1"/>
        <v/>
      </c>
      <c r="D68" s="89" t="str">
        <f ca="1"/>
        <v>Periódica</v>
      </c>
      <c r="E68" s="89">
        <f ca="1"/>
        <v>365</v>
      </c>
      <c r="F68" s="89">
        <f ca="1"/>
        <v>1</v>
      </c>
      <c r="G68" s="89" t="str">
        <f ca="1"/>
        <v>SIN FECHA</v>
      </c>
    </row>
    <row r="69" spans="1:7" x14ac:dyDescent="0.3">
      <c r="A69" s="89" t="str">
        <f ca="1"/>
        <v>ALVARADO, JOSE RAMON</v>
      </c>
      <c r="B69" s="89" t="str">
        <f ca="1"/>
        <v>Reporte y Gestion de Incidentes HSE (Todos)</v>
      </c>
      <c r="C69" s="93">
        <f ca="1"/>
        <v>46009</v>
      </c>
      <c r="D69" s="89" t="str">
        <f ca="1"/>
        <v>Periódica</v>
      </c>
      <c r="E69" s="89">
        <f ca="1"/>
        <v>365</v>
      </c>
      <c r="F69" s="89">
        <f ca="1"/>
        <v>1</v>
      </c>
      <c r="G69" s="89" t="str">
        <f ca="1"/>
        <v>VIGENTE</v>
      </c>
    </row>
    <row r="70" spans="1:7" x14ac:dyDescent="0.3">
      <c r="A70" s="89" t="str">
        <f ca="1"/>
        <v>ALVARADO, JOSE RAMON</v>
      </c>
      <c r="B70" s="89" t="str">
        <f ca="1"/>
        <v>Reporte, Gestion e Investigacion de Incidentes HSE (supervisores / investigadores (rol))</v>
      </c>
      <c r="C70" s="93" t="str">
        <f ca="1"/>
        <v/>
      </c>
      <c r="D70" s="89" t="str">
        <f ca="1"/>
        <v>Periódica</v>
      </c>
      <c r="E70" s="89">
        <f ca="1"/>
        <v>1095</v>
      </c>
      <c r="F70" s="89">
        <f ca="1"/>
        <v>2</v>
      </c>
      <c r="G70" s="89" t="str">
        <f ca="1"/>
        <v>SIN FECHA</v>
      </c>
    </row>
    <row r="71" spans="1:7" x14ac:dyDescent="0.3">
      <c r="A71" s="89" t="str">
        <f ca="1"/>
        <v>ALVARADO, JOSE RAMON</v>
      </c>
      <c r="B71" s="89" t="str">
        <f ca="1"/>
        <v>Gruas y Equipos de Izaje (Todos)</v>
      </c>
      <c r="C71" s="93" t="str">
        <f ca="1"/>
        <v/>
      </c>
      <c r="D71" s="89" t="str">
        <f ca="1"/>
        <v>Periódica</v>
      </c>
      <c r="E71" s="89">
        <f ca="1"/>
        <v>365</v>
      </c>
      <c r="F71" s="89">
        <f ca="1"/>
        <v>2</v>
      </c>
      <c r="G71" s="89" t="str">
        <f ca="1"/>
        <v>SIN FECHA</v>
      </c>
    </row>
    <row r="72" spans="1:7" x14ac:dyDescent="0.3">
      <c r="A72" s="89" t="str">
        <f ca="1"/>
        <v>ALVARADO, JOSE RAMON</v>
      </c>
      <c r="B72" s="89" t="str">
        <f ca="1"/>
        <v>HSMS.007 / Gruas y Equipos de Izaje (Operadores)</v>
      </c>
      <c r="C72" s="93">
        <f ca="1"/>
        <v>46140</v>
      </c>
      <c r="D72" s="89" t="str">
        <f ca="1"/>
        <v>Periódica</v>
      </c>
      <c r="E72" s="89">
        <f ca="1"/>
        <v>365</v>
      </c>
      <c r="F72" s="89">
        <f ca="1"/>
        <v>8</v>
      </c>
      <c r="G72" s="89" t="str">
        <f ca="1"/>
        <v>VIGENTE</v>
      </c>
    </row>
    <row r="73" spans="1:7" x14ac:dyDescent="0.3">
      <c r="A73" s="89" t="str">
        <f ca="1"/>
        <v>ALVARADO, JOSE RAMON</v>
      </c>
      <c r="B73" s="89" t="str">
        <f ca="1"/>
        <v>Proteccion Contra Incendios (Todos)</v>
      </c>
      <c r="C73" s="93">
        <f ca="1"/>
        <v>46014</v>
      </c>
      <c r="D73" s="89" t="str">
        <f ca="1"/>
        <v>Periódica</v>
      </c>
      <c r="E73" s="89">
        <f ca="1"/>
        <v>365</v>
      </c>
      <c r="F73" s="89">
        <f ca="1"/>
        <v>1</v>
      </c>
      <c r="G73" s="89" t="str">
        <f ca="1"/>
        <v>VIGENTE</v>
      </c>
    </row>
    <row r="74" spans="1:7" x14ac:dyDescent="0.3">
      <c r="A74" s="89" t="str">
        <f ca="1"/>
        <v>ALVARADO, JOSE RAMON</v>
      </c>
      <c r="B74" s="89" t="str">
        <f ca="1"/>
        <v>Proteccion Contra Incendios (Brigadistas)</v>
      </c>
      <c r="C74" s="93" t="str">
        <f ca="1"/>
        <v/>
      </c>
      <c r="D74" s="89" t="str">
        <f ca="1"/>
        <v>Periódica</v>
      </c>
      <c r="E74" s="89">
        <f ca="1"/>
        <v>365</v>
      </c>
      <c r="F74" s="89">
        <f ca="1"/>
        <v>2</v>
      </c>
      <c r="G74" s="89" t="str">
        <f ca="1"/>
        <v>SIN FECHA</v>
      </c>
    </row>
    <row r="75" spans="1:7" x14ac:dyDescent="0.3">
      <c r="A75" s="89" t="str">
        <f ca="1"/>
        <v>ALVARADO, JOSE RAMON</v>
      </c>
      <c r="B75" s="89" t="str">
        <f ca="1"/>
        <v>Primeros Auxilios (Brigadistas)</v>
      </c>
      <c r="C75" s="93" t="str">
        <f ca="1"/>
        <v/>
      </c>
      <c r="D75" s="89" t="str">
        <f ca="1"/>
        <v>Periódica</v>
      </c>
      <c r="E75" s="89">
        <f ca="1"/>
        <v>365</v>
      </c>
      <c r="F75" s="89">
        <f ca="1"/>
        <v>2</v>
      </c>
      <c r="G75" s="89" t="str">
        <f ca="1"/>
        <v>SIN FECHA</v>
      </c>
    </row>
    <row r="76" spans="1:7" x14ac:dyDescent="0.3">
      <c r="A76" s="89" t="str">
        <f ca="1"/>
        <v>ALVARADO, JOSE RAMON</v>
      </c>
      <c r="B76" s="89" t="str">
        <f ca="1"/>
        <v>Seguridad Electrica (Todos)</v>
      </c>
      <c r="C76" s="93" t="str">
        <f ca="1"/>
        <v/>
      </c>
      <c r="D76" s="89" t="str">
        <f ca="1"/>
        <v>Periódica</v>
      </c>
      <c r="E76" s="89">
        <f ca="1"/>
        <v>365</v>
      </c>
      <c r="F76" s="89">
        <f ca="1"/>
        <v>1</v>
      </c>
      <c r="G76" s="89" t="str">
        <f ca="1"/>
        <v>SIN FECHA</v>
      </c>
    </row>
    <row r="77" spans="1:7" x14ac:dyDescent="0.3">
      <c r="A77" s="89" t="str">
        <f ca="1"/>
        <v>ALVARADO, JOSE RAMON</v>
      </c>
      <c r="B77" s="89" t="str">
        <f ca="1"/>
        <v>Seguridad Electrica (Personal Autorizado)</v>
      </c>
      <c r="C77" s="93" t="str">
        <f ca="1"/>
        <v/>
      </c>
      <c r="D77" s="89" t="str">
        <f ca="1"/>
        <v>Periódica</v>
      </c>
      <c r="E77" s="89">
        <f ca="1"/>
        <v>1095</v>
      </c>
      <c r="F77" s="89">
        <f ca="1"/>
        <v>4</v>
      </c>
      <c r="G77" s="89" t="str">
        <f ca="1"/>
        <v>SIN FECHA</v>
      </c>
    </row>
    <row r="78" spans="1:7" x14ac:dyDescent="0.3">
      <c r="A78" s="89" t="str">
        <f ca="1"/>
        <v>ALVARADO, JOSE RAMON</v>
      </c>
      <c r="B78" s="89" t="str">
        <f ca="1"/>
        <v>Camiones Industriales Motorizados (PIT) (Todos)</v>
      </c>
      <c r="C78" s="93" t="str">
        <f ca="1"/>
        <v/>
      </c>
      <c r="D78" s="89" t="str">
        <f ca="1"/>
        <v>Periódica</v>
      </c>
      <c r="E78" s="89">
        <f ca="1"/>
        <v>365</v>
      </c>
      <c r="F78" s="89">
        <f ca="1"/>
        <v>1</v>
      </c>
      <c r="G78" s="89" t="str">
        <f ca="1"/>
        <v>SIN FECHA</v>
      </c>
    </row>
    <row r="79" spans="1:7" x14ac:dyDescent="0.3">
      <c r="A79" s="89" t="str">
        <f ca="1"/>
        <v>ALVARADO, JOSE RAMON</v>
      </c>
      <c r="B79" s="89" t="str">
        <f ca="1"/>
        <v>Camiones Industriales Motorizados (PIT) (Op. Montacargas)</v>
      </c>
      <c r="C79" s="93" t="str">
        <f ca="1"/>
        <v/>
      </c>
      <c r="D79" s="89" t="str">
        <f ca="1"/>
        <v>Periódica</v>
      </c>
      <c r="E79" s="89">
        <f ca="1"/>
        <v>365</v>
      </c>
      <c r="F79" s="89">
        <f ca="1"/>
        <v>8</v>
      </c>
      <c r="G79" s="89" t="str">
        <f ca="1"/>
        <v>SIN FECHA</v>
      </c>
    </row>
    <row r="80" spans="1:7" x14ac:dyDescent="0.3">
      <c r="A80" s="89" t="str">
        <f ca="1"/>
        <v>ALVARADO, JOSE RAMON</v>
      </c>
      <c r="B80" s="89" t="str">
        <f ca="1"/>
        <v>Control de Energias Peligrosas (LOTO) (Todos)</v>
      </c>
      <c r="C80" s="93">
        <f ca="1"/>
        <v>45838</v>
      </c>
      <c r="D80" s="89" t="str">
        <f ca="1"/>
        <v>Evento</v>
      </c>
      <c r="E80" s="89">
        <f ca="1"/>
        <v>0</v>
      </c>
      <c r="F80" s="89">
        <f ca="1"/>
        <v>1</v>
      </c>
      <c r="G80" s="89" t="str">
        <f ca="1"/>
        <v>VIGENTE</v>
      </c>
    </row>
    <row r="81" spans="1:7" x14ac:dyDescent="0.3">
      <c r="A81" s="89" t="str">
        <f ca="1"/>
        <v>ALVARADO, JOSE RAMON</v>
      </c>
      <c r="B81" s="89" t="str">
        <f ca="1"/>
        <v>Control de Energias Peligrosas (LOTO) (Empleados Autorizados)</v>
      </c>
      <c r="C81" s="93">
        <f ca="1"/>
        <v>46162</v>
      </c>
      <c r="D81" s="89" t="str">
        <f ca="1"/>
        <v>Periódica</v>
      </c>
      <c r="E81" s="89">
        <f ca="1"/>
        <v>365</v>
      </c>
      <c r="F81" s="89">
        <f ca="1"/>
        <v>2</v>
      </c>
      <c r="G81" s="89" t="str">
        <f ca="1"/>
        <v>VIGENTE</v>
      </c>
    </row>
    <row r="82" spans="1:7" x14ac:dyDescent="0.3">
      <c r="A82" s="89" t="str">
        <f ca="1"/>
        <v>ALVARADO, JOSE RAMON</v>
      </c>
      <c r="B82" s="89" t="str">
        <f ca="1"/>
        <v>Seguridad aplicada al Pozo &amp; Yacimiento</v>
      </c>
      <c r="C82" s="93" t="str">
        <f ca="1"/>
        <v/>
      </c>
      <c r="D82" s="89" t="str">
        <f ca="1"/>
        <v>Periódica</v>
      </c>
      <c r="E82" s="89">
        <f ca="1"/>
        <v>365</v>
      </c>
      <c r="F82" s="89">
        <f ca="1"/>
        <v>1</v>
      </c>
      <c r="G82" s="89" t="str">
        <f ca="1"/>
        <v>SIN FECHA</v>
      </c>
    </row>
    <row r="83" spans="1:7" x14ac:dyDescent="0.3">
      <c r="A83" s="89" t="str">
        <f ca="1"/>
        <v>ALVARADO, JOSE RAMON</v>
      </c>
      <c r="B83" s="89" t="str">
        <f ca="1"/>
        <v>Las Reglas que Salvan Vidas</v>
      </c>
      <c r="C83" s="93" t="str">
        <f ca="1"/>
        <v/>
      </c>
      <c r="D83" s="89" t="str">
        <f ca="1"/>
        <v>Periódica</v>
      </c>
      <c r="E83" s="89">
        <f ca="1"/>
        <v>365</v>
      </c>
      <c r="F83" s="89">
        <f ca="1"/>
        <v>1</v>
      </c>
      <c r="G83" s="89" t="str">
        <f ca="1"/>
        <v>SIN FECHA</v>
      </c>
    </row>
    <row r="84" spans="1:7" x14ac:dyDescent="0.3">
      <c r="A84" s="89" t="str">
        <f ca="1"/>
        <v>ALVARADO, JOSE RAMON</v>
      </c>
      <c r="B84" s="89" t="str">
        <f ca="1"/>
        <v xml:space="preserve">Resguardo de Maquinas &amp; Equipos </v>
      </c>
      <c r="C84" s="93" t="str">
        <f ca="1"/>
        <v/>
      </c>
      <c r="D84" s="89" t="str">
        <f ca="1"/>
        <v>Periódica</v>
      </c>
      <c r="E84" s="89">
        <f ca="1"/>
        <v>365</v>
      </c>
      <c r="F84" s="89">
        <f ca="1"/>
        <v>1</v>
      </c>
      <c r="G84" s="89" t="str">
        <f ca="1"/>
        <v>SIN FECHA</v>
      </c>
    </row>
    <row r="85" spans="1:7" x14ac:dyDescent="0.3">
      <c r="A85" s="89" t="str">
        <f ca="1"/>
        <v>ALVARADO, JOSE RAMON</v>
      </c>
      <c r="B85" s="89" t="str">
        <f ca="1"/>
        <v>Conduccion y Gestion de Viajes (Todos)</v>
      </c>
      <c r="C85" s="93">
        <f ca="1"/>
        <v>45770</v>
      </c>
      <c r="D85" s="89" t="str">
        <f ca="1"/>
        <v>Periódica</v>
      </c>
      <c r="E85" s="89">
        <f ca="1"/>
        <v>730</v>
      </c>
      <c r="F85" s="89">
        <f ca="1"/>
        <v>1</v>
      </c>
      <c r="G85" s="89" t="str">
        <f ca="1"/>
        <v>VIGENTE</v>
      </c>
    </row>
    <row r="86" spans="1:7" x14ac:dyDescent="0.3">
      <c r="A86" s="89" t="str">
        <f ca="1"/>
        <v>ALVARADO, JOSE RAMON</v>
      </c>
      <c r="B86" s="89" t="str">
        <f ca="1"/>
        <v>Conduccion y Gestion de Viajes (Conductores)</v>
      </c>
      <c r="C86" s="93">
        <f ca="1"/>
        <v>46743</v>
      </c>
      <c r="D86" s="89" t="str">
        <f ca="1"/>
        <v>Periódica</v>
      </c>
      <c r="E86" s="89">
        <f ca="1"/>
        <v>1095</v>
      </c>
      <c r="F86" s="89">
        <f ca="1"/>
        <v>5</v>
      </c>
      <c r="G86" s="89" t="str">
        <f ca="1"/>
        <v>VIGENTE</v>
      </c>
    </row>
    <row r="87" spans="1:7" x14ac:dyDescent="0.3">
      <c r="A87" s="89" t="str">
        <f ca="1"/>
        <v>ALVARADO, JOSE RAMON</v>
      </c>
      <c r="B87" s="89" t="str">
        <f ca="1"/>
        <v>Patogenos Transmitidos por la Sangre</v>
      </c>
      <c r="C87" s="93" t="str">
        <f ca="1"/>
        <v/>
      </c>
      <c r="D87" s="89" t="str">
        <f ca="1"/>
        <v>Periódica</v>
      </c>
      <c r="E87" s="89">
        <f ca="1"/>
        <v>365</v>
      </c>
      <c r="F87" s="89">
        <f ca="1"/>
        <v>1</v>
      </c>
      <c r="G87" s="89" t="str">
        <f ca="1"/>
        <v>SIN FECHA</v>
      </c>
    </row>
    <row r="88" spans="1:7" x14ac:dyDescent="0.3">
      <c r="A88" s="89" t="str">
        <f ca="1"/>
        <v>ALVARADO, JOSE RAMON</v>
      </c>
      <c r="B88" s="89" t="str">
        <f ca="1"/>
        <v>Conservacion Auditiva</v>
      </c>
      <c r="C88" s="93" t="str">
        <f ca="1"/>
        <v/>
      </c>
      <c r="D88" s="89" t="str">
        <f ca="1"/>
        <v>Periódica</v>
      </c>
      <c r="E88" s="89">
        <f ca="1"/>
        <v>365</v>
      </c>
      <c r="F88" s="89">
        <f ca="1"/>
        <v>1</v>
      </c>
      <c r="G88" s="89" t="str">
        <f ca="1"/>
        <v>SIN FECHA</v>
      </c>
    </row>
    <row r="89" spans="1:7" x14ac:dyDescent="0.3">
      <c r="A89" s="89" t="str">
        <f ca="1"/>
        <v>ALVARADO, JOSE RAMON</v>
      </c>
      <c r="B89" s="89" t="str">
        <f ca="1"/>
        <v xml:space="preserve">Ergonomia //  / Levantamiento &amp; Seguridad en la Espalda </v>
      </c>
      <c r="C89" s="93">
        <f ca="1"/>
        <v>46009</v>
      </c>
      <c r="D89" s="89" t="str">
        <f ca="1"/>
        <v>Periódica</v>
      </c>
      <c r="E89" s="89">
        <f ca="1"/>
        <v>365</v>
      </c>
      <c r="F89" s="89">
        <f ca="1"/>
        <v>1</v>
      </c>
      <c r="G89" s="89" t="str">
        <f ca="1"/>
        <v>VIGENTE</v>
      </c>
    </row>
    <row r="90" spans="1:7" x14ac:dyDescent="0.3">
      <c r="A90" s="89" t="str">
        <f ca="1"/>
        <v>ALVARADO, JOSE RAMON</v>
      </c>
      <c r="B90" s="89" t="str">
        <f ca="1"/>
        <v>Superficies Elevadas (Todos)</v>
      </c>
      <c r="C90" s="93">
        <f ca="1"/>
        <v>46014</v>
      </c>
      <c r="D90" s="89" t="str">
        <f ca="1"/>
        <v>Periódica</v>
      </c>
      <c r="E90" s="89">
        <f ca="1"/>
        <v>365</v>
      </c>
      <c r="F90" s="89">
        <f ca="1"/>
        <v>1</v>
      </c>
      <c r="G90" s="89" t="str">
        <f ca="1"/>
        <v>VIGENTE</v>
      </c>
    </row>
    <row r="91" spans="1:7" x14ac:dyDescent="0.3">
      <c r="A91" s="89" t="str">
        <f ca="1"/>
        <v>ALVARADO, JOSE RAMON</v>
      </c>
      <c r="B91" s="89" t="str">
        <f ca="1"/>
        <v>Superficies Elevadas (Personal Habilitado)</v>
      </c>
      <c r="C91" s="93" t="str">
        <f ca="1"/>
        <v/>
      </c>
      <c r="D91" s="89" t="str">
        <f ca="1"/>
        <v>Periódica</v>
      </c>
      <c r="E91" s="89">
        <f ca="1"/>
        <v>365</v>
      </c>
      <c r="F91" s="89">
        <f ca="1"/>
        <v>8</v>
      </c>
      <c r="G91" s="89" t="str">
        <f ca="1"/>
        <v>SIN FECHA</v>
      </c>
    </row>
    <row r="92" spans="1:7" x14ac:dyDescent="0.3">
      <c r="A92" s="89" t="str">
        <f ca="1"/>
        <v>ALVARADO, JOSE RAMON</v>
      </c>
      <c r="B92" s="89" t="str">
        <f ca="1"/>
        <v>Seguridad Quimica (Todos)</v>
      </c>
      <c r="C92" s="93">
        <f ca="1"/>
        <v>46014</v>
      </c>
      <c r="D92" s="89" t="str">
        <f ca="1"/>
        <v>Periódica</v>
      </c>
      <c r="E92" s="89">
        <f ca="1"/>
        <v>730</v>
      </c>
      <c r="F92" s="89">
        <f ca="1"/>
        <v>1</v>
      </c>
      <c r="G92" s="89" t="str">
        <f ca="1"/>
        <v>VIGENTE</v>
      </c>
    </row>
    <row r="93" spans="1:7" x14ac:dyDescent="0.3">
      <c r="A93" s="89" t="str">
        <f ca="1"/>
        <v>ALVARADO, JOSE RAMON</v>
      </c>
      <c r="B93" s="89" t="str">
        <f ca="1"/>
        <v>Seguridad Quimica (Mantenimiento)</v>
      </c>
      <c r="C93" s="93" t="str">
        <f ca="1"/>
        <v/>
      </c>
      <c r="D93" s="89" t="str">
        <f ca="1"/>
        <v>Periódica</v>
      </c>
      <c r="E93" s="89">
        <f ca="1"/>
        <v>365</v>
      </c>
      <c r="F93" s="89">
        <f ca="1"/>
        <v>1</v>
      </c>
      <c r="G93" s="89" t="str">
        <f ca="1"/>
        <v>SIN FECHA</v>
      </c>
    </row>
    <row r="94" spans="1:7" x14ac:dyDescent="0.3">
      <c r="A94" s="89" t="str">
        <f ca="1"/>
        <v>ALVARADO, JOSE RAMON</v>
      </c>
      <c r="B94" s="89" t="str">
        <f ca="1"/>
        <v>Seguridad Quimica (Contratistas)</v>
      </c>
      <c r="C94" s="93" t="str">
        <f ca="1"/>
        <v/>
      </c>
      <c r="D94" s="89" t="str">
        <f ca="1"/>
        <v>Periódica</v>
      </c>
      <c r="E94" s="89">
        <f ca="1"/>
        <v>365</v>
      </c>
      <c r="F94" s="89">
        <f ca="1"/>
        <v>1</v>
      </c>
      <c r="G94" s="89" t="str">
        <f ca="1"/>
        <v>SIN FECHA</v>
      </c>
    </row>
    <row r="95" spans="1:7" x14ac:dyDescent="0.3">
      <c r="A95" s="89" t="str">
        <f ca="1"/>
        <v>ALVARADO, JOSE RAMON</v>
      </c>
      <c r="B95" s="89" t="str">
        <f ca="1"/>
        <v>Seguridad para Trabajos en Caliente</v>
      </c>
      <c r="C95" s="93">
        <f ca="1"/>
        <v>46014</v>
      </c>
      <c r="D95" s="89" t="str">
        <f ca="1"/>
        <v>Periódica</v>
      </c>
      <c r="E95" s="89">
        <f ca="1"/>
        <v>365</v>
      </c>
      <c r="F95" s="89">
        <f ca="1"/>
        <v>1</v>
      </c>
      <c r="G95" s="89" t="str">
        <f ca="1"/>
        <v>VIGENTE</v>
      </c>
    </row>
    <row r="96" spans="1:7" x14ac:dyDescent="0.3">
      <c r="A96" s="89" t="str">
        <f ca="1"/>
        <v>ALVARADO, JOSE RAMON</v>
      </c>
      <c r="B96" s="89" t="str">
        <f ca="1"/>
        <v>Seguridad con la Radiacion</v>
      </c>
      <c r="C96" s="93" t="str">
        <f ca="1"/>
        <v/>
      </c>
      <c r="D96" s="89" t="str">
        <f ca="1"/>
        <v>Periódica</v>
      </c>
      <c r="E96" s="89">
        <f ca="1"/>
        <v>365</v>
      </c>
      <c r="F96" s="89">
        <f ca="1"/>
        <v>2</v>
      </c>
      <c r="G96" s="89" t="str">
        <f ca="1"/>
        <v>SIN FECHA</v>
      </c>
    </row>
    <row r="97" spans="1:7" x14ac:dyDescent="0.3">
      <c r="A97" s="89" t="str">
        <f ca="1"/>
        <v>ALVARADO, JOSE RAMON</v>
      </c>
      <c r="B97" s="89" t="str">
        <f ca="1"/>
        <v>Equipo de Proteccion Personal (PPE)</v>
      </c>
      <c r="C97" s="93">
        <f ca="1"/>
        <v>46014</v>
      </c>
      <c r="D97" s="89" t="str">
        <f ca="1"/>
        <v>Periódica</v>
      </c>
      <c r="E97" s="89">
        <f ca="1"/>
        <v>365</v>
      </c>
      <c r="F97" s="89">
        <f ca="1"/>
        <v>1</v>
      </c>
      <c r="G97" s="89" t="str">
        <f ca="1"/>
        <v>VIGENTE</v>
      </c>
    </row>
    <row r="98" spans="1:7" x14ac:dyDescent="0.3">
      <c r="A98" s="89" t="str">
        <f ca="1"/>
        <v>ALVARADO, JOSE RAMON</v>
      </c>
      <c r="B98" s="89" t="str">
        <f ca="1"/>
        <v>Proteccion Respiratoria</v>
      </c>
      <c r="C98" s="93" t="str">
        <f ca="1"/>
        <v/>
      </c>
      <c r="D98" s="89" t="str">
        <f ca="1"/>
        <v>Periódica</v>
      </c>
      <c r="E98" s="89">
        <f ca="1"/>
        <v>365</v>
      </c>
      <c r="F98" s="89">
        <f ca="1"/>
        <v>1</v>
      </c>
      <c r="G98" s="89" t="str">
        <f ca="1"/>
        <v>SIN FECHA</v>
      </c>
    </row>
    <row r="99" spans="1:7" x14ac:dyDescent="0.3">
      <c r="A99" s="89" t="str">
        <f ca="1"/>
        <v>ALVARADO, JOSE RAMON</v>
      </c>
      <c r="B99" s="89" t="str">
        <f ca="1"/>
        <v xml:space="preserve">Seguridad con Escaleras </v>
      </c>
      <c r="C99" s="93">
        <f ca="1"/>
        <v>46014</v>
      </c>
      <c r="D99" s="89" t="str">
        <f ca="1"/>
        <v>Periódica</v>
      </c>
      <c r="E99" s="89">
        <f ca="1"/>
        <v>365</v>
      </c>
      <c r="F99" s="89">
        <f ca="1"/>
        <v>1</v>
      </c>
      <c r="G99" s="89" t="str">
        <f ca="1"/>
        <v>VIGENTE</v>
      </c>
    </row>
    <row r="100" spans="1:7" x14ac:dyDescent="0.3">
      <c r="A100" s="89" t="str">
        <f ca="1"/>
        <v>ALVARADO, JOSE RAMON</v>
      </c>
      <c r="B100" s="89" t="str">
        <f ca="1"/>
        <v>Seguridad con Escaleras // Estantes de Almacenamiento</v>
      </c>
      <c r="C100" s="93" t="str">
        <f ca="1"/>
        <v/>
      </c>
      <c r="D100" s="89" t="str">
        <f ca="1"/>
        <v>Periódica</v>
      </c>
      <c r="E100" s="89">
        <f ca="1"/>
        <v>365</v>
      </c>
      <c r="F100" s="89">
        <f ca="1"/>
        <v>1</v>
      </c>
      <c r="G100" s="89" t="str">
        <f ca="1"/>
        <v>SIN FECHA</v>
      </c>
    </row>
    <row r="101" spans="1:7" x14ac:dyDescent="0.3">
      <c r="A101" s="89" t="str">
        <f ca="1"/>
        <v>ALVARADO, JOSE RAMON</v>
      </c>
      <c r="B101" s="89" t="str">
        <f ca="1"/>
        <v>Responsabilidades del Supervisor</v>
      </c>
      <c r="C101" s="93" t="str">
        <f ca="1"/>
        <v/>
      </c>
      <c r="D101" s="89" t="str">
        <f ca="1"/>
        <v>Periódica</v>
      </c>
      <c r="E101" s="89">
        <f ca="1"/>
        <v>365</v>
      </c>
      <c r="F101" s="89">
        <f ca="1"/>
        <v>1</v>
      </c>
      <c r="G101" s="89" t="str">
        <f ca="1"/>
        <v>SIN FECHA</v>
      </c>
    </row>
    <row r="102" spans="1:7" x14ac:dyDescent="0.3">
      <c r="A102" s="89" t="str">
        <f ca="1"/>
        <v>ALVARADO, JOSE RAMON</v>
      </c>
      <c r="B102" s="89" t="str">
        <f ca="1"/>
        <v>Espacios Confinados (Todos)</v>
      </c>
      <c r="C102" s="93" t="str">
        <f ca="1"/>
        <v/>
      </c>
      <c r="D102" s="89" t="str">
        <f ca="1"/>
        <v>Periódica</v>
      </c>
      <c r="E102" s="89">
        <f ca="1"/>
        <v>365</v>
      </c>
      <c r="F102" s="89">
        <f ca="1"/>
        <v>1</v>
      </c>
      <c r="G102" s="89" t="str">
        <f ca="1"/>
        <v>SIN FECHA</v>
      </c>
    </row>
    <row r="103" spans="1:7" x14ac:dyDescent="0.3">
      <c r="A103" s="89" t="str">
        <f ca="1"/>
        <v>ALVARADO, JOSE RAMON</v>
      </c>
      <c r="B103" s="89" t="str">
        <f ca="1"/>
        <v>HSMS.017 / Espacios Confinados (Entrantes)</v>
      </c>
      <c r="C103" s="93" t="str">
        <f ca="1"/>
        <v/>
      </c>
      <c r="D103" s="89" t="str">
        <f ca="1"/>
        <v>Evento</v>
      </c>
      <c r="E103" s="89">
        <f ca="1"/>
        <v>0</v>
      </c>
      <c r="F103" s="89">
        <f ca="1"/>
        <v>8</v>
      </c>
      <c r="G103" s="89" t="str">
        <f ca="1"/>
        <v>SIN FECHA</v>
      </c>
    </row>
    <row r="104" spans="1:7" x14ac:dyDescent="0.3">
      <c r="A104" s="89" t="str">
        <f ca="1"/>
        <v>ALVARADO, JOSE RAMON</v>
      </c>
      <c r="B104" s="89" t="str">
        <f ca="1"/>
        <v>Programa de Agua (Todos)</v>
      </c>
      <c r="C104" s="93" t="str">
        <f ca="1"/>
        <v/>
      </c>
      <c r="D104" s="89" t="str">
        <f ca="1"/>
        <v>Evento</v>
      </c>
      <c r="E104" s="89">
        <f ca="1"/>
        <v>0</v>
      </c>
      <c r="F104" s="89">
        <f ca="1"/>
        <v>1</v>
      </c>
      <c r="G104" s="89" t="str">
        <f ca="1"/>
        <v>SIN FECHA</v>
      </c>
    </row>
    <row r="105" spans="1:7" x14ac:dyDescent="0.3">
      <c r="A105" s="89" t="str">
        <f ca="1"/>
        <v>ALVARADO, JOSE RAMON</v>
      </c>
      <c r="B105" s="89" t="str">
        <f ca="1"/>
        <v>Programa de Agua (HSE)</v>
      </c>
      <c r="C105" s="93" t="str">
        <f ca="1"/>
        <v/>
      </c>
      <c r="D105" s="89" t="str">
        <f ca="1"/>
        <v>Evento</v>
      </c>
      <c r="E105" s="89">
        <f ca="1"/>
        <v>0</v>
      </c>
      <c r="F105" s="89">
        <f ca="1"/>
        <v>1</v>
      </c>
      <c r="G105" s="89" t="str">
        <f ca="1"/>
        <v>SIN FECHA</v>
      </c>
    </row>
    <row r="106" spans="1:7" x14ac:dyDescent="0.3">
      <c r="A106" s="89" t="str">
        <f ca="1"/>
        <v>ALVARADO, JOSE RAMON</v>
      </c>
      <c r="B106" s="89" t="str">
        <f ca="1"/>
        <v>HIV/SIDA y otras enfermedades de transmisión sexual (ETS)</v>
      </c>
      <c r="C106" s="93" t="str">
        <f ca="1"/>
        <v/>
      </c>
      <c r="D106" s="89" t="str">
        <f ca="1"/>
        <v>Periódica</v>
      </c>
      <c r="E106" s="89">
        <f ca="1"/>
        <v>365</v>
      </c>
      <c r="F106" s="89">
        <f ca="1"/>
        <v>1</v>
      </c>
      <c r="G106" s="89" t="str">
        <f ca="1"/>
        <v>SIN FECHA</v>
      </c>
    </row>
    <row r="107" spans="1:7" x14ac:dyDescent="0.3">
      <c r="A107" s="89" t="str">
        <f ca="1"/>
        <v>ALVARADO, JOSE RAMON</v>
      </c>
      <c r="B107" s="89" t="str">
        <f ca="1"/>
        <v>Drogas de abuso (concientización y prevención)</v>
      </c>
      <c r="C107" s="93" t="str">
        <f ca="1"/>
        <v/>
      </c>
      <c r="D107" s="89" t="str">
        <f ca="1"/>
        <v>Periódica</v>
      </c>
      <c r="E107" s="89">
        <f ca="1"/>
        <v>365</v>
      </c>
      <c r="F107" s="89">
        <f ca="1"/>
        <v>1</v>
      </c>
      <c r="G107" s="89" t="str">
        <f ca="1"/>
        <v>SIN FECHA</v>
      </c>
    </row>
    <row r="108" spans="1:7" x14ac:dyDescent="0.3">
      <c r="A108" s="89" t="str">
        <f ca="1"/>
        <v>ALVARADO, JOSE RAMON</v>
      </c>
      <c r="B108" s="89" t="str">
        <f ca="1"/>
        <v>Vida saludable (hábitos, autocuidado y bienestar)</v>
      </c>
      <c r="C108" s="93" t="str">
        <f ca="1"/>
        <v/>
      </c>
      <c r="D108" s="89" t="str">
        <f ca="1"/>
        <v>Periódica</v>
      </c>
      <c r="E108" s="89">
        <f ca="1"/>
        <v>365</v>
      </c>
      <c r="F108" s="89">
        <f ca="1"/>
        <v>1</v>
      </c>
      <c r="G108" s="89" t="str">
        <f ca="1"/>
        <v>SIN FECHA</v>
      </c>
    </row>
    <row r="109" spans="1:7" x14ac:dyDescent="0.3">
      <c r="A109" s="89" t="str">
        <f ca="1"/>
        <v>ALVARADO, JOSE RAMON</v>
      </c>
      <c r="B109" s="89" t="str">
        <f ca="1"/>
        <v>Primeros auxilios y Reanimación Cardio Pulmonar (RCP)</v>
      </c>
      <c r="C109" s="93" t="str">
        <f ca="1"/>
        <v/>
      </c>
      <c r="D109" s="89" t="str">
        <f ca="1"/>
        <v>Periódica</v>
      </c>
      <c r="E109" s="89">
        <f ca="1"/>
        <v>365</v>
      </c>
      <c r="F109" s="89">
        <f ca="1"/>
        <v>4</v>
      </c>
      <c r="G109" s="89" t="str">
        <f ca="1"/>
        <v>SIN FECHA</v>
      </c>
    </row>
    <row r="110" spans="1:7" x14ac:dyDescent="0.3">
      <c r="A110" s="89" t="str">
        <f ca="1"/>
        <v>ALVARADO, JOSE RAMON</v>
      </c>
      <c r="B110" s="89" t="str">
        <f ca="1"/>
        <v>Prevención cardiovascular (factores de riesgo y señales de alarma)</v>
      </c>
      <c r="C110" s="93" t="str">
        <f ca="1"/>
        <v/>
      </c>
      <c r="D110" s="89" t="str">
        <f ca="1"/>
        <v>Periódica</v>
      </c>
      <c r="E110" s="89">
        <f ca="1"/>
        <v>365</v>
      </c>
      <c r="F110" s="89">
        <f ca="1"/>
        <v>1</v>
      </c>
      <c r="G110" s="89" t="str">
        <f ca="1"/>
        <v>SIN FECHA</v>
      </c>
    </row>
    <row r="111" spans="1:7" x14ac:dyDescent="0.3">
      <c r="A111" s="89" t="str">
        <f ca="1"/>
        <v>ALVARADO, JOSE RAMON</v>
      </c>
      <c r="B111" s="89" t="str">
        <f ca="1"/>
        <v>Efectos del tabaco sobre la salud</v>
      </c>
      <c r="C111" s="93" t="str">
        <f ca="1"/>
        <v/>
      </c>
      <c r="D111" s="89" t="str">
        <f ca="1"/>
        <v>Periódica</v>
      </c>
      <c r="E111" s="89">
        <f ca="1"/>
        <v>365</v>
      </c>
      <c r="F111" s="89">
        <f ca="1"/>
        <v>1</v>
      </c>
      <c r="G111" s="89" t="str">
        <f ca="1"/>
        <v>SIN FECHA</v>
      </c>
    </row>
    <row r="112" spans="1:7" x14ac:dyDescent="0.3">
      <c r="A112" s="89" t="str">
        <f ca="1"/>
        <v>ALVARADO, JOSE RAMON</v>
      </c>
      <c r="B112" s="89" t="str">
        <f ca="1"/>
        <v>Cargadora (Op. Montacargas)</v>
      </c>
      <c r="C112" s="93" t="str">
        <f ca="1"/>
        <v/>
      </c>
      <c r="D112" s="89" t="str">
        <f ca="1"/>
        <v>Periódica</v>
      </c>
      <c r="E112" s="89">
        <f ca="1"/>
        <v>365</v>
      </c>
      <c r="F112" s="89">
        <f ca="1"/>
        <v>8</v>
      </c>
      <c r="G112" s="89" t="str">
        <f ca="1"/>
        <v>SIN FECHA</v>
      </c>
    </row>
    <row r="113" spans="1:7" x14ac:dyDescent="0.3">
      <c r="A113" s="89" t="str">
        <f ca="1"/>
        <v>ALVARADO, JOSE RAMON</v>
      </c>
      <c r="B113" s="89">
        <f ca="1"/>
        <v>0</v>
      </c>
      <c r="C113" s="93" t="str">
        <f ca="1"/>
        <v/>
      </c>
      <c r="D113" s="89" t="str">
        <f ca="1"/>
        <v/>
      </c>
      <c r="E113" s="89" t="str">
        <f ca="1"/>
        <v/>
      </c>
      <c r="F113" s="89" t="str">
        <f ca="1"/>
        <v/>
      </c>
      <c r="G113" s="89" t="str">
        <f ca="1"/>
        <v>SIN FECHA</v>
      </c>
    </row>
    <row r="114" spans="1:7" x14ac:dyDescent="0.3">
      <c r="A114" s="89" t="str">
        <f ca="1"/>
        <v>ALVARADO, JOSE RAMON</v>
      </c>
      <c r="B114" s="89">
        <f ca="1"/>
        <v>0</v>
      </c>
      <c r="C114" s="93" t="str">
        <f ca="1"/>
        <v/>
      </c>
      <c r="D114" s="89" t="str">
        <f ca="1"/>
        <v/>
      </c>
      <c r="E114" s="89" t="str">
        <f ca="1"/>
        <v/>
      </c>
      <c r="F114" s="89" t="str">
        <f ca="1"/>
        <v/>
      </c>
      <c r="G114" s="89" t="str">
        <f ca="1"/>
        <v>SIN FECHA</v>
      </c>
    </row>
    <row r="115" spans="1:7" x14ac:dyDescent="0.3">
      <c r="A115" s="89" t="str">
        <f ca="1"/>
        <v>ALVARADO, JOSE RAMON</v>
      </c>
      <c r="B115" s="89">
        <f ca="1"/>
        <v>0</v>
      </c>
      <c r="C115" s="93" t="str">
        <f ca="1"/>
        <v/>
      </c>
      <c r="D115" s="89" t="str">
        <f ca="1"/>
        <v/>
      </c>
      <c r="E115" s="89" t="str">
        <f ca="1"/>
        <v/>
      </c>
      <c r="F115" s="89" t="str">
        <f ca="1"/>
        <v/>
      </c>
      <c r="G115" s="89" t="str">
        <f ca="1"/>
        <v>SIN FECHA</v>
      </c>
    </row>
    <row r="116" spans="1:7" x14ac:dyDescent="0.3">
      <c r="A116" s="89" t="str">
        <f ca="1"/>
        <v>ALVARADO, JOSE RAMON</v>
      </c>
      <c r="B116" s="89">
        <f ca="1"/>
        <v>0</v>
      </c>
      <c r="C116" s="93" t="str">
        <f ca="1"/>
        <v/>
      </c>
      <c r="D116" s="89" t="str">
        <f ca="1"/>
        <v/>
      </c>
      <c r="E116" s="89" t="str">
        <f ca="1"/>
        <v/>
      </c>
      <c r="F116" s="89" t="str">
        <f ca="1"/>
        <v/>
      </c>
      <c r="G116" s="89" t="str">
        <f ca="1"/>
        <v>SIN FECHA</v>
      </c>
    </row>
    <row r="117" spans="1:7" x14ac:dyDescent="0.3">
      <c r="A117" s="89" t="str">
        <f ca="1"/>
        <v>ALVARADO, JOSE RAMON</v>
      </c>
      <c r="B117" s="89">
        <f ca="1"/>
        <v>0</v>
      </c>
      <c r="C117" s="93" t="str">
        <f ca="1"/>
        <v/>
      </c>
      <c r="D117" s="89" t="str">
        <f ca="1"/>
        <v/>
      </c>
      <c r="E117" s="89" t="str">
        <f ca="1"/>
        <v/>
      </c>
      <c r="F117" s="89" t="str">
        <f ca="1"/>
        <v/>
      </c>
      <c r="G117" s="89" t="str">
        <f ca="1"/>
        <v>SIN FECHA</v>
      </c>
    </row>
    <row r="118" spans="1:7" x14ac:dyDescent="0.3">
      <c r="A118" s="89" t="str">
        <f ca="1"/>
        <v>ALVARADO, JOSE RAMON</v>
      </c>
      <c r="B118" s="89">
        <f ca="1"/>
        <v>0</v>
      </c>
      <c r="C118" s="93" t="str">
        <f ca="1"/>
        <v/>
      </c>
      <c r="D118" s="89" t="str">
        <f ca="1"/>
        <v/>
      </c>
      <c r="E118" s="89" t="str">
        <f ca="1"/>
        <v/>
      </c>
      <c r="F118" s="89" t="str">
        <f ca="1"/>
        <v/>
      </c>
      <c r="G118" s="89" t="str">
        <f ca="1"/>
        <v>SIN FECHA</v>
      </c>
    </row>
    <row r="119" spans="1:7" x14ac:dyDescent="0.3">
      <c r="A119" s="89" t="str">
        <f ca="1"/>
        <v>ALVARADO, JOSE RAMON</v>
      </c>
      <c r="B119" s="89">
        <f ca="1"/>
        <v>0</v>
      </c>
      <c r="C119" s="93" t="str">
        <f ca="1"/>
        <v/>
      </c>
      <c r="D119" s="89" t="str">
        <f ca="1"/>
        <v/>
      </c>
      <c r="E119" s="89" t="str">
        <f ca="1"/>
        <v/>
      </c>
      <c r="F119" s="89" t="str">
        <f ca="1"/>
        <v/>
      </c>
      <c r="G119" s="89" t="str">
        <f ca="1"/>
        <v>SIN FECHA</v>
      </c>
    </row>
    <row r="120" spans="1:7" x14ac:dyDescent="0.3">
      <c r="A120" s="89" t="str">
        <f ca="1"/>
        <v>ALVARADO, JOSE RAMON</v>
      </c>
      <c r="B120" s="89">
        <f ca="1"/>
        <v>0</v>
      </c>
      <c r="C120" s="93" t="str">
        <f ca="1"/>
        <v/>
      </c>
      <c r="D120" s="89" t="str">
        <f ca="1"/>
        <v/>
      </c>
      <c r="E120" s="89" t="str">
        <f ca="1"/>
        <v/>
      </c>
      <c r="F120" s="89" t="str">
        <f ca="1"/>
        <v/>
      </c>
      <c r="G120" s="89" t="str">
        <f ca="1"/>
        <v>SIN FECHA</v>
      </c>
    </row>
    <row r="121" spans="1:7" x14ac:dyDescent="0.3">
      <c r="A121" s="89" t="str">
        <f ca="1"/>
        <v>ALVARADO, JOSE RAMON</v>
      </c>
      <c r="B121" s="89">
        <f ca="1"/>
        <v>0</v>
      </c>
      <c r="C121" s="93" t="str">
        <f ca="1"/>
        <v/>
      </c>
      <c r="D121" s="89" t="str">
        <f ca="1"/>
        <v/>
      </c>
      <c r="E121" s="89" t="str">
        <f ca="1"/>
        <v/>
      </c>
      <c r="F121" s="89" t="str">
        <f ca="1"/>
        <v/>
      </c>
      <c r="G121" s="89" t="str">
        <f ca="1"/>
        <v>SIN FECHA</v>
      </c>
    </row>
    <row r="122" spans="1:7" x14ac:dyDescent="0.3">
      <c r="A122" s="89" t="str">
        <f ca="1"/>
        <v>CAPURRO, GERARDO DANIEL</v>
      </c>
      <c r="B122" s="89" t="str">
        <f ca="1"/>
        <v>Programa de Aire</v>
      </c>
      <c r="C122" s="93" t="str">
        <f ca="1"/>
        <v/>
      </c>
      <c r="D122" s="89" t="str">
        <f ca="1"/>
        <v>Evento</v>
      </c>
      <c r="E122" s="89">
        <f ca="1"/>
        <v>0</v>
      </c>
      <c r="F122" s="89">
        <f ca="1"/>
        <v>1</v>
      </c>
      <c r="G122" s="89" t="str">
        <f ca="1"/>
        <v>SIN FECHA</v>
      </c>
    </row>
    <row r="123" spans="1:7" x14ac:dyDescent="0.3">
      <c r="A123" s="89" t="str">
        <f ca="1"/>
        <v>CAPURRO, GERARDO DANIEL</v>
      </c>
      <c r="B123" s="89" t="str">
        <f ca="1"/>
        <v>Conciencia Ambiental</v>
      </c>
      <c r="C123" s="93" t="str">
        <f ca="1"/>
        <v/>
      </c>
      <c r="D123" s="89" t="str">
        <f ca="1"/>
        <v>Periódica</v>
      </c>
      <c r="E123" s="89">
        <f ca="1"/>
        <v>365</v>
      </c>
      <c r="F123" s="89">
        <f ca="1"/>
        <v>1</v>
      </c>
      <c r="G123" s="89" t="str">
        <f ca="1"/>
        <v>SIN FECHA</v>
      </c>
    </row>
    <row r="124" spans="1:7" x14ac:dyDescent="0.3">
      <c r="A124" s="89" t="str">
        <f ca="1"/>
        <v>CAPURRO, GERARDO DANIEL</v>
      </c>
      <c r="B124" s="89" t="str">
        <f ca="1"/>
        <v xml:space="preserve">Control de Documentos e Informacion de HSE </v>
      </c>
      <c r="C124" s="93" t="str">
        <f ca="1"/>
        <v/>
      </c>
      <c r="D124" s="89" t="str">
        <f ca="1"/>
        <v>Evento</v>
      </c>
      <c r="E124" s="89">
        <f ca="1"/>
        <v>0</v>
      </c>
      <c r="F124" s="89">
        <f ca="1"/>
        <v>1</v>
      </c>
      <c r="G124" s="89" t="str">
        <f ca="1"/>
        <v>SIN FECHA</v>
      </c>
    </row>
    <row r="125" spans="1:7" x14ac:dyDescent="0.3">
      <c r="A125" s="89" t="str">
        <f ca="1"/>
        <v>CAPURRO, GERARDO DANIEL</v>
      </c>
      <c r="B125" s="89" t="str">
        <f ca="1"/>
        <v xml:space="preserve"> Acciones Correctivas y Preventivas (CAPA)</v>
      </c>
      <c r="C125" s="93" t="str">
        <f ca="1"/>
        <v/>
      </c>
      <c r="D125" s="89" t="str">
        <f ca="1"/>
        <v>Evento</v>
      </c>
      <c r="E125" s="89">
        <f ca="1"/>
        <v>0</v>
      </c>
      <c r="F125" s="89">
        <f ca="1"/>
        <v>1</v>
      </c>
      <c r="G125" s="89" t="str">
        <f ca="1"/>
        <v>SIN FECHA</v>
      </c>
    </row>
    <row r="126" spans="1:7" x14ac:dyDescent="0.3">
      <c r="A126" s="89" t="str">
        <f ca="1"/>
        <v>CAPURRO, GERARDO DANIEL</v>
      </c>
      <c r="B126" s="89" t="str">
        <f ca="1"/>
        <v>Seguridad Basada en el Comportamiento (Observation Program) // HSMS.043 / Autoridad de Detener el Trabajo</v>
      </c>
      <c r="C126" s="93">
        <f ca="1"/>
        <v>45827</v>
      </c>
      <c r="D126" s="89" t="str">
        <f ca="1"/>
        <v>Periódica</v>
      </c>
      <c r="E126" s="89">
        <f ca="1"/>
        <v>365</v>
      </c>
      <c r="F126" s="89">
        <f ca="1"/>
        <v>1</v>
      </c>
      <c r="G126" s="89" t="str">
        <f ca="1"/>
        <v>VENCIDA</v>
      </c>
    </row>
    <row r="127" spans="1:7" x14ac:dyDescent="0.3">
      <c r="A127" s="89" t="str">
        <f ca="1"/>
        <v>CAPURRO, GERARDO DANIEL</v>
      </c>
      <c r="B127" s="89" t="str">
        <f ca="1"/>
        <v>Identificacion de Peligros y Evaluacion de Riesgos</v>
      </c>
      <c r="C127" s="93">
        <f ca="1"/>
        <v>46009</v>
      </c>
      <c r="D127" s="89" t="str">
        <f ca="1"/>
        <v>Evento</v>
      </c>
      <c r="E127" s="89">
        <f ca="1"/>
        <v>0</v>
      </c>
      <c r="F127" s="89">
        <f ca="1"/>
        <v>1</v>
      </c>
      <c r="G127" s="89" t="str">
        <f ca="1"/>
        <v>VIGENTE</v>
      </c>
    </row>
    <row r="128" spans="1:7" x14ac:dyDescent="0.3">
      <c r="A128" s="89" t="str">
        <f ca="1"/>
        <v>CAPURRO, GERARDO DANIEL</v>
      </c>
      <c r="B128" s="89" t="str">
        <f ca="1"/>
        <v xml:space="preserve"> Plan de Respuesta ante Eemergencias / HSMS.010 /Primeros Axulios &amp; RCP/DEA / HSMSWT-002 / Patogenos Trasnmitidos por la Sangre</v>
      </c>
      <c r="C128" s="93" t="str">
        <f ca="1"/>
        <v/>
      </c>
      <c r="D128" s="89" t="str">
        <f ca="1"/>
        <v>Periódica</v>
      </c>
      <c r="E128" s="89">
        <f ca="1"/>
        <v>365</v>
      </c>
      <c r="F128" s="89">
        <f ca="1"/>
        <v>1</v>
      </c>
      <c r="G128" s="89" t="str">
        <f ca="1"/>
        <v>SIN FECHA</v>
      </c>
    </row>
    <row r="129" spans="1:7" x14ac:dyDescent="0.3">
      <c r="A129" s="89" t="str">
        <f ca="1"/>
        <v>CAPURRO, GERARDO DANIEL</v>
      </c>
      <c r="B129" s="89" t="str">
        <f ca="1"/>
        <v>Reporte y Gestion de Incidentes HSE (Todos)</v>
      </c>
      <c r="C129" s="93">
        <f ca="1"/>
        <v>46009</v>
      </c>
      <c r="D129" s="89" t="str">
        <f ca="1"/>
        <v>Periódica</v>
      </c>
      <c r="E129" s="89">
        <f ca="1"/>
        <v>365</v>
      </c>
      <c r="F129" s="89">
        <f ca="1"/>
        <v>1</v>
      </c>
      <c r="G129" s="89" t="str">
        <f ca="1"/>
        <v>VIGENTE</v>
      </c>
    </row>
    <row r="130" spans="1:7" x14ac:dyDescent="0.3">
      <c r="A130" s="89" t="str">
        <f ca="1"/>
        <v>CAPURRO, GERARDO DANIEL</v>
      </c>
      <c r="B130" s="89" t="str">
        <f ca="1"/>
        <v>Reporte, Gestion e Investigacion de Incidentes HSE (supervisores / investigadores (rol))</v>
      </c>
      <c r="C130" s="93" t="str">
        <f ca="1"/>
        <v/>
      </c>
      <c r="D130" s="89" t="str">
        <f ca="1"/>
        <v>Periódica</v>
      </c>
      <c r="E130" s="89">
        <f ca="1"/>
        <v>1095</v>
      </c>
      <c r="F130" s="89">
        <f ca="1"/>
        <v>2</v>
      </c>
      <c r="G130" s="89" t="str">
        <f ca="1"/>
        <v>SIN FECHA</v>
      </c>
    </row>
    <row r="131" spans="1:7" x14ac:dyDescent="0.3">
      <c r="A131" s="89" t="str">
        <f ca="1"/>
        <v>CAPURRO, GERARDO DANIEL</v>
      </c>
      <c r="B131" s="89" t="str">
        <f ca="1"/>
        <v>Gruas y Equipos de Izaje (Todos)</v>
      </c>
      <c r="C131" s="93" t="str">
        <f ca="1"/>
        <v/>
      </c>
      <c r="D131" s="89" t="str">
        <f ca="1"/>
        <v>Periódica</v>
      </c>
      <c r="E131" s="89">
        <f ca="1"/>
        <v>365</v>
      </c>
      <c r="F131" s="89">
        <f ca="1"/>
        <v>2</v>
      </c>
      <c r="G131" s="89" t="str">
        <f ca="1"/>
        <v>SIN FECHA</v>
      </c>
    </row>
    <row r="132" spans="1:7" x14ac:dyDescent="0.3">
      <c r="A132" s="89" t="str">
        <f ca="1"/>
        <v>CAPURRO, GERARDO DANIEL</v>
      </c>
      <c r="B132" s="89" t="str">
        <f ca="1"/>
        <v>HSMS.007 / Gruas y Equipos de Izaje (Operadores)</v>
      </c>
      <c r="C132" s="93">
        <f ca="1"/>
        <v>46140</v>
      </c>
      <c r="D132" s="89" t="str">
        <f ca="1"/>
        <v>Periódica</v>
      </c>
      <c r="E132" s="89">
        <f ca="1"/>
        <v>365</v>
      </c>
      <c r="F132" s="89">
        <f ca="1"/>
        <v>8</v>
      </c>
      <c r="G132" s="89" t="str">
        <f ca="1"/>
        <v>VIGENTE</v>
      </c>
    </row>
    <row r="133" spans="1:7" x14ac:dyDescent="0.3">
      <c r="A133" s="89" t="str">
        <f ca="1"/>
        <v>CAPURRO, GERARDO DANIEL</v>
      </c>
      <c r="B133" s="89" t="str">
        <f ca="1"/>
        <v>Proteccion Contra Incendios (Todos)</v>
      </c>
      <c r="C133" s="93">
        <f ca="1"/>
        <v>45835</v>
      </c>
      <c r="D133" s="89" t="str">
        <f ca="1"/>
        <v>Periódica</v>
      </c>
      <c r="E133" s="89">
        <f ca="1"/>
        <v>365</v>
      </c>
      <c r="F133" s="89">
        <f ca="1"/>
        <v>1</v>
      </c>
      <c r="G133" s="89" t="str">
        <f ca="1"/>
        <v>VENCIDA</v>
      </c>
    </row>
    <row r="134" spans="1:7" x14ac:dyDescent="0.3">
      <c r="A134" s="89" t="str">
        <f ca="1"/>
        <v>CAPURRO, GERARDO DANIEL</v>
      </c>
      <c r="B134" s="89" t="str">
        <f ca="1"/>
        <v>Proteccion Contra Incendios (Brigadistas)</v>
      </c>
      <c r="C134" s="93" t="str">
        <f ca="1"/>
        <v/>
      </c>
      <c r="D134" s="89" t="str">
        <f ca="1"/>
        <v>Periódica</v>
      </c>
      <c r="E134" s="89">
        <f ca="1"/>
        <v>365</v>
      </c>
      <c r="F134" s="89">
        <f ca="1"/>
        <v>2</v>
      </c>
      <c r="G134" s="89" t="str">
        <f ca="1"/>
        <v>SIN FECHA</v>
      </c>
    </row>
    <row r="135" spans="1:7" x14ac:dyDescent="0.3">
      <c r="A135" s="89" t="str">
        <f ca="1"/>
        <v>CAPURRO, GERARDO DANIEL</v>
      </c>
      <c r="B135" s="89" t="str">
        <f ca="1"/>
        <v>Primeros Auxilios (Brigadistas)</v>
      </c>
      <c r="C135" s="93" t="str">
        <f ca="1"/>
        <v/>
      </c>
      <c r="D135" s="89" t="str">
        <f ca="1"/>
        <v>Periódica</v>
      </c>
      <c r="E135" s="89">
        <f ca="1"/>
        <v>365</v>
      </c>
      <c r="F135" s="89">
        <f ca="1"/>
        <v>2</v>
      </c>
      <c r="G135" s="89" t="str">
        <f ca="1"/>
        <v>SIN FECHA</v>
      </c>
    </row>
    <row r="136" spans="1:7" x14ac:dyDescent="0.3">
      <c r="A136" s="89" t="str">
        <f ca="1"/>
        <v>CAPURRO, GERARDO DANIEL</v>
      </c>
      <c r="B136" s="89" t="str">
        <f ca="1"/>
        <v>Seguridad Electrica (Todos)</v>
      </c>
      <c r="C136" s="93" t="str">
        <f ca="1"/>
        <v/>
      </c>
      <c r="D136" s="89" t="str">
        <f ca="1"/>
        <v>Periódica</v>
      </c>
      <c r="E136" s="89">
        <f ca="1"/>
        <v>365</v>
      </c>
      <c r="F136" s="89">
        <f ca="1"/>
        <v>1</v>
      </c>
      <c r="G136" s="89" t="str">
        <f ca="1"/>
        <v>SIN FECHA</v>
      </c>
    </row>
    <row r="137" spans="1:7" x14ac:dyDescent="0.3">
      <c r="A137" s="89" t="str">
        <f ca="1"/>
        <v>CAPURRO, GERARDO DANIEL</v>
      </c>
      <c r="B137" s="89" t="str">
        <f ca="1"/>
        <v>Seguridad Electrica (Personal Autorizado)</v>
      </c>
      <c r="C137" s="93" t="str">
        <f ca="1"/>
        <v/>
      </c>
      <c r="D137" s="89" t="str">
        <f ca="1"/>
        <v>Periódica</v>
      </c>
      <c r="E137" s="89">
        <f ca="1"/>
        <v>1095</v>
      </c>
      <c r="F137" s="89">
        <f ca="1"/>
        <v>4</v>
      </c>
      <c r="G137" s="89" t="str">
        <f ca="1"/>
        <v>SIN FECHA</v>
      </c>
    </row>
    <row r="138" spans="1:7" x14ac:dyDescent="0.3">
      <c r="A138" s="89" t="str">
        <f ca="1"/>
        <v>CAPURRO, GERARDO DANIEL</v>
      </c>
      <c r="B138" s="89" t="str">
        <f ca="1"/>
        <v>Camiones Industriales Motorizados (PIT) (Todos)</v>
      </c>
      <c r="C138" s="93" t="str">
        <f ca="1"/>
        <v/>
      </c>
      <c r="D138" s="89" t="str">
        <f ca="1"/>
        <v>Periódica</v>
      </c>
      <c r="E138" s="89">
        <f ca="1"/>
        <v>365</v>
      </c>
      <c r="F138" s="89">
        <f ca="1"/>
        <v>1</v>
      </c>
      <c r="G138" s="89" t="str">
        <f ca="1"/>
        <v>SIN FECHA</v>
      </c>
    </row>
    <row r="139" spans="1:7" x14ac:dyDescent="0.3">
      <c r="A139" s="89" t="str">
        <f ca="1"/>
        <v>CAPURRO, GERARDO DANIEL</v>
      </c>
      <c r="B139" s="89" t="str">
        <f ca="1"/>
        <v>Camiones Industriales Motorizados (PIT) (Op. Montacargas)</v>
      </c>
      <c r="C139" s="93" t="str">
        <f ca="1"/>
        <v/>
      </c>
      <c r="D139" s="89" t="str">
        <f ca="1"/>
        <v>Periódica</v>
      </c>
      <c r="E139" s="89">
        <f ca="1"/>
        <v>365</v>
      </c>
      <c r="F139" s="89">
        <f ca="1"/>
        <v>8</v>
      </c>
      <c r="G139" s="89" t="str">
        <f ca="1"/>
        <v>SIN FECHA</v>
      </c>
    </row>
    <row r="140" spans="1:7" x14ac:dyDescent="0.3">
      <c r="A140" s="89" t="str">
        <f ca="1"/>
        <v>CAPURRO, GERARDO DANIEL</v>
      </c>
      <c r="B140" s="89" t="str">
        <f ca="1"/>
        <v>Control de Energias Peligrosas (LOTO) (Todos)</v>
      </c>
      <c r="C140" s="93">
        <f ca="1"/>
        <v>45827</v>
      </c>
      <c r="D140" s="89" t="str">
        <f ca="1"/>
        <v>Evento</v>
      </c>
      <c r="E140" s="89">
        <f ca="1"/>
        <v>0</v>
      </c>
      <c r="F140" s="89">
        <f ca="1"/>
        <v>1</v>
      </c>
      <c r="G140" s="89" t="str">
        <f ca="1"/>
        <v>VIGENTE</v>
      </c>
    </row>
    <row r="141" spans="1:7" x14ac:dyDescent="0.3">
      <c r="A141" s="89" t="str">
        <f ca="1"/>
        <v>CAPURRO, GERARDO DANIEL</v>
      </c>
      <c r="B141" s="89" t="str">
        <f ca="1"/>
        <v>Control de Energias Peligrosas (LOTO) (Empleados Autorizados)</v>
      </c>
      <c r="C141" s="93">
        <f ca="1"/>
        <v>46164</v>
      </c>
      <c r="D141" s="89" t="str">
        <f ca="1"/>
        <v>Periódica</v>
      </c>
      <c r="E141" s="89">
        <f ca="1"/>
        <v>365</v>
      </c>
      <c r="F141" s="89">
        <f ca="1"/>
        <v>2</v>
      </c>
      <c r="G141" s="89" t="str">
        <f ca="1"/>
        <v>VIGENTE</v>
      </c>
    </row>
    <row r="142" spans="1:7" x14ac:dyDescent="0.3">
      <c r="A142" s="89" t="str">
        <f ca="1"/>
        <v>CAPURRO, GERARDO DANIEL</v>
      </c>
      <c r="B142" s="89" t="str">
        <f ca="1"/>
        <v>Seguridad aplicada al Pozo &amp; Yacimiento</v>
      </c>
      <c r="C142" s="93" t="str">
        <f ca="1"/>
        <v/>
      </c>
      <c r="D142" s="89" t="str">
        <f ca="1"/>
        <v>Periódica</v>
      </c>
      <c r="E142" s="89">
        <f ca="1"/>
        <v>365</v>
      </c>
      <c r="F142" s="89">
        <f ca="1"/>
        <v>1</v>
      </c>
      <c r="G142" s="89" t="str">
        <f ca="1"/>
        <v>SIN FECHA</v>
      </c>
    </row>
    <row r="143" spans="1:7" x14ac:dyDescent="0.3">
      <c r="A143" s="89" t="str">
        <f ca="1"/>
        <v>CAPURRO, GERARDO DANIEL</v>
      </c>
      <c r="B143" s="89" t="str">
        <f ca="1"/>
        <v>Las Reglas que Salvan Vidas</v>
      </c>
      <c r="C143" s="93" t="str">
        <f ca="1"/>
        <v/>
      </c>
      <c r="D143" s="89" t="str">
        <f ca="1"/>
        <v>Periódica</v>
      </c>
      <c r="E143" s="89">
        <f ca="1"/>
        <v>365</v>
      </c>
      <c r="F143" s="89">
        <f ca="1"/>
        <v>1</v>
      </c>
      <c r="G143" s="89" t="str">
        <f ca="1"/>
        <v>SIN FECHA</v>
      </c>
    </row>
    <row r="144" spans="1:7" x14ac:dyDescent="0.3">
      <c r="A144" s="89" t="str">
        <f ca="1"/>
        <v>CAPURRO, GERARDO DANIEL</v>
      </c>
      <c r="B144" s="89" t="str">
        <f ca="1"/>
        <v xml:space="preserve">Resguardo de Maquinas &amp; Equipos </v>
      </c>
      <c r="C144" s="93" t="str">
        <f ca="1"/>
        <v/>
      </c>
      <c r="D144" s="89" t="str">
        <f ca="1"/>
        <v>Periódica</v>
      </c>
      <c r="E144" s="89">
        <f ca="1"/>
        <v>365</v>
      </c>
      <c r="F144" s="89">
        <f ca="1"/>
        <v>1</v>
      </c>
      <c r="G144" s="89" t="str">
        <f ca="1"/>
        <v>SIN FECHA</v>
      </c>
    </row>
    <row r="145" spans="1:7" x14ac:dyDescent="0.3">
      <c r="A145" s="89" t="str">
        <f ca="1"/>
        <v>CAPURRO, GERARDO DANIEL</v>
      </c>
      <c r="B145" s="89" t="str">
        <f ca="1"/>
        <v>Conduccion y Gestion de Viajes (Todos)</v>
      </c>
      <c r="C145" s="93">
        <f ca="1"/>
        <v>45827</v>
      </c>
      <c r="D145" s="89" t="str">
        <f ca="1"/>
        <v>Periódica</v>
      </c>
      <c r="E145" s="89">
        <f ca="1"/>
        <v>730</v>
      </c>
      <c r="F145" s="89">
        <f ca="1"/>
        <v>1</v>
      </c>
      <c r="G145" s="89" t="str">
        <f ca="1"/>
        <v>VIGENTE</v>
      </c>
    </row>
    <row r="146" spans="1:7" x14ac:dyDescent="0.3">
      <c r="A146" s="89" t="str">
        <f ca="1"/>
        <v>CAPURRO, GERARDO DANIEL</v>
      </c>
      <c r="B146" s="89" t="str">
        <f ca="1"/>
        <v>Conduccion y Gestion de Viajes (Conductores)</v>
      </c>
      <c r="C146" s="93">
        <f ca="1"/>
        <v>47056</v>
      </c>
      <c r="D146" s="89" t="str">
        <f ca="1"/>
        <v>Periódica</v>
      </c>
      <c r="E146" s="89">
        <f ca="1"/>
        <v>1095</v>
      </c>
      <c r="F146" s="89">
        <f ca="1"/>
        <v>5</v>
      </c>
      <c r="G146" s="89" t="str">
        <f ca="1"/>
        <v>VIGENTE</v>
      </c>
    </row>
    <row r="147" spans="1:7" x14ac:dyDescent="0.3">
      <c r="A147" s="89" t="str">
        <f ca="1"/>
        <v>CAPURRO, GERARDO DANIEL</v>
      </c>
      <c r="B147" s="89" t="str">
        <f ca="1"/>
        <v>Patogenos Transmitidos por la Sangre</v>
      </c>
      <c r="C147" s="93" t="str">
        <f ca="1"/>
        <v/>
      </c>
      <c r="D147" s="89" t="str">
        <f ca="1"/>
        <v>Periódica</v>
      </c>
      <c r="E147" s="89">
        <f ca="1"/>
        <v>365</v>
      </c>
      <c r="F147" s="89">
        <f ca="1"/>
        <v>1</v>
      </c>
      <c r="G147" s="89" t="str">
        <f ca="1"/>
        <v>SIN FECHA</v>
      </c>
    </row>
    <row r="148" spans="1:7" x14ac:dyDescent="0.3">
      <c r="A148" s="89" t="str">
        <f ca="1"/>
        <v>CAPURRO, GERARDO DANIEL</v>
      </c>
      <c r="B148" s="89" t="str">
        <f ca="1"/>
        <v>Conservacion Auditiva</v>
      </c>
      <c r="C148" s="93" t="str">
        <f ca="1"/>
        <v/>
      </c>
      <c r="D148" s="89" t="str">
        <f ca="1"/>
        <v>Periódica</v>
      </c>
      <c r="E148" s="89">
        <f ca="1"/>
        <v>365</v>
      </c>
      <c r="F148" s="89">
        <f ca="1"/>
        <v>1</v>
      </c>
      <c r="G148" s="89" t="str">
        <f ca="1"/>
        <v>SIN FECHA</v>
      </c>
    </row>
    <row r="149" spans="1:7" x14ac:dyDescent="0.3">
      <c r="A149" s="89" t="str">
        <f ca="1"/>
        <v>CAPURRO, GERARDO DANIEL</v>
      </c>
      <c r="B149" s="89" t="str">
        <f ca="1"/>
        <v xml:space="preserve">Ergonomia //  / Levantamiento &amp; Seguridad en la Espalda </v>
      </c>
      <c r="C149" s="93">
        <f ca="1"/>
        <v>46009</v>
      </c>
      <c r="D149" s="89" t="str">
        <f ca="1"/>
        <v>Periódica</v>
      </c>
      <c r="E149" s="89">
        <f ca="1"/>
        <v>365</v>
      </c>
      <c r="F149" s="89">
        <f ca="1"/>
        <v>1</v>
      </c>
      <c r="G149" s="89" t="str">
        <f ca="1"/>
        <v>VIGENTE</v>
      </c>
    </row>
    <row r="150" spans="1:7" x14ac:dyDescent="0.3">
      <c r="A150" s="89" t="str">
        <f ca="1"/>
        <v>CAPURRO, GERARDO DANIEL</v>
      </c>
      <c r="B150" s="89" t="str">
        <f ca="1"/>
        <v>Superficies Elevadas (Todos)</v>
      </c>
      <c r="C150" s="93" t="str">
        <f ca="1"/>
        <v/>
      </c>
      <c r="D150" s="89" t="str">
        <f ca="1"/>
        <v>Periódica</v>
      </c>
      <c r="E150" s="89">
        <f ca="1"/>
        <v>365</v>
      </c>
      <c r="F150" s="89">
        <f ca="1"/>
        <v>1</v>
      </c>
      <c r="G150" s="89" t="str">
        <f ca="1"/>
        <v>SIN FECHA</v>
      </c>
    </row>
    <row r="151" spans="1:7" x14ac:dyDescent="0.3">
      <c r="A151" s="89" t="str">
        <f ca="1"/>
        <v>CAPURRO, GERARDO DANIEL</v>
      </c>
      <c r="B151" s="89" t="str">
        <f ca="1"/>
        <v>Superficies Elevadas (Personal Habilitado)</v>
      </c>
      <c r="C151" s="93" t="str">
        <f ca="1"/>
        <v/>
      </c>
      <c r="D151" s="89" t="str">
        <f ca="1"/>
        <v>Periódica</v>
      </c>
      <c r="E151" s="89">
        <f ca="1"/>
        <v>365</v>
      </c>
      <c r="F151" s="89">
        <f ca="1"/>
        <v>8</v>
      </c>
      <c r="G151" s="89" t="str">
        <f ca="1"/>
        <v>SIN FECHA</v>
      </c>
    </row>
    <row r="152" spans="1:7" x14ac:dyDescent="0.3">
      <c r="A152" s="89" t="str">
        <f ca="1"/>
        <v>CAPURRO, GERARDO DANIEL</v>
      </c>
      <c r="B152" s="89" t="str">
        <f ca="1"/>
        <v>Seguridad Quimica (Todos)</v>
      </c>
      <c r="C152" s="93" t="str">
        <f ca="1"/>
        <v/>
      </c>
      <c r="D152" s="89" t="str">
        <f ca="1"/>
        <v>Periódica</v>
      </c>
      <c r="E152" s="89">
        <f ca="1"/>
        <v>730</v>
      </c>
      <c r="F152" s="89">
        <f ca="1"/>
        <v>1</v>
      </c>
      <c r="G152" s="89" t="str">
        <f ca="1"/>
        <v>SIN FECHA</v>
      </c>
    </row>
    <row r="153" spans="1:7" x14ac:dyDescent="0.3">
      <c r="A153" s="89" t="str">
        <f ca="1"/>
        <v>CAPURRO, GERARDO DANIEL</v>
      </c>
      <c r="B153" s="89" t="str">
        <f ca="1"/>
        <v>Seguridad Quimica (Mantenimiento)</v>
      </c>
      <c r="C153" s="93" t="str">
        <f ca="1"/>
        <v/>
      </c>
      <c r="D153" s="89" t="str">
        <f ca="1"/>
        <v>Periódica</v>
      </c>
      <c r="E153" s="89">
        <f ca="1"/>
        <v>365</v>
      </c>
      <c r="F153" s="89">
        <f ca="1"/>
        <v>1</v>
      </c>
      <c r="G153" s="89" t="str">
        <f ca="1"/>
        <v>SIN FECHA</v>
      </c>
    </row>
    <row r="154" spans="1:7" x14ac:dyDescent="0.3">
      <c r="A154" s="89" t="str">
        <f ca="1"/>
        <v>CAPURRO, GERARDO DANIEL</v>
      </c>
      <c r="B154" s="89" t="str">
        <f ca="1"/>
        <v>Seguridad Quimica (Contratistas)</v>
      </c>
      <c r="C154" s="93" t="str">
        <f ca="1"/>
        <v/>
      </c>
      <c r="D154" s="89" t="str">
        <f ca="1"/>
        <v>Periódica</v>
      </c>
      <c r="E154" s="89">
        <f ca="1"/>
        <v>365</v>
      </c>
      <c r="F154" s="89">
        <f ca="1"/>
        <v>1</v>
      </c>
      <c r="G154" s="89" t="str">
        <f ca="1"/>
        <v>SIN FECHA</v>
      </c>
    </row>
    <row r="155" spans="1:7" x14ac:dyDescent="0.3">
      <c r="A155" s="89" t="str">
        <f ca="1"/>
        <v>CAPURRO, GERARDO DANIEL</v>
      </c>
      <c r="B155" s="89" t="str">
        <f ca="1"/>
        <v>Seguridad para Trabajos en Caliente</v>
      </c>
      <c r="C155" s="93">
        <f ca="1"/>
        <v>45835</v>
      </c>
      <c r="D155" s="89" t="str">
        <f ca="1"/>
        <v>Periódica</v>
      </c>
      <c r="E155" s="89">
        <f ca="1"/>
        <v>365</v>
      </c>
      <c r="F155" s="89">
        <f ca="1"/>
        <v>1</v>
      </c>
      <c r="G155" s="89" t="str">
        <f ca="1"/>
        <v>VENCIDA</v>
      </c>
    </row>
    <row r="156" spans="1:7" x14ac:dyDescent="0.3">
      <c r="A156" s="89" t="str">
        <f ca="1"/>
        <v>CAPURRO, GERARDO DANIEL</v>
      </c>
      <c r="B156" s="89" t="str">
        <f ca="1"/>
        <v>Seguridad con la Radiacion</v>
      </c>
      <c r="C156" s="93" t="str">
        <f ca="1"/>
        <v/>
      </c>
      <c r="D156" s="89" t="str">
        <f ca="1"/>
        <v>Periódica</v>
      </c>
      <c r="E156" s="89">
        <f ca="1"/>
        <v>365</v>
      </c>
      <c r="F156" s="89">
        <f ca="1"/>
        <v>2</v>
      </c>
      <c r="G156" s="89" t="str">
        <f ca="1"/>
        <v>SIN FECHA</v>
      </c>
    </row>
    <row r="157" spans="1:7" x14ac:dyDescent="0.3">
      <c r="A157" s="89" t="str">
        <f ca="1"/>
        <v>CAPURRO, GERARDO DANIEL</v>
      </c>
      <c r="B157" s="89" t="str">
        <f ca="1"/>
        <v>Equipo de Proteccion Personal (PPE)</v>
      </c>
      <c r="C157" s="93" t="str">
        <f ca="1"/>
        <v/>
      </c>
      <c r="D157" s="89" t="str">
        <f ca="1"/>
        <v>Periódica</v>
      </c>
      <c r="E157" s="89">
        <f ca="1"/>
        <v>365</v>
      </c>
      <c r="F157" s="89">
        <f ca="1"/>
        <v>1</v>
      </c>
      <c r="G157" s="89" t="str">
        <f ca="1"/>
        <v>SIN FECHA</v>
      </c>
    </row>
    <row r="158" spans="1:7" x14ac:dyDescent="0.3">
      <c r="A158" s="89" t="str">
        <f ca="1"/>
        <v>CAPURRO, GERARDO DANIEL</v>
      </c>
      <c r="B158" s="89" t="str">
        <f ca="1"/>
        <v>Proteccion Respiratoria</v>
      </c>
      <c r="C158" s="93" t="str">
        <f ca="1"/>
        <v/>
      </c>
      <c r="D158" s="89" t="str">
        <f ca="1"/>
        <v>Periódica</v>
      </c>
      <c r="E158" s="89">
        <f ca="1"/>
        <v>365</v>
      </c>
      <c r="F158" s="89">
        <f ca="1"/>
        <v>1</v>
      </c>
      <c r="G158" s="89" t="str">
        <f ca="1"/>
        <v>SIN FECHA</v>
      </c>
    </row>
    <row r="159" spans="1:7" x14ac:dyDescent="0.3">
      <c r="A159" s="89" t="str">
        <f ca="1"/>
        <v>CAPURRO, GERARDO DANIEL</v>
      </c>
      <c r="B159" s="89" t="str">
        <f ca="1"/>
        <v xml:space="preserve">Seguridad con Escaleras </v>
      </c>
      <c r="C159" s="93" t="str">
        <f ca="1"/>
        <v/>
      </c>
      <c r="D159" s="89" t="str">
        <f ca="1"/>
        <v>Periódica</v>
      </c>
      <c r="E159" s="89">
        <f ca="1"/>
        <v>365</v>
      </c>
      <c r="F159" s="89">
        <f ca="1"/>
        <v>1</v>
      </c>
      <c r="G159" s="89" t="str">
        <f ca="1"/>
        <v>SIN FECHA</v>
      </c>
    </row>
    <row r="160" spans="1:7" x14ac:dyDescent="0.3">
      <c r="A160" s="89" t="str">
        <f ca="1"/>
        <v>CAPURRO, GERARDO DANIEL</v>
      </c>
      <c r="B160" s="89" t="str">
        <f ca="1"/>
        <v>Seguridad con Escaleras // Estantes de Almacenamiento</v>
      </c>
      <c r="C160" s="93" t="str">
        <f ca="1"/>
        <v/>
      </c>
      <c r="D160" s="89" t="str">
        <f ca="1"/>
        <v>Periódica</v>
      </c>
      <c r="E160" s="89">
        <f ca="1"/>
        <v>365</v>
      </c>
      <c r="F160" s="89">
        <f ca="1"/>
        <v>1</v>
      </c>
      <c r="G160" s="89" t="str">
        <f ca="1"/>
        <v>SIN FECHA</v>
      </c>
    </row>
    <row r="161" spans="1:7" x14ac:dyDescent="0.3">
      <c r="A161" s="89" t="str">
        <f ca="1"/>
        <v>CAPURRO, GERARDO DANIEL</v>
      </c>
      <c r="B161" s="89" t="str">
        <f ca="1"/>
        <v>Responsabilidades del Supervisor</v>
      </c>
      <c r="C161" s="93" t="str">
        <f ca="1"/>
        <v/>
      </c>
      <c r="D161" s="89" t="str">
        <f ca="1"/>
        <v>Periódica</v>
      </c>
      <c r="E161" s="89">
        <f ca="1"/>
        <v>365</v>
      </c>
      <c r="F161" s="89">
        <f ca="1"/>
        <v>1</v>
      </c>
      <c r="G161" s="89" t="str">
        <f ca="1"/>
        <v>SIN FECHA</v>
      </c>
    </row>
    <row r="162" spans="1:7" x14ac:dyDescent="0.3">
      <c r="A162" s="89" t="str">
        <f ca="1"/>
        <v>CAPURRO, GERARDO DANIEL</v>
      </c>
      <c r="B162" s="89" t="str">
        <f ca="1"/>
        <v>Espacios Confinados (Todos)</v>
      </c>
      <c r="C162" s="93" t="str">
        <f ca="1"/>
        <v/>
      </c>
      <c r="D162" s="89" t="str">
        <f ca="1"/>
        <v>Periódica</v>
      </c>
      <c r="E162" s="89">
        <f ca="1"/>
        <v>365</v>
      </c>
      <c r="F162" s="89">
        <f ca="1"/>
        <v>1</v>
      </c>
      <c r="G162" s="89" t="str">
        <f ca="1"/>
        <v>SIN FECHA</v>
      </c>
    </row>
    <row r="163" spans="1:7" x14ac:dyDescent="0.3">
      <c r="A163" s="89" t="str">
        <f ca="1"/>
        <v>CAPURRO, GERARDO DANIEL</v>
      </c>
      <c r="B163" s="89" t="str">
        <f ca="1"/>
        <v>HSMS.017 / Espacios Confinados (Entrantes)</v>
      </c>
      <c r="C163" s="93" t="str">
        <f ca="1"/>
        <v/>
      </c>
      <c r="D163" s="89" t="str">
        <f ca="1"/>
        <v>Evento</v>
      </c>
      <c r="E163" s="89">
        <f ca="1"/>
        <v>0</v>
      </c>
      <c r="F163" s="89">
        <f ca="1"/>
        <v>8</v>
      </c>
      <c r="G163" s="89" t="str">
        <f ca="1"/>
        <v>SIN FECHA</v>
      </c>
    </row>
    <row r="164" spans="1:7" x14ac:dyDescent="0.3">
      <c r="A164" s="89" t="str">
        <f ca="1"/>
        <v>CAPURRO, GERARDO DANIEL</v>
      </c>
      <c r="B164" s="89" t="str">
        <f ca="1"/>
        <v>Programa de Agua (Todos)</v>
      </c>
      <c r="C164" s="93" t="str">
        <f ca="1"/>
        <v/>
      </c>
      <c r="D164" s="89" t="str">
        <f ca="1"/>
        <v>Evento</v>
      </c>
      <c r="E164" s="89">
        <f ca="1"/>
        <v>0</v>
      </c>
      <c r="F164" s="89">
        <f ca="1"/>
        <v>1</v>
      </c>
      <c r="G164" s="89" t="str">
        <f ca="1"/>
        <v>SIN FECHA</v>
      </c>
    </row>
    <row r="165" spans="1:7" x14ac:dyDescent="0.3">
      <c r="A165" s="89" t="str">
        <f ca="1"/>
        <v>CAPURRO, GERARDO DANIEL</v>
      </c>
      <c r="B165" s="89" t="str">
        <f ca="1"/>
        <v>Programa de Agua (HSE)</v>
      </c>
      <c r="C165" s="93" t="str">
        <f ca="1"/>
        <v/>
      </c>
      <c r="D165" s="89" t="str">
        <f ca="1"/>
        <v>Evento</v>
      </c>
      <c r="E165" s="89">
        <f ca="1"/>
        <v>0</v>
      </c>
      <c r="F165" s="89">
        <f ca="1"/>
        <v>1</v>
      </c>
      <c r="G165" s="89" t="str">
        <f ca="1"/>
        <v>SIN FECHA</v>
      </c>
    </row>
    <row r="166" spans="1:7" x14ac:dyDescent="0.3">
      <c r="A166" s="89" t="str">
        <f ca="1"/>
        <v>CAPURRO, GERARDO DANIEL</v>
      </c>
      <c r="B166" s="89" t="str">
        <f ca="1"/>
        <v>HIV/SIDA y otras enfermedades de transmisión sexual (ETS)</v>
      </c>
      <c r="C166" s="93" t="str">
        <f ca="1"/>
        <v/>
      </c>
      <c r="D166" s="89" t="str">
        <f ca="1"/>
        <v>Periódica</v>
      </c>
      <c r="E166" s="89">
        <f ca="1"/>
        <v>365</v>
      </c>
      <c r="F166" s="89">
        <f ca="1"/>
        <v>1</v>
      </c>
      <c r="G166" s="89" t="str">
        <f ca="1"/>
        <v>SIN FECHA</v>
      </c>
    </row>
    <row r="167" spans="1:7" x14ac:dyDescent="0.3">
      <c r="A167" s="89" t="str">
        <f ca="1"/>
        <v>CAPURRO, GERARDO DANIEL</v>
      </c>
      <c r="B167" s="89" t="str">
        <f ca="1"/>
        <v>Drogas de abuso (concientización y prevención)</v>
      </c>
      <c r="C167" s="93" t="str">
        <f ca="1"/>
        <v/>
      </c>
      <c r="D167" s="89" t="str">
        <f ca="1"/>
        <v>Periódica</v>
      </c>
      <c r="E167" s="89">
        <f ca="1"/>
        <v>365</v>
      </c>
      <c r="F167" s="89">
        <f ca="1"/>
        <v>1</v>
      </c>
      <c r="G167" s="89" t="str">
        <f ca="1"/>
        <v>SIN FECHA</v>
      </c>
    </row>
    <row r="168" spans="1:7" x14ac:dyDescent="0.3">
      <c r="A168" s="89" t="str">
        <f ca="1"/>
        <v>CAPURRO, GERARDO DANIEL</v>
      </c>
      <c r="B168" s="89" t="str">
        <f ca="1"/>
        <v>Vida saludable (hábitos, autocuidado y bienestar)</v>
      </c>
      <c r="C168" s="93" t="str">
        <f ca="1"/>
        <v/>
      </c>
      <c r="D168" s="89" t="str">
        <f ca="1"/>
        <v>Periódica</v>
      </c>
      <c r="E168" s="89">
        <f ca="1"/>
        <v>365</v>
      </c>
      <c r="F168" s="89">
        <f ca="1"/>
        <v>1</v>
      </c>
      <c r="G168" s="89" t="str">
        <f ca="1"/>
        <v>SIN FECHA</v>
      </c>
    </row>
    <row r="169" spans="1:7" x14ac:dyDescent="0.3">
      <c r="A169" s="89" t="str">
        <f ca="1"/>
        <v>CAPURRO, GERARDO DANIEL</v>
      </c>
      <c r="B169" s="89" t="str">
        <f ca="1"/>
        <v>Primeros auxilios y Reanimación Cardio Pulmonar (RCP)</v>
      </c>
      <c r="C169" s="93" t="str">
        <f ca="1"/>
        <v/>
      </c>
      <c r="D169" s="89" t="str">
        <f ca="1"/>
        <v>Periódica</v>
      </c>
      <c r="E169" s="89">
        <f ca="1"/>
        <v>365</v>
      </c>
      <c r="F169" s="89">
        <f ca="1"/>
        <v>4</v>
      </c>
      <c r="G169" s="89" t="str">
        <f ca="1"/>
        <v>SIN FECHA</v>
      </c>
    </row>
    <row r="170" spans="1:7" x14ac:dyDescent="0.3">
      <c r="A170" s="89" t="str">
        <f ca="1"/>
        <v>CAPURRO, GERARDO DANIEL</v>
      </c>
      <c r="B170" s="89" t="str">
        <f ca="1"/>
        <v>Prevención cardiovascular (factores de riesgo y señales de alarma)</v>
      </c>
      <c r="C170" s="93" t="str">
        <f ca="1"/>
        <v/>
      </c>
      <c r="D170" s="89" t="str">
        <f ca="1"/>
        <v>Periódica</v>
      </c>
      <c r="E170" s="89">
        <f ca="1"/>
        <v>365</v>
      </c>
      <c r="F170" s="89">
        <f ca="1"/>
        <v>1</v>
      </c>
      <c r="G170" s="89" t="str">
        <f ca="1"/>
        <v>SIN FECHA</v>
      </c>
    </row>
    <row r="171" spans="1:7" x14ac:dyDescent="0.3">
      <c r="A171" s="89" t="str">
        <f ca="1"/>
        <v>CAPURRO, GERARDO DANIEL</v>
      </c>
      <c r="B171" s="89" t="str">
        <f ca="1"/>
        <v>Efectos del tabaco sobre la salud</v>
      </c>
      <c r="C171" s="93" t="str">
        <f ca="1"/>
        <v/>
      </c>
      <c r="D171" s="89" t="str">
        <f ca="1"/>
        <v>Periódica</v>
      </c>
      <c r="E171" s="89">
        <f ca="1"/>
        <v>365</v>
      </c>
      <c r="F171" s="89">
        <f ca="1"/>
        <v>1</v>
      </c>
      <c r="G171" s="89" t="str">
        <f ca="1"/>
        <v>SIN FECHA</v>
      </c>
    </row>
    <row r="172" spans="1:7" x14ac:dyDescent="0.3">
      <c r="A172" s="89" t="str">
        <f ca="1"/>
        <v>CAPURRO, GERARDO DANIEL</v>
      </c>
      <c r="B172" s="89" t="str">
        <f ca="1"/>
        <v>Cargadora (Op. Montacargas)</v>
      </c>
      <c r="C172" s="93" t="str">
        <f ca="1"/>
        <v/>
      </c>
      <c r="D172" s="89" t="str">
        <f ca="1"/>
        <v>Periódica</v>
      </c>
      <c r="E172" s="89">
        <f ca="1"/>
        <v>365</v>
      </c>
      <c r="F172" s="89">
        <f ca="1"/>
        <v>8</v>
      </c>
      <c r="G172" s="89" t="str">
        <f ca="1"/>
        <v>SIN FECHA</v>
      </c>
    </row>
    <row r="173" spans="1:7" x14ac:dyDescent="0.3">
      <c r="A173" s="89" t="str">
        <f ca="1"/>
        <v>CAPURRO, GERARDO DANIEL</v>
      </c>
      <c r="B173" s="89">
        <f ca="1"/>
        <v>0</v>
      </c>
      <c r="C173" s="93" t="str">
        <f ca="1"/>
        <v/>
      </c>
      <c r="D173" s="89" t="str">
        <f ca="1"/>
        <v/>
      </c>
      <c r="E173" s="89" t="str">
        <f ca="1"/>
        <v/>
      </c>
      <c r="F173" s="89" t="str">
        <f ca="1"/>
        <v/>
      </c>
      <c r="G173" s="89" t="str">
        <f ca="1"/>
        <v>SIN FECHA</v>
      </c>
    </row>
    <row r="174" spans="1:7" x14ac:dyDescent="0.3">
      <c r="A174" s="89" t="str">
        <f ca="1"/>
        <v>CAPURRO, GERARDO DANIEL</v>
      </c>
      <c r="B174" s="89">
        <f ca="1"/>
        <v>0</v>
      </c>
      <c r="C174" s="93" t="str">
        <f ca="1"/>
        <v/>
      </c>
      <c r="D174" s="89" t="str">
        <f ca="1"/>
        <v/>
      </c>
      <c r="E174" s="89" t="str">
        <f ca="1"/>
        <v/>
      </c>
      <c r="F174" s="89" t="str">
        <f ca="1"/>
        <v/>
      </c>
      <c r="G174" s="89" t="str">
        <f ca="1"/>
        <v>SIN FECHA</v>
      </c>
    </row>
    <row r="175" spans="1:7" x14ac:dyDescent="0.3">
      <c r="A175" s="89" t="str">
        <f ca="1"/>
        <v>CAPURRO, GERARDO DANIEL</v>
      </c>
      <c r="B175" s="89">
        <f ca="1"/>
        <v>0</v>
      </c>
      <c r="C175" s="93" t="str">
        <f ca="1"/>
        <v/>
      </c>
      <c r="D175" s="89" t="str">
        <f ca="1"/>
        <v/>
      </c>
      <c r="E175" s="89" t="str">
        <f ca="1"/>
        <v/>
      </c>
      <c r="F175" s="89" t="str">
        <f ca="1"/>
        <v/>
      </c>
      <c r="G175" s="89" t="str">
        <f ca="1"/>
        <v>SIN FECHA</v>
      </c>
    </row>
    <row r="176" spans="1:7" x14ac:dyDescent="0.3">
      <c r="A176" s="89" t="str">
        <f ca="1"/>
        <v>CAPURRO, GERARDO DANIEL</v>
      </c>
      <c r="B176" s="89">
        <f ca="1"/>
        <v>0</v>
      </c>
      <c r="C176" s="93" t="str">
        <f ca="1"/>
        <v/>
      </c>
      <c r="D176" s="89" t="str">
        <f ca="1"/>
        <v/>
      </c>
      <c r="E176" s="89" t="str">
        <f ca="1"/>
        <v/>
      </c>
      <c r="F176" s="89" t="str">
        <f ca="1"/>
        <v/>
      </c>
      <c r="G176" s="89" t="str">
        <f ca="1"/>
        <v>SIN FECHA</v>
      </c>
    </row>
    <row r="177" spans="1:7" x14ac:dyDescent="0.3">
      <c r="A177" s="89" t="str">
        <f ca="1"/>
        <v>CAPURRO, GERARDO DANIEL</v>
      </c>
      <c r="B177" s="89">
        <f ca="1"/>
        <v>0</v>
      </c>
      <c r="C177" s="93" t="str">
        <f ca="1"/>
        <v/>
      </c>
      <c r="D177" s="89" t="str">
        <f ca="1"/>
        <v/>
      </c>
      <c r="E177" s="89" t="str">
        <f ca="1"/>
        <v/>
      </c>
      <c r="F177" s="89" t="str">
        <f ca="1"/>
        <v/>
      </c>
      <c r="G177" s="89" t="str">
        <f ca="1"/>
        <v>SIN FECHA</v>
      </c>
    </row>
    <row r="178" spans="1:7" x14ac:dyDescent="0.3">
      <c r="A178" s="89" t="str">
        <f ca="1"/>
        <v>CAPURRO, GERARDO DANIEL</v>
      </c>
      <c r="B178" s="89">
        <f ca="1"/>
        <v>0</v>
      </c>
      <c r="C178" s="93" t="str">
        <f ca="1"/>
        <v/>
      </c>
      <c r="D178" s="89" t="str">
        <f ca="1"/>
        <v/>
      </c>
      <c r="E178" s="89" t="str">
        <f ca="1"/>
        <v/>
      </c>
      <c r="F178" s="89" t="str">
        <f ca="1"/>
        <v/>
      </c>
      <c r="G178" s="89" t="str">
        <f ca="1"/>
        <v>SIN FECHA</v>
      </c>
    </row>
    <row r="179" spans="1:7" x14ac:dyDescent="0.3">
      <c r="A179" s="89" t="str">
        <f ca="1"/>
        <v>CAPURRO, GERARDO DANIEL</v>
      </c>
      <c r="B179" s="89">
        <f ca="1"/>
        <v>0</v>
      </c>
      <c r="C179" s="93" t="str">
        <f ca="1"/>
        <v/>
      </c>
      <c r="D179" s="89" t="str">
        <f ca="1"/>
        <v/>
      </c>
      <c r="E179" s="89" t="str">
        <f ca="1"/>
        <v/>
      </c>
      <c r="F179" s="89" t="str">
        <f ca="1"/>
        <v/>
      </c>
      <c r="G179" s="89" t="str">
        <f ca="1"/>
        <v>SIN FECHA</v>
      </c>
    </row>
    <row r="180" spans="1:7" x14ac:dyDescent="0.3">
      <c r="A180" s="89" t="str">
        <f ca="1"/>
        <v>CAPURRO, GERARDO DANIEL</v>
      </c>
      <c r="B180" s="89">
        <f ca="1"/>
        <v>0</v>
      </c>
      <c r="C180" s="93" t="str">
        <f ca="1"/>
        <v/>
      </c>
      <c r="D180" s="89" t="str">
        <f ca="1"/>
        <v/>
      </c>
      <c r="E180" s="89" t="str">
        <f ca="1"/>
        <v/>
      </c>
      <c r="F180" s="89" t="str">
        <f ca="1"/>
        <v/>
      </c>
      <c r="G180" s="89" t="str">
        <f ca="1"/>
        <v>SIN FECHA</v>
      </c>
    </row>
    <row r="181" spans="1:7" x14ac:dyDescent="0.3">
      <c r="A181" s="89" t="str">
        <f ca="1"/>
        <v>CAPURRO, GERARDO DANIEL</v>
      </c>
      <c r="B181" s="89">
        <f ca="1"/>
        <v>0</v>
      </c>
      <c r="C181" s="93" t="str">
        <f ca="1"/>
        <v/>
      </c>
      <c r="D181" s="89" t="str">
        <f ca="1"/>
        <v/>
      </c>
      <c r="E181" s="89" t="str">
        <f ca="1"/>
        <v/>
      </c>
      <c r="F181" s="89" t="str">
        <f ca="1"/>
        <v/>
      </c>
      <c r="G181" s="89" t="str">
        <f ca="1"/>
        <v>SIN FECHA</v>
      </c>
    </row>
    <row r="182" spans="1:7" x14ac:dyDescent="0.3">
      <c r="A182" s="89" t="str">
        <f ca="1"/>
        <v>CARCAMO, EDUARDO ANDRES</v>
      </c>
      <c r="B182" s="89" t="str">
        <f ca="1"/>
        <v>Programa de Aire</v>
      </c>
      <c r="C182" s="93" t="str">
        <f ca="1"/>
        <v/>
      </c>
      <c r="D182" s="89" t="str">
        <f ca="1"/>
        <v>Evento</v>
      </c>
      <c r="E182" s="89">
        <f ca="1"/>
        <v>0</v>
      </c>
      <c r="F182" s="89">
        <f ca="1"/>
        <v>1</v>
      </c>
      <c r="G182" s="89" t="str">
        <f ca="1"/>
        <v>SIN FECHA</v>
      </c>
    </row>
    <row r="183" spans="1:7" x14ac:dyDescent="0.3">
      <c r="A183" s="89" t="str">
        <f ca="1"/>
        <v>CARCAMO, EDUARDO ANDRES</v>
      </c>
      <c r="B183" s="89" t="str">
        <f ca="1"/>
        <v>Conciencia Ambiental</v>
      </c>
      <c r="C183" s="93" t="str">
        <f ca="1"/>
        <v/>
      </c>
      <c r="D183" s="89" t="str">
        <f ca="1"/>
        <v>Periódica</v>
      </c>
      <c r="E183" s="89">
        <f ca="1"/>
        <v>365</v>
      </c>
      <c r="F183" s="89">
        <f ca="1"/>
        <v>1</v>
      </c>
      <c r="G183" s="89" t="str">
        <f ca="1"/>
        <v>SIN FECHA</v>
      </c>
    </row>
    <row r="184" spans="1:7" x14ac:dyDescent="0.3">
      <c r="A184" s="89" t="str">
        <f ca="1"/>
        <v>CARCAMO, EDUARDO ANDRES</v>
      </c>
      <c r="B184" s="89" t="str">
        <f ca="1"/>
        <v xml:space="preserve">Control de Documentos e Informacion de HSE </v>
      </c>
      <c r="C184" s="93" t="str">
        <f ca="1"/>
        <v/>
      </c>
      <c r="D184" s="89" t="str">
        <f ca="1"/>
        <v>Evento</v>
      </c>
      <c r="E184" s="89">
        <f ca="1"/>
        <v>0</v>
      </c>
      <c r="F184" s="89">
        <f ca="1"/>
        <v>1</v>
      </c>
      <c r="G184" s="89" t="str">
        <f ca="1"/>
        <v>SIN FECHA</v>
      </c>
    </row>
    <row r="185" spans="1:7" x14ac:dyDescent="0.3">
      <c r="A185" s="89" t="str">
        <f ca="1"/>
        <v>CARCAMO, EDUARDO ANDRES</v>
      </c>
      <c r="B185" s="89" t="str">
        <f ca="1"/>
        <v xml:space="preserve"> Acciones Correctivas y Preventivas (CAPA)</v>
      </c>
      <c r="C185" s="93" t="str">
        <f ca="1"/>
        <v/>
      </c>
      <c r="D185" s="89" t="str">
        <f ca="1"/>
        <v>Evento</v>
      </c>
      <c r="E185" s="89">
        <f ca="1"/>
        <v>0</v>
      </c>
      <c r="F185" s="89">
        <f ca="1"/>
        <v>1</v>
      </c>
      <c r="G185" s="89" t="str">
        <f ca="1"/>
        <v>SIN FECHA</v>
      </c>
    </row>
    <row r="186" spans="1:7" x14ac:dyDescent="0.3">
      <c r="A186" s="89" t="str">
        <f ca="1"/>
        <v>CARCAMO, EDUARDO ANDRES</v>
      </c>
      <c r="B186" s="89" t="str">
        <f ca="1"/>
        <v>Seguridad Basada en el Comportamiento (Observation Program) // HSMS.043 / Autoridad de Detener el Trabajo</v>
      </c>
      <c r="C186" s="93">
        <f ca="1"/>
        <v>45707</v>
      </c>
      <c r="D186" s="89" t="str">
        <f ca="1"/>
        <v>Periódica</v>
      </c>
      <c r="E186" s="89">
        <f ca="1"/>
        <v>365</v>
      </c>
      <c r="F186" s="89">
        <f ca="1"/>
        <v>1</v>
      </c>
      <c r="G186" s="89" t="str">
        <f ca="1"/>
        <v>VENCIDA</v>
      </c>
    </row>
    <row r="187" spans="1:7" x14ac:dyDescent="0.3">
      <c r="A187" s="89" t="str">
        <f ca="1"/>
        <v>CARCAMO, EDUARDO ANDRES</v>
      </c>
      <c r="B187" s="89" t="str">
        <f ca="1"/>
        <v>Identificacion de Peligros y Evaluacion de Riesgos</v>
      </c>
      <c r="C187" s="93">
        <f ca="1"/>
        <v>46020</v>
      </c>
      <c r="D187" s="89" t="str">
        <f ca="1"/>
        <v>Evento</v>
      </c>
      <c r="E187" s="89">
        <f ca="1"/>
        <v>0</v>
      </c>
      <c r="F187" s="89">
        <f ca="1"/>
        <v>1</v>
      </c>
      <c r="G187" s="89" t="str">
        <f ca="1"/>
        <v>VIGENTE</v>
      </c>
    </row>
    <row r="188" spans="1:7" x14ac:dyDescent="0.3">
      <c r="A188" s="89" t="str">
        <f ca="1"/>
        <v>CARCAMO, EDUARDO ANDRES</v>
      </c>
      <c r="B188" s="89" t="str">
        <f ca="1"/>
        <v xml:space="preserve"> Plan de Respuesta ante Eemergencias / HSMS.010 /Primeros Axulios &amp; RCP/DEA / HSMSWT-002 / Patogenos Trasnmitidos por la Sangre</v>
      </c>
      <c r="C188" s="93" t="str">
        <f ca="1"/>
        <v/>
      </c>
      <c r="D188" s="89" t="str">
        <f ca="1"/>
        <v>Periódica</v>
      </c>
      <c r="E188" s="89">
        <f ca="1"/>
        <v>365</v>
      </c>
      <c r="F188" s="89">
        <f ca="1"/>
        <v>1</v>
      </c>
      <c r="G188" s="89" t="str">
        <f ca="1"/>
        <v>SIN FECHA</v>
      </c>
    </row>
    <row r="189" spans="1:7" x14ac:dyDescent="0.3">
      <c r="A189" s="89" t="str">
        <f ca="1"/>
        <v>CARCAMO, EDUARDO ANDRES</v>
      </c>
      <c r="B189" s="89" t="str">
        <f ca="1"/>
        <v>Reporte y Gestion de Incidentes HSE (Todos)</v>
      </c>
      <c r="C189" s="93">
        <f ca="1"/>
        <v>46008</v>
      </c>
      <c r="D189" s="89" t="str">
        <f ca="1"/>
        <v>Periódica</v>
      </c>
      <c r="E189" s="89">
        <f ca="1"/>
        <v>365</v>
      </c>
      <c r="F189" s="89">
        <f ca="1"/>
        <v>1</v>
      </c>
      <c r="G189" s="89" t="str">
        <f ca="1"/>
        <v>VIGENTE</v>
      </c>
    </row>
    <row r="190" spans="1:7" x14ac:dyDescent="0.3">
      <c r="A190" s="89" t="str">
        <f ca="1"/>
        <v>CARCAMO, EDUARDO ANDRES</v>
      </c>
      <c r="B190" s="89" t="str">
        <f ca="1"/>
        <v>Reporte, Gestion e Investigacion de Incidentes HSE (supervisores / investigadores (rol))</v>
      </c>
      <c r="C190" s="93" t="str">
        <f ca="1"/>
        <v/>
      </c>
      <c r="D190" s="89" t="str">
        <f ca="1"/>
        <v>Periódica</v>
      </c>
      <c r="E190" s="89">
        <f ca="1"/>
        <v>1095</v>
      </c>
      <c r="F190" s="89">
        <f ca="1"/>
        <v>2</v>
      </c>
      <c r="G190" s="89" t="str">
        <f ca="1"/>
        <v>SIN FECHA</v>
      </c>
    </row>
    <row r="191" spans="1:7" x14ac:dyDescent="0.3">
      <c r="A191" s="89" t="str">
        <f ca="1"/>
        <v>CARCAMO, EDUARDO ANDRES</v>
      </c>
      <c r="B191" s="89" t="str">
        <f ca="1"/>
        <v>Gruas y Equipos de Izaje (Todos)</v>
      </c>
      <c r="C191" s="93" t="str">
        <f ca="1"/>
        <v/>
      </c>
      <c r="D191" s="89" t="str">
        <f ca="1"/>
        <v>Periódica</v>
      </c>
      <c r="E191" s="89">
        <f ca="1"/>
        <v>365</v>
      </c>
      <c r="F191" s="89">
        <f ca="1"/>
        <v>2</v>
      </c>
      <c r="G191" s="89" t="str">
        <f ca="1"/>
        <v>SIN FECHA</v>
      </c>
    </row>
    <row r="192" spans="1:7" x14ac:dyDescent="0.3">
      <c r="A192" s="89" t="str">
        <f ca="1"/>
        <v>CARCAMO, EDUARDO ANDRES</v>
      </c>
      <c r="B192" s="89" t="str">
        <f ca="1"/>
        <v>HSMS.007 / Gruas y Equipos de Izaje (Operadores)</v>
      </c>
      <c r="C192" s="93">
        <f ca="1"/>
        <v>46140</v>
      </c>
      <c r="D192" s="89" t="str">
        <f ca="1"/>
        <v>Periódica</v>
      </c>
      <c r="E192" s="89">
        <f ca="1"/>
        <v>365</v>
      </c>
      <c r="F192" s="89">
        <f ca="1"/>
        <v>8</v>
      </c>
      <c r="G192" s="89" t="str">
        <f ca="1"/>
        <v>VIGENTE</v>
      </c>
    </row>
    <row r="193" spans="1:7" x14ac:dyDescent="0.3">
      <c r="A193" s="89" t="str">
        <f ca="1"/>
        <v>CARCAMO, EDUARDO ANDRES</v>
      </c>
      <c r="B193" s="89" t="str">
        <f ca="1"/>
        <v>Proteccion Contra Incendios (Todos)</v>
      </c>
      <c r="C193" s="93">
        <f ca="1"/>
        <v>46020</v>
      </c>
      <c r="D193" s="89" t="str">
        <f ca="1"/>
        <v>Periódica</v>
      </c>
      <c r="E193" s="89">
        <f ca="1"/>
        <v>365</v>
      </c>
      <c r="F193" s="89">
        <f ca="1"/>
        <v>1</v>
      </c>
      <c r="G193" s="89" t="str">
        <f ca="1"/>
        <v>VIGENTE</v>
      </c>
    </row>
    <row r="194" spans="1:7" x14ac:dyDescent="0.3">
      <c r="A194" s="89" t="str">
        <f ca="1"/>
        <v>CARCAMO, EDUARDO ANDRES</v>
      </c>
      <c r="B194" s="89" t="str">
        <f ca="1"/>
        <v>Proteccion Contra Incendios (Brigadistas)</v>
      </c>
      <c r="C194" s="93" t="str">
        <f ca="1"/>
        <v/>
      </c>
      <c r="D194" s="89" t="str">
        <f ca="1"/>
        <v>Periódica</v>
      </c>
      <c r="E194" s="89">
        <f ca="1"/>
        <v>365</v>
      </c>
      <c r="F194" s="89">
        <f ca="1"/>
        <v>2</v>
      </c>
      <c r="G194" s="89" t="str">
        <f ca="1"/>
        <v>SIN FECHA</v>
      </c>
    </row>
    <row r="195" spans="1:7" x14ac:dyDescent="0.3">
      <c r="A195" s="89" t="str">
        <f ca="1"/>
        <v>CARCAMO, EDUARDO ANDRES</v>
      </c>
      <c r="B195" s="89" t="str">
        <f ca="1"/>
        <v>Primeros Auxilios (Brigadistas)</v>
      </c>
      <c r="C195" s="93" t="str">
        <f ca="1"/>
        <v/>
      </c>
      <c r="D195" s="89" t="str">
        <f ca="1"/>
        <v>Periódica</v>
      </c>
      <c r="E195" s="89">
        <f ca="1"/>
        <v>365</v>
      </c>
      <c r="F195" s="89">
        <f ca="1"/>
        <v>2</v>
      </c>
      <c r="G195" s="89" t="str">
        <f ca="1"/>
        <v>SIN FECHA</v>
      </c>
    </row>
    <row r="196" spans="1:7" x14ac:dyDescent="0.3">
      <c r="A196" s="89" t="str">
        <f ca="1"/>
        <v>CARCAMO, EDUARDO ANDRES</v>
      </c>
      <c r="B196" s="89" t="str">
        <f ca="1"/>
        <v>Seguridad Electrica (Todos)</v>
      </c>
      <c r="C196" s="93" t="str">
        <f ca="1"/>
        <v/>
      </c>
      <c r="D196" s="89" t="str">
        <f ca="1"/>
        <v>Periódica</v>
      </c>
      <c r="E196" s="89">
        <f ca="1"/>
        <v>365</v>
      </c>
      <c r="F196" s="89">
        <f ca="1"/>
        <v>1</v>
      </c>
      <c r="G196" s="89" t="str">
        <f ca="1"/>
        <v>SIN FECHA</v>
      </c>
    </row>
    <row r="197" spans="1:7" x14ac:dyDescent="0.3">
      <c r="A197" s="89" t="str">
        <f ca="1"/>
        <v>CARCAMO, EDUARDO ANDRES</v>
      </c>
      <c r="B197" s="89" t="str">
        <f ca="1"/>
        <v>Seguridad Electrica (Personal Autorizado)</v>
      </c>
      <c r="C197" s="93" t="str">
        <f ca="1"/>
        <v/>
      </c>
      <c r="D197" s="89" t="str">
        <f ca="1"/>
        <v>Periódica</v>
      </c>
      <c r="E197" s="89">
        <f ca="1"/>
        <v>1095</v>
      </c>
      <c r="F197" s="89">
        <f ca="1"/>
        <v>4</v>
      </c>
      <c r="G197" s="89" t="str">
        <f ca="1"/>
        <v>SIN FECHA</v>
      </c>
    </row>
    <row r="198" spans="1:7" x14ac:dyDescent="0.3">
      <c r="A198" s="89" t="str">
        <f ca="1"/>
        <v>CARCAMO, EDUARDO ANDRES</v>
      </c>
      <c r="B198" s="89" t="str">
        <f ca="1"/>
        <v>Camiones Industriales Motorizados (PIT) (Todos)</v>
      </c>
      <c r="C198" s="93" t="str">
        <f ca="1"/>
        <v/>
      </c>
      <c r="D198" s="89" t="str">
        <f ca="1"/>
        <v>Periódica</v>
      </c>
      <c r="E198" s="89">
        <f ca="1"/>
        <v>365</v>
      </c>
      <c r="F198" s="89">
        <f ca="1"/>
        <v>1</v>
      </c>
      <c r="G198" s="89" t="str">
        <f ca="1"/>
        <v>SIN FECHA</v>
      </c>
    </row>
    <row r="199" spans="1:7" x14ac:dyDescent="0.3">
      <c r="A199" s="89" t="str">
        <f ca="1"/>
        <v>CARCAMO, EDUARDO ANDRES</v>
      </c>
      <c r="B199" s="89" t="str">
        <f ca="1"/>
        <v>Camiones Industriales Motorizados (PIT) (Op. Montacargas)</v>
      </c>
      <c r="C199" s="93" t="str">
        <f ca="1"/>
        <v/>
      </c>
      <c r="D199" s="89" t="str">
        <f ca="1"/>
        <v>Periódica</v>
      </c>
      <c r="E199" s="89">
        <f ca="1"/>
        <v>365</v>
      </c>
      <c r="F199" s="89">
        <f ca="1"/>
        <v>8</v>
      </c>
      <c r="G199" s="89" t="str">
        <f ca="1"/>
        <v>SIN FECHA</v>
      </c>
    </row>
    <row r="200" spans="1:7" x14ac:dyDescent="0.3">
      <c r="A200" s="89" t="str">
        <f ca="1"/>
        <v>CARCAMO, EDUARDO ANDRES</v>
      </c>
      <c r="B200" s="89" t="str">
        <f ca="1"/>
        <v>Control de Energias Peligrosas (LOTO) (Todos)</v>
      </c>
      <c r="C200" s="93">
        <f ca="1"/>
        <v>45707</v>
      </c>
      <c r="D200" s="89" t="str">
        <f ca="1"/>
        <v>Evento</v>
      </c>
      <c r="E200" s="89">
        <f ca="1"/>
        <v>0</v>
      </c>
      <c r="F200" s="89">
        <f ca="1"/>
        <v>1</v>
      </c>
      <c r="G200" s="89" t="str">
        <f ca="1"/>
        <v>VIGENTE</v>
      </c>
    </row>
    <row r="201" spans="1:7" x14ac:dyDescent="0.3">
      <c r="A201" s="89" t="str">
        <f ca="1"/>
        <v>CARCAMO, EDUARDO ANDRES</v>
      </c>
      <c r="B201" s="89" t="str">
        <f ca="1"/>
        <v>Control de Energias Peligrosas (LOTO) (Empleados Autorizados)</v>
      </c>
      <c r="C201" s="93">
        <f ca="1"/>
        <v>46164</v>
      </c>
      <c r="D201" s="89" t="str">
        <f ca="1"/>
        <v>Periódica</v>
      </c>
      <c r="E201" s="89">
        <f ca="1"/>
        <v>365</v>
      </c>
      <c r="F201" s="89">
        <f ca="1"/>
        <v>2</v>
      </c>
      <c r="G201" s="89" t="str">
        <f ca="1"/>
        <v>VIGENTE</v>
      </c>
    </row>
    <row r="202" spans="1:7" x14ac:dyDescent="0.3">
      <c r="A202" s="89" t="str">
        <f ca="1"/>
        <v>CARCAMO, EDUARDO ANDRES</v>
      </c>
      <c r="B202" s="89" t="str">
        <f ca="1"/>
        <v>Seguridad aplicada al Pozo &amp; Yacimiento</v>
      </c>
      <c r="C202" s="93" t="str">
        <f ca="1"/>
        <v/>
      </c>
      <c r="D202" s="89" t="str">
        <f ca="1"/>
        <v>Periódica</v>
      </c>
      <c r="E202" s="89">
        <f ca="1"/>
        <v>365</v>
      </c>
      <c r="F202" s="89">
        <f ca="1"/>
        <v>1</v>
      </c>
      <c r="G202" s="89" t="str">
        <f ca="1"/>
        <v>SIN FECHA</v>
      </c>
    </row>
    <row r="203" spans="1:7" x14ac:dyDescent="0.3">
      <c r="A203" s="89" t="str">
        <f ca="1"/>
        <v>CARCAMO, EDUARDO ANDRES</v>
      </c>
      <c r="B203" s="89" t="str">
        <f ca="1"/>
        <v>Las Reglas que Salvan Vidas</v>
      </c>
      <c r="C203" s="93" t="str">
        <f ca="1"/>
        <v/>
      </c>
      <c r="D203" s="89" t="str">
        <f ca="1"/>
        <v>Periódica</v>
      </c>
      <c r="E203" s="89">
        <f ca="1"/>
        <v>365</v>
      </c>
      <c r="F203" s="89">
        <f ca="1"/>
        <v>1</v>
      </c>
      <c r="G203" s="89" t="str">
        <f ca="1"/>
        <v>SIN FECHA</v>
      </c>
    </row>
    <row r="204" spans="1:7" x14ac:dyDescent="0.3">
      <c r="A204" s="89" t="str">
        <f ca="1"/>
        <v>CARCAMO, EDUARDO ANDRES</v>
      </c>
      <c r="B204" s="89" t="str">
        <f ca="1"/>
        <v xml:space="preserve">Resguardo de Maquinas &amp; Equipos </v>
      </c>
      <c r="C204" s="93" t="str">
        <f ca="1"/>
        <v/>
      </c>
      <c r="D204" s="89" t="str">
        <f ca="1"/>
        <v>Periódica</v>
      </c>
      <c r="E204" s="89">
        <f ca="1"/>
        <v>365</v>
      </c>
      <c r="F204" s="89">
        <f ca="1"/>
        <v>1</v>
      </c>
      <c r="G204" s="89" t="str">
        <f ca="1"/>
        <v>SIN FECHA</v>
      </c>
    </row>
    <row r="205" spans="1:7" x14ac:dyDescent="0.3">
      <c r="A205" s="89" t="str">
        <f ca="1"/>
        <v>CARCAMO, EDUARDO ANDRES</v>
      </c>
      <c r="B205" s="89" t="str">
        <f ca="1"/>
        <v>Conduccion y Gestion de Viajes (Todos)</v>
      </c>
      <c r="C205" s="93">
        <f ca="1"/>
        <v>45805</v>
      </c>
      <c r="D205" s="89" t="str">
        <f ca="1"/>
        <v>Periódica</v>
      </c>
      <c r="E205" s="89">
        <f ca="1"/>
        <v>730</v>
      </c>
      <c r="F205" s="89">
        <f ca="1"/>
        <v>1</v>
      </c>
      <c r="G205" s="89" t="str">
        <f ca="1"/>
        <v>VIGENTE</v>
      </c>
    </row>
    <row r="206" spans="1:7" x14ac:dyDescent="0.3">
      <c r="A206" s="89" t="str">
        <f ca="1"/>
        <v>CARCAMO, EDUARDO ANDRES</v>
      </c>
      <c r="B206" s="89" t="str">
        <f ca="1"/>
        <v>Conduccion y Gestion de Viajes (Conductores)</v>
      </c>
      <c r="C206" s="93">
        <f ca="1"/>
        <v>46907</v>
      </c>
      <c r="D206" s="89" t="str">
        <f ca="1"/>
        <v>Periódica</v>
      </c>
      <c r="E206" s="89">
        <f ca="1"/>
        <v>1095</v>
      </c>
      <c r="F206" s="89">
        <f ca="1"/>
        <v>5</v>
      </c>
      <c r="G206" s="89" t="str">
        <f ca="1"/>
        <v>VIGENTE</v>
      </c>
    </row>
    <row r="207" spans="1:7" x14ac:dyDescent="0.3">
      <c r="A207" s="89" t="str">
        <f ca="1"/>
        <v>CARCAMO, EDUARDO ANDRES</v>
      </c>
      <c r="B207" s="89" t="str">
        <f ca="1"/>
        <v>Patogenos Transmitidos por la Sangre</v>
      </c>
      <c r="C207" s="93" t="str">
        <f ca="1"/>
        <v/>
      </c>
      <c r="D207" s="89" t="str">
        <f ca="1"/>
        <v>Periódica</v>
      </c>
      <c r="E207" s="89">
        <f ca="1"/>
        <v>365</v>
      </c>
      <c r="F207" s="89">
        <f ca="1"/>
        <v>1</v>
      </c>
      <c r="G207" s="89" t="str">
        <f ca="1"/>
        <v>SIN FECHA</v>
      </c>
    </row>
    <row r="208" spans="1:7" x14ac:dyDescent="0.3">
      <c r="A208" s="89" t="str">
        <f ca="1"/>
        <v>CARCAMO, EDUARDO ANDRES</v>
      </c>
      <c r="B208" s="89" t="str">
        <f ca="1"/>
        <v>Conservacion Auditiva</v>
      </c>
      <c r="C208" s="93" t="str">
        <f ca="1"/>
        <v/>
      </c>
      <c r="D208" s="89" t="str">
        <f ca="1"/>
        <v>Periódica</v>
      </c>
      <c r="E208" s="89">
        <f ca="1"/>
        <v>365</v>
      </c>
      <c r="F208" s="89">
        <f ca="1"/>
        <v>1</v>
      </c>
      <c r="G208" s="89" t="str">
        <f ca="1"/>
        <v>SIN FECHA</v>
      </c>
    </row>
    <row r="209" spans="1:7" x14ac:dyDescent="0.3">
      <c r="A209" s="89" t="str">
        <f ca="1"/>
        <v>CARCAMO, EDUARDO ANDRES</v>
      </c>
      <c r="B209" s="89" t="str">
        <f ca="1"/>
        <v xml:space="preserve">Ergonomia //  / Levantamiento &amp; Seguridad en la Espalda </v>
      </c>
      <c r="C209" s="93">
        <f ca="1"/>
        <v>46008</v>
      </c>
      <c r="D209" s="89" t="str">
        <f ca="1"/>
        <v>Periódica</v>
      </c>
      <c r="E209" s="89">
        <f ca="1"/>
        <v>365</v>
      </c>
      <c r="F209" s="89">
        <f ca="1"/>
        <v>1</v>
      </c>
      <c r="G209" s="89" t="str">
        <f ca="1"/>
        <v>VIGENTE</v>
      </c>
    </row>
    <row r="210" spans="1:7" x14ac:dyDescent="0.3">
      <c r="A210" s="89" t="str">
        <f ca="1"/>
        <v>CARCAMO, EDUARDO ANDRES</v>
      </c>
      <c r="B210" s="89" t="str">
        <f ca="1"/>
        <v>Superficies Elevadas (Todos)</v>
      </c>
      <c r="C210" s="93">
        <f ca="1"/>
        <v>46020</v>
      </c>
      <c r="D210" s="89" t="str">
        <f ca="1"/>
        <v>Periódica</v>
      </c>
      <c r="E210" s="89">
        <f ca="1"/>
        <v>365</v>
      </c>
      <c r="F210" s="89">
        <f ca="1"/>
        <v>1</v>
      </c>
      <c r="G210" s="89" t="str">
        <f ca="1"/>
        <v>VIGENTE</v>
      </c>
    </row>
    <row r="211" spans="1:7" x14ac:dyDescent="0.3">
      <c r="A211" s="89" t="str">
        <f ca="1"/>
        <v>CARCAMO, EDUARDO ANDRES</v>
      </c>
      <c r="B211" s="89" t="str">
        <f ca="1"/>
        <v>Superficies Elevadas (Personal Habilitado)</v>
      </c>
      <c r="C211" s="93" t="str">
        <f ca="1"/>
        <v/>
      </c>
      <c r="D211" s="89" t="str">
        <f ca="1"/>
        <v>Periódica</v>
      </c>
      <c r="E211" s="89">
        <f ca="1"/>
        <v>365</v>
      </c>
      <c r="F211" s="89">
        <f ca="1"/>
        <v>8</v>
      </c>
      <c r="G211" s="89" t="str">
        <f ca="1"/>
        <v>SIN FECHA</v>
      </c>
    </row>
    <row r="212" spans="1:7" x14ac:dyDescent="0.3">
      <c r="A212" s="89" t="str">
        <f ca="1"/>
        <v>CARCAMO, EDUARDO ANDRES</v>
      </c>
      <c r="B212" s="89" t="str">
        <f ca="1"/>
        <v>Seguridad Quimica (Todos)</v>
      </c>
      <c r="C212" s="93">
        <f ca="1"/>
        <v>46020</v>
      </c>
      <c r="D212" s="89" t="str">
        <f ca="1"/>
        <v>Periódica</v>
      </c>
      <c r="E212" s="89">
        <f ca="1"/>
        <v>730</v>
      </c>
      <c r="F212" s="89">
        <f ca="1"/>
        <v>1</v>
      </c>
      <c r="G212" s="89" t="str">
        <f ca="1"/>
        <v>VIGENTE</v>
      </c>
    </row>
    <row r="213" spans="1:7" x14ac:dyDescent="0.3">
      <c r="A213" s="89" t="str">
        <f ca="1"/>
        <v>CARCAMO, EDUARDO ANDRES</v>
      </c>
      <c r="B213" s="89" t="str">
        <f ca="1"/>
        <v>Seguridad Quimica (Mantenimiento)</v>
      </c>
      <c r="C213" s="93" t="str">
        <f ca="1"/>
        <v/>
      </c>
      <c r="D213" s="89" t="str">
        <f ca="1"/>
        <v>Periódica</v>
      </c>
      <c r="E213" s="89">
        <f ca="1"/>
        <v>365</v>
      </c>
      <c r="F213" s="89">
        <f ca="1"/>
        <v>1</v>
      </c>
      <c r="G213" s="89" t="str">
        <f ca="1"/>
        <v>SIN FECHA</v>
      </c>
    </row>
    <row r="214" spans="1:7" x14ac:dyDescent="0.3">
      <c r="A214" s="89" t="str">
        <f ca="1"/>
        <v>CARCAMO, EDUARDO ANDRES</v>
      </c>
      <c r="B214" s="89" t="str">
        <f ca="1"/>
        <v>Seguridad Quimica (Contratistas)</v>
      </c>
      <c r="C214" s="93" t="str">
        <f ca="1"/>
        <v/>
      </c>
      <c r="D214" s="89" t="str">
        <f ca="1"/>
        <v>Periódica</v>
      </c>
      <c r="E214" s="89">
        <f ca="1"/>
        <v>365</v>
      </c>
      <c r="F214" s="89">
        <f ca="1"/>
        <v>1</v>
      </c>
      <c r="G214" s="89" t="str">
        <f ca="1"/>
        <v>SIN FECHA</v>
      </c>
    </row>
    <row r="215" spans="1:7" x14ac:dyDescent="0.3">
      <c r="A215" s="89" t="str">
        <f ca="1"/>
        <v>CARCAMO, EDUARDO ANDRES</v>
      </c>
      <c r="B215" s="89" t="str">
        <f ca="1"/>
        <v>Seguridad para Trabajos en Caliente</v>
      </c>
      <c r="C215" s="93">
        <f ca="1"/>
        <v>46020</v>
      </c>
      <c r="D215" s="89" t="str">
        <f ca="1"/>
        <v>Periódica</v>
      </c>
      <c r="E215" s="89">
        <f ca="1"/>
        <v>365</v>
      </c>
      <c r="F215" s="89">
        <f ca="1"/>
        <v>1</v>
      </c>
      <c r="G215" s="89" t="str">
        <f ca="1"/>
        <v>VIGENTE</v>
      </c>
    </row>
    <row r="216" spans="1:7" x14ac:dyDescent="0.3">
      <c r="A216" s="89" t="str">
        <f ca="1"/>
        <v>CARCAMO, EDUARDO ANDRES</v>
      </c>
      <c r="B216" s="89" t="str">
        <f ca="1"/>
        <v>Seguridad con la Radiacion</v>
      </c>
      <c r="C216" s="93" t="str">
        <f ca="1"/>
        <v/>
      </c>
      <c r="D216" s="89" t="str">
        <f ca="1"/>
        <v>Periódica</v>
      </c>
      <c r="E216" s="89">
        <f ca="1"/>
        <v>365</v>
      </c>
      <c r="F216" s="89">
        <f ca="1"/>
        <v>2</v>
      </c>
      <c r="G216" s="89" t="str">
        <f ca="1"/>
        <v>SIN FECHA</v>
      </c>
    </row>
    <row r="217" spans="1:7" x14ac:dyDescent="0.3">
      <c r="A217" s="89" t="str">
        <f ca="1"/>
        <v>CARCAMO, EDUARDO ANDRES</v>
      </c>
      <c r="B217" s="89" t="str">
        <f ca="1"/>
        <v>Equipo de Proteccion Personal (PPE)</v>
      </c>
      <c r="C217" s="93">
        <f ca="1"/>
        <v>46020</v>
      </c>
      <c r="D217" s="89" t="str">
        <f ca="1"/>
        <v>Periódica</v>
      </c>
      <c r="E217" s="89">
        <f ca="1"/>
        <v>365</v>
      </c>
      <c r="F217" s="89">
        <f ca="1"/>
        <v>1</v>
      </c>
      <c r="G217" s="89" t="str">
        <f ca="1"/>
        <v>VIGENTE</v>
      </c>
    </row>
    <row r="218" spans="1:7" x14ac:dyDescent="0.3">
      <c r="A218" s="89" t="str">
        <f ca="1"/>
        <v>CARCAMO, EDUARDO ANDRES</v>
      </c>
      <c r="B218" s="89" t="str">
        <f ca="1"/>
        <v>Proteccion Respiratoria</v>
      </c>
      <c r="C218" s="93" t="str">
        <f ca="1"/>
        <v/>
      </c>
      <c r="D218" s="89" t="str">
        <f ca="1"/>
        <v>Periódica</v>
      </c>
      <c r="E218" s="89">
        <f ca="1"/>
        <v>365</v>
      </c>
      <c r="F218" s="89">
        <f ca="1"/>
        <v>1</v>
      </c>
      <c r="G218" s="89" t="str">
        <f ca="1"/>
        <v>SIN FECHA</v>
      </c>
    </row>
    <row r="219" spans="1:7" x14ac:dyDescent="0.3">
      <c r="A219" s="89" t="str">
        <f ca="1"/>
        <v>CARCAMO, EDUARDO ANDRES</v>
      </c>
      <c r="B219" s="89" t="str">
        <f ca="1"/>
        <v xml:space="preserve">Seguridad con Escaleras </v>
      </c>
      <c r="C219" s="93">
        <f ca="1"/>
        <v>46020</v>
      </c>
      <c r="D219" s="89" t="str">
        <f ca="1"/>
        <v>Periódica</v>
      </c>
      <c r="E219" s="89">
        <f ca="1"/>
        <v>365</v>
      </c>
      <c r="F219" s="89">
        <f ca="1"/>
        <v>1</v>
      </c>
      <c r="G219" s="89" t="str">
        <f ca="1"/>
        <v>VIGENTE</v>
      </c>
    </row>
    <row r="220" spans="1:7" x14ac:dyDescent="0.3">
      <c r="A220" s="89" t="str">
        <f ca="1"/>
        <v>CARCAMO, EDUARDO ANDRES</v>
      </c>
      <c r="B220" s="89" t="str">
        <f ca="1"/>
        <v>Seguridad con Escaleras // Estantes de Almacenamiento</v>
      </c>
      <c r="C220" s="93" t="str">
        <f ca="1"/>
        <v/>
      </c>
      <c r="D220" s="89" t="str">
        <f ca="1"/>
        <v>Periódica</v>
      </c>
      <c r="E220" s="89">
        <f ca="1"/>
        <v>365</v>
      </c>
      <c r="F220" s="89">
        <f ca="1"/>
        <v>1</v>
      </c>
      <c r="G220" s="89" t="str">
        <f ca="1"/>
        <v>SIN FECHA</v>
      </c>
    </row>
    <row r="221" spans="1:7" x14ac:dyDescent="0.3">
      <c r="A221" s="89" t="str">
        <f ca="1"/>
        <v>CARCAMO, EDUARDO ANDRES</v>
      </c>
      <c r="B221" s="89" t="str">
        <f ca="1"/>
        <v>Responsabilidades del Supervisor</v>
      </c>
      <c r="C221" s="93" t="str">
        <f ca="1"/>
        <v/>
      </c>
      <c r="D221" s="89" t="str">
        <f ca="1"/>
        <v>Periódica</v>
      </c>
      <c r="E221" s="89">
        <f ca="1"/>
        <v>365</v>
      </c>
      <c r="F221" s="89">
        <f ca="1"/>
        <v>1</v>
      </c>
      <c r="G221" s="89" t="str">
        <f ca="1"/>
        <v>SIN FECHA</v>
      </c>
    </row>
    <row r="222" spans="1:7" x14ac:dyDescent="0.3">
      <c r="A222" s="89" t="str">
        <f ca="1"/>
        <v>CARCAMO, EDUARDO ANDRES</v>
      </c>
      <c r="B222" s="89" t="str">
        <f ca="1"/>
        <v>Espacios Confinados (Todos)</v>
      </c>
      <c r="C222" s="93" t="str">
        <f ca="1"/>
        <v/>
      </c>
      <c r="D222" s="89" t="str">
        <f ca="1"/>
        <v>Periódica</v>
      </c>
      <c r="E222" s="89">
        <f ca="1"/>
        <v>365</v>
      </c>
      <c r="F222" s="89">
        <f ca="1"/>
        <v>1</v>
      </c>
      <c r="G222" s="89" t="str">
        <f ca="1"/>
        <v>SIN FECHA</v>
      </c>
    </row>
    <row r="223" spans="1:7" x14ac:dyDescent="0.3">
      <c r="A223" s="89" t="str">
        <f ca="1"/>
        <v>CARCAMO, EDUARDO ANDRES</v>
      </c>
      <c r="B223" s="89" t="str">
        <f ca="1"/>
        <v>HSMS.017 / Espacios Confinados (Entrantes)</v>
      </c>
      <c r="C223" s="93" t="str">
        <f ca="1"/>
        <v/>
      </c>
      <c r="D223" s="89" t="str">
        <f ca="1"/>
        <v>Evento</v>
      </c>
      <c r="E223" s="89">
        <f ca="1"/>
        <v>0</v>
      </c>
      <c r="F223" s="89">
        <f ca="1"/>
        <v>8</v>
      </c>
      <c r="G223" s="89" t="str">
        <f ca="1"/>
        <v>SIN FECHA</v>
      </c>
    </row>
    <row r="224" spans="1:7" x14ac:dyDescent="0.3">
      <c r="A224" s="89" t="str">
        <f ca="1"/>
        <v>CARCAMO, EDUARDO ANDRES</v>
      </c>
      <c r="B224" s="89" t="str">
        <f ca="1"/>
        <v>Programa de Agua (Todos)</v>
      </c>
      <c r="C224" s="93" t="str">
        <f ca="1"/>
        <v/>
      </c>
      <c r="D224" s="89" t="str">
        <f ca="1"/>
        <v>Evento</v>
      </c>
      <c r="E224" s="89">
        <f ca="1"/>
        <v>0</v>
      </c>
      <c r="F224" s="89">
        <f ca="1"/>
        <v>1</v>
      </c>
      <c r="G224" s="89" t="str">
        <f ca="1"/>
        <v>SIN FECHA</v>
      </c>
    </row>
    <row r="225" spans="1:7" x14ac:dyDescent="0.3">
      <c r="A225" s="89" t="str">
        <f ca="1"/>
        <v>CARCAMO, EDUARDO ANDRES</v>
      </c>
      <c r="B225" s="89" t="str">
        <f ca="1"/>
        <v>Programa de Agua (HSE)</v>
      </c>
      <c r="C225" s="93" t="str">
        <f ca="1"/>
        <v/>
      </c>
      <c r="D225" s="89" t="str">
        <f ca="1"/>
        <v>Evento</v>
      </c>
      <c r="E225" s="89">
        <f ca="1"/>
        <v>0</v>
      </c>
      <c r="F225" s="89">
        <f ca="1"/>
        <v>1</v>
      </c>
      <c r="G225" s="89" t="str">
        <f ca="1"/>
        <v>SIN FECHA</v>
      </c>
    </row>
    <row r="226" spans="1:7" x14ac:dyDescent="0.3">
      <c r="A226" s="89" t="str">
        <f ca="1"/>
        <v>CARCAMO, EDUARDO ANDRES</v>
      </c>
      <c r="B226" s="89" t="str">
        <f ca="1"/>
        <v>HIV/SIDA y otras enfermedades de transmisión sexual (ETS)</v>
      </c>
      <c r="C226" s="93" t="str">
        <f ca="1"/>
        <v/>
      </c>
      <c r="D226" s="89" t="str">
        <f ca="1"/>
        <v>Periódica</v>
      </c>
      <c r="E226" s="89">
        <f ca="1"/>
        <v>365</v>
      </c>
      <c r="F226" s="89">
        <f ca="1"/>
        <v>1</v>
      </c>
      <c r="G226" s="89" t="str">
        <f ca="1"/>
        <v>SIN FECHA</v>
      </c>
    </row>
    <row r="227" spans="1:7" x14ac:dyDescent="0.3">
      <c r="A227" s="89" t="str">
        <f ca="1"/>
        <v>CARCAMO, EDUARDO ANDRES</v>
      </c>
      <c r="B227" s="89" t="str">
        <f ca="1"/>
        <v>Drogas de abuso (concientización y prevención)</v>
      </c>
      <c r="C227" s="93" t="str">
        <f ca="1"/>
        <v/>
      </c>
      <c r="D227" s="89" t="str">
        <f ca="1"/>
        <v>Periódica</v>
      </c>
      <c r="E227" s="89">
        <f ca="1"/>
        <v>365</v>
      </c>
      <c r="F227" s="89">
        <f ca="1"/>
        <v>1</v>
      </c>
      <c r="G227" s="89" t="str">
        <f ca="1"/>
        <v>SIN FECHA</v>
      </c>
    </row>
    <row r="228" spans="1:7" x14ac:dyDescent="0.3">
      <c r="A228" s="89" t="str">
        <f ca="1"/>
        <v>CARCAMO, EDUARDO ANDRES</v>
      </c>
      <c r="B228" s="89" t="str">
        <f ca="1"/>
        <v>Vida saludable (hábitos, autocuidado y bienestar)</v>
      </c>
      <c r="C228" s="93" t="str">
        <f ca="1"/>
        <v/>
      </c>
      <c r="D228" s="89" t="str">
        <f ca="1"/>
        <v>Periódica</v>
      </c>
      <c r="E228" s="89">
        <f ca="1"/>
        <v>365</v>
      </c>
      <c r="F228" s="89">
        <f ca="1"/>
        <v>1</v>
      </c>
      <c r="G228" s="89" t="str">
        <f ca="1"/>
        <v>SIN FECHA</v>
      </c>
    </row>
    <row r="229" spans="1:7" x14ac:dyDescent="0.3">
      <c r="A229" s="89" t="str">
        <f ca="1"/>
        <v>CARCAMO, EDUARDO ANDRES</v>
      </c>
      <c r="B229" s="89" t="str">
        <f ca="1"/>
        <v>Primeros auxilios y Reanimación Cardio Pulmonar (RCP)</v>
      </c>
      <c r="C229" s="93" t="str">
        <f ca="1"/>
        <v/>
      </c>
      <c r="D229" s="89" t="str">
        <f ca="1"/>
        <v>Periódica</v>
      </c>
      <c r="E229" s="89">
        <f ca="1"/>
        <v>365</v>
      </c>
      <c r="F229" s="89">
        <f ca="1"/>
        <v>4</v>
      </c>
      <c r="G229" s="89" t="str">
        <f ca="1"/>
        <v>SIN FECHA</v>
      </c>
    </row>
    <row r="230" spans="1:7" x14ac:dyDescent="0.3">
      <c r="A230" s="89" t="str">
        <f ca="1"/>
        <v>CARCAMO, EDUARDO ANDRES</v>
      </c>
      <c r="B230" s="89" t="str">
        <f ca="1"/>
        <v>Prevención cardiovascular (factores de riesgo y señales de alarma)</v>
      </c>
      <c r="C230" s="93" t="str">
        <f ca="1"/>
        <v/>
      </c>
      <c r="D230" s="89" t="str">
        <f ca="1"/>
        <v>Periódica</v>
      </c>
      <c r="E230" s="89">
        <f ca="1"/>
        <v>365</v>
      </c>
      <c r="F230" s="89">
        <f ca="1"/>
        <v>1</v>
      </c>
      <c r="G230" s="89" t="str">
        <f ca="1"/>
        <v>SIN FECHA</v>
      </c>
    </row>
    <row r="231" spans="1:7" x14ac:dyDescent="0.3">
      <c r="A231" s="89" t="str">
        <f ca="1"/>
        <v>CARCAMO, EDUARDO ANDRES</v>
      </c>
      <c r="B231" s="89" t="str">
        <f ca="1"/>
        <v>Efectos del tabaco sobre la salud</v>
      </c>
      <c r="C231" s="93" t="str">
        <f ca="1"/>
        <v/>
      </c>
      <c r="D231" s="89" t="str">
        <f ca="1"/>
        <v>Periódica</v>
      </c>
      <c r="E231" s="89">
        <f ca="1"/>
        <v>365</v>
      </c>
      <c r="F231" s="89">
        <f ca="1"/>
        <v>1</v>
      </c>
      <c r="G231" s="89" t="str">
        <f ca="1"/>
        <v>SIN FECHA</v>
      </c>
    </row>
    <row r="232" spans="1:7" x14ac:dyDescent="0.3">
      <c r="A232" s="89" t="str">
        <f ca="1"/>
        <v>CARCAMO, EDUARDO ANDRES</v>
      </c>
      <c r="B232" s="89" t="str">
        <f ca="1"/>
        <v>Cargadora (Op. Montacargas)</v>
      </c>
      <c r="C232" s="93" t="str">
        <f ca="1"/>
        <v/>
      </c>
      <c r="D232" s="89" t="str">
        <f ca="1"/>
        <v>Periódica</v>
      </c>
      <c r="E232" s="89">
        <f ca="1"/>
        <v>365</v>
      </c>
      <c r="F232" s="89">
        <f ca="1"/>
        <v>8</v>
      </c>
      <c r="G232" s="89" t="str">
        <f ca="1"/>
        <v>SIN FECHA</v>
      </c>
    </row>
    <row r="233" spans="1:7" x14ac:dyDescent="0.3">
      <c r="A233" s="89" t="str">
        <f ca="1"/>
        <v>CARCAMO, EDUARDO ANDRES</v>
      </c>
      <c r="B233" s="89">
        <f ca="1"/>
        <v>0</v>
      </c>
      <c r="C233" s="93" t="str">
        <f ca="1"/>
        <v/>
      </c>
      <c r="D233" s="89" t="str">
        <f ca="1"/>
        <v/>
      </c>
      <c r="E233" s="89" t="str">
        <f ca="1"/>
        <v/>
      </c>
      <c r="F233" s="89" t="str">
        <f ca="1"/>
        <v/>
      </c>
      <c r="G233" s="89" t="str">
        <f ca="1"/>
        <v>SIN FECHA</v>
      </c>
    </row>
    <row r="234" spans="1:7" x14ac:dyDescent="0.3">
      <c r="A234" s="89" t="str">
        <f ca="1"/>
        <v>CARCAMO, EDUARDO ANDRES</v>
      </c>
      <c r="B234" s="89">
        <f ca="1"/>
        <v>0</v>
      </c>
      <c r="C234" s="93" t="str">
        <f ca="1"/>
        <v/>
      </c>
      <c r="D234" s="89" t="str">
        <f ca="1"/>
        <v/>
      </c>
      <c r="E234" s="89" t="str">
        <f ca="1"/>
        <v/>
      </c>
      <c r="F234" s="89" t="str">
        <f ca="1"/>
        <v/>
      </c>
      <c r="G234" s="89" t="str">
        <f ca="1"/>
        <v>SIN FECHA</v>
      </c>
    </row>
    <row r="235" spans="1:7" x14ac:dyDescent="0.3">
      <c r="A235" s="89" t="str">
        <f ca="1"/>
        <v>CARCAMO, EDUARDO ANDRES</v>
      </c>
      <c r="B235" s="89">
        <f ca="1"/>
        <v>0</v>
      </c>
      <c r="C235" s="93" t="str">
        <f ca="1"/>
        <v/>
      </c>
      <c r="D235" s="89" t="str">
        <f ca="1"/>
        <v/>
      </c>
      <c r="E235" s="89" t="str">
        <f ca="1"/>
        <v/>
      </c>
      <c r="F235" s="89" t="str">
        <f ca="1"/>
        <v/>
      </c>
      <c r="G235" s="89" t="str">
        <f ca="1"/>
        <v>SIN FECHA</v>
      </c>
    </row>
    <row r="236" spans="1:7" x14ac:dyDescent="0.3">
      <c r="A236" s="89" t="str">
        <f ca="1"/>
        <v>CARCAMO, EDUARDO ANDRES</v>
      </c>
      <c r="B236" s="89">
        <f ca="1"/>
        <v>0</v>
      </c>
      <c r="C236" s="93" t="str">
        <f ca="1"/>
        <v/>
      </c>
      <c r="D236" s="89" t="str">
        <f ca="1"/>
        <v/>
      </c>
      <c r="E236" s="89" t="str">
        <f ca="1"/>
        <v/>
      </c>
      <c r="F236" s="89" t="str">
        <f ca="1"/>
        <v/>
      </c>
      <c r="G236" s="89" t="str">
        <f ca="1"/>
        <v>SIN FECHA</v>
      </c>
    </row>
    <row r="237" spans="1:7" x14ac:dyDescent="0.3">
      <c r="A237" s="89" t="str">
        <f ca="1"/>
        <v>CARCAMO, EDUARDO ANDRES</v>
      </c>
      <c r="B237" s="89">
        <f ca="1"/>
        <v>0</v>
      </c>
      <c r="C237" s="93" t="str">
        <f ca="1"/>
        <v/>
      </c>
      <c r="D237" s="89" t="str">
        <f ca="1"/>
        <v/>
      </c>
      <c r="E237" s="89" t="str">
        <f ca="1"/>
        <v/>
      </c>
      <c r="F237" s="89" t="str">
        <f ca="1"/>
        <v/>
      </c>
      <c r="G237" s="89" t="str">
        <f ca="1"/>
        <v>SIN FECHA</v>
      </c>
    </row>
    <row r="238" spans="1:7" x14ac:dyDescent="0.3">
      <c r="A238" s="89" t="str">
        <f ca="1"/>
        <v>CARCAMO, EDUARDO ANDRES</v>
      </c>
      <c r="B238" s="89">
        <f ca="1"/>
        <v>0</v>
      </c>
      <c r="C238" s="93" t="str">
        <f ca="1"/>
        <v/>
      </c>
      <c r="D238" s="89" t="str">
        <f ca="1"/>
        <v/>
      </c>
      <c r="E238" s="89" t="str">
        <f ca="1"/>
        <v/>
      </c>
      <c r="F238" s="89" t="str">
        <f ca="1"/>
        <v/>
      </c>
      <c r="G238" s="89" t="str">
        <f ca="1"/>
        <v>SIN FECHA</v>
      </c>
    </row>
    <row r="239" spans="1:7" x14ac:dyDescent="0.3">
      <c r="A239" s="89" t="str">
        <f ca="1"/>
        <v>CARCAMO, EDUARDO ANDRES</v>
      </c>
      <c r="B239" s="89">
        <f ca="1"/>
        <v>0</v>
      </c>
      <c r="C239" s="93" t="str">
        <f ca="1"/>
        <v/>
      </c>
      <c r="D239" s="89" t="str">
        <f ca="1"/>
        <v/>
      </c>
      <c r="E239" s="89" t="str">
        <f ca="1"/>
        <v/>
      </c>
      <c r="F239" s="89" t="str">
        <f ca="1"/>
        <v/>
      </c>
      <c r="G239" s="89" t="str">
        <f ca="1"/>
        <v>SIN FECHA</v>
      </c>
    </row>
    <row r="240" spans="1:7" x14ac:dyDescent="0.3">
      <c r="A240" s="89" t="str">
        <f ca="1"/>
        <v>CARCAMO, EDUARDO ANDRES</v>
      </c>
      <c r="B240" s="89">
        <f ca="1"/>
        <v>0</v>
      </c>
      <c r="C240" s="93" t="str">
        <f ca="1"/>
        <v/>
      </c>
      <c r="D240" s="89" t="str">
        <f ca="1"/>
        <v/>
      </c>
      <c r="E240" s="89" t="str">
        <f ca="1"/>
        <v/>
      </c>
      <c r="F240" s="89" t="str">
        <f ca="1"/>
        <v/>
      </c>
      <c r="G240" s="89" t="str">
        <f ca="1"/>
        <v>SIN FECHA</v>
      </c>
    </row>
    <row r="241" spans="1:7" x14ac:dyDescent="0.3">
      <c r="A241" s="89" t="str">
        <f ca="1"/>
        <v>CARCAMO, EDUARDO ANDRES</v>
      </c>
      <c r="B241" s="89">
        <f ca="1"/>
        <v>0</v>
      </c>
      <c r="C241" s="93" t="str">
        <f ca="1"/>
        <v/>
      </c>
      <c r="D241" s="89" t="str">
        <f ca="1"/>
        <v/>
      </c>
      <c r="E241" s="89" t="str">
        <f ca="1"/>
        <v/>
      </c>
      <c r="F241" s="89" t="str">
        <f ca="1"/>
        <v/>
      </c>
      <c r="G241" s="89" t="str">
        <f ca="1"/>
        <v>SIN FECHA</v>
      </c>
    </row>
    <row r="242" spans="1:7" x14ac:dyDescent="0.3">
      <c r="A242" s="89" t="str">
        <f ca="1"/>
        <v>CEJAS, ALFREDO NICOLAS</v>
      </c>
      <c r="B242" s="89" t="str">
        <f ca="1"/>
        <v>Programa de Aire</v>
      </c>
      <c r="C242" s="93" t="str">
        <f ca="1"/>
        <v/>
      </c>
      <c r="D242" s="89" t="str">
        <f ca="1"/>
        <v>Evento</v>
      </c>
      <c r="E242" s="89">
        <f ca="1"/>
        <v>0</v>
      </c>
      <c r="F242" s="89">
        <f ca="1"/>
        <v>1</v>
      </c>
      <c r="G242" s="89" t="str">
        <f ca="1"/>
        <v>SIN FECHA</v>
      </c>
    </row>
    <row r="243" spans="1:7" x14ac:dyDescent="0.3">
      <c r="A243" s="89" t="str">
        <f ca="1"/>
        <v>CEJAS, ALFREDO NICOLAS</v>
      </c>
      <c r="B243" s="89" t="str">
        <f ca="1"/>
        <v>Conciencia Ambiental</v>
      </c>
      <c r="C243" s="93">
        <f ca="1"/>
        <v>46160</v>
      </c>
      <c r="D243" s="89" t="str">
        <f ca="1"/>
        <v>Periódica</v>
      </c>
      <c r="E243" s="89">
        <f ca="1"/>
        <v>365</v>
      </c>
      <c r="F243" s="89">
        <f ca="1"/>
        <v>1</v>
      </c>
      <c r="G243" s="89" t="str">
        <f ca="1"/>
        <v>VIGENTE</v>
      </c>
    </row>
    <row r="244" spans="1:7" x14ac:dyDescent="0.3">
      <c r="A244" s="89" t="str">
        <f ca="1"/>
        <v>CEJAS, ALFREDO NICOLAS</v>
      </c>
      <c r="B244" s="89" t="str">
        <f ca="1"/>
        <v xml:space="preserve">Control de Documentos e Informacion de HSE </v>
      </c>
      <c r="C244" s="93" t="str">
        <f ca="1"/>
        <v/>
      </c>
      <c r="D244" s="89" t="str">
        <f ca="1"/>
        <v>Evento</v>
      </c>
      <c r="E244" s="89">
        <f ca="1"/>
        <v>0</v>
      </c>
      <c r="F244" s="89">
        <f ca="1"/>
        <v>1</v>
      </c>
      <c r="G244" s="89" t="str">
        <f ca="1"/>
        <v>SIN FECHA</v>
      </c>
    </row>
    <row r="245" spans="1:7" x14ac:dyDescent="0.3">
      <c r="A245" s="89" t="str">
        <f ca="1"/>
        <v>CEJAS, ALFREDO NICOLAS</v>
      </c>
      <c r="B245" s="89" t="str">
        <f ca="1"/>
        <v xml:space="preserve"> Acciones Correctivas y Preventivas (CAPA)</v>
      </c>
      <c r="C245" s="93" t="str">
        <f ca="1"/>
        <v/>
      </c>
      <c r="D245" s="89" t="str">
        <f ca="1"/>
        <v>Evento</v>
      </c>
      <c r="E245" s="89">
        <f ca="1"/>
        <v>0</v>
      </c>
      <c r="F245" s="89">
        <f ca="1"/>
        <v>1</v>
      </c>
      <c r="G245" s="89" t="str">
        <f ca="1"/>
        <v>SIN FECHA</v>
      </c>
    </row>
    <row r="246" spans="1:7" x14ac:dyDescent="0.3">
      <c r="A246" s="89" t="str">
        <f ca="1"/>
        <v>CEJAS, ALFREDO NICOLAS</v>
      </c>
      <c r="B246" s="89" t="str">
        <f ca="1"/>
        <v>Seguridad Basada en el Comportamiento (Observation Program) // HSMS.043 / Autoridad de Detener el Trabajo</v>
      </c>
      <c r="C246" s="93" t="str">
        <f ca="1"/>
        <v/>
      </c>
      <c r="D246" s="89" t="str">
        <f ca="1"/>
        <v>Periódica</v>
      </c>
      <c r="E246" s="89">
        <f ca="1"/>
        <v>365</v>
      </c>
      <c r="F246" s="89">
        <f ca="1"/>
        <v>1</v>
      </c>
      <c r="G246" s="89" t="str">
        <f ca="1"/>
        <v>SIN FECHA</v>
      </c>
    </row>
    <row r="247" spans="1:7" x14ac:dyDescent="0.3">
      <c r="A247" s="89" t="str">
        <f ca="1"/>
        <v>CEJAS, ALFREDO NICOLAS</v>
      </c>
      <c r="B247" s="89" t="str">
        <f ca="1"/>
        <v>Identificacion de Peligros y Evaluacion de Riesgos</v>
      </c>
      <c r="C247" s="93" t="str">
        <f ca="1"/>
        <v/>
      </c>
      <c r="D247" s="89" t="str">
        <f ca="1"/>
        <v>Evento</v>
      </c>
      <c r="E247" s="89">
        <f ca="1"/>
        <v>0</v>
      </c>
      <c r="F247" s="89">
        <f ca="1"/>
        <v>1</v>
      </c>
      <c r="G247" s="89" t="str">
        <f ca="1"/>
        <v>SIN FECHA</v>
      </c>
    </row>
    <row r="248" spans="1:7" x14ac:dyDescent="0.3">
      <c r="A248" s="89" t="str">
        <f ca="1"/>
        <v>CEJAS, ALFREDO NICOLAS</v>
      </c>
      <c r="B248" s="89" t="str">
        <f ca="1"/>
        <v xml:space="preserve"> Plan de Respuesta ante Eemergencias / HSMS.010 /Primeros Axulios &amp; RCP/DEA / HSMSWT-002 / Patogenos Trasnmitidos por la Sangre</v>
      </c>
      <c r="C248" s="93" t="str">
        <f ca="1"/>
        <v/>
      </c>
      <c r="D248" s="89" t="str">
        <f ca="1"/>
        <v>Periódica</v>
      </c>
      <c r="E248" s="89">
        <f ca="1"/>
        <v>365</v>
      </c>
      <c r="F248" s="89">
        <f ca="1"/>
        <v>1</v>
      </c>
      <c r="G248" s="89" t="str">
        <f ca="1"/>
        <v>SIN FECHA</v>
      </c>
    </row>
    <row r="249" spans="1:7" x14ac:dyDescent="0.3">
      <c r="A249" s="89" t="str">
        <f ca="1"/>
        <v>CEJAS, ALFREDO NICOLAS</v>
      </c>
      <c r="B249" s="89" t="str">
        <f ca="1"/>
        <v>Reporte y Gestion de Incidentes HSE (Todos)</v>
      </c>
      <c r="C249" s="93" t="str">
        <f ca="1"/>
        <v/>
      </c>
      <c r="D249" s="89" t="str">
        <f ca="1"/>
        <v>Periódica</v>
      </c>
      <c r="E249" s="89">
        <f ca="1"/>
        <v>365</v>
      </c>
      <c r="F249" s="89">
        <f ca="1"/>
        <v>1</v>
      </c>
      <c r="G249" s="89" t="str">
        <f ca="1"/>
        <v>SIN FECHA</v>
      </c>
    </row>
    <row r="250" spans="1:7" x14ac:dyDescent="0.3">
      <c r="A250" s="89" t="str">
        <f ca="1"/>
        <v>CEJAS, ALFREDO NICOLAS</v>
      </c>
      <c r="B250" s="89" t="str">
        <f ca="1"/>
        <v>Reporte, Gestion e Investigacion de Incidentes HSE (supervisores / investigadores (rol))</v>
      </c>
      <c r="C250" s="93" t="str">
        <f ca="1"/>
        <v/>
      </c>
      <c r="D250" s="89" t="str">
        <f ca="1"/>
        <v>Periódica</v>
      </c>
      <c r="E250" s="89">
        <f ca="1"/>
        <v>1095</v>
      </c>
      <c r="F250" s="89">
        <f ca="1"/>
        <v>2</v>
      </c>
      <c r="G250" s="89" t="str">
        <f ca="1"/>
        <v>SIN FECHA</v>
      </c>
    </row>
    <row r="251" spans="1:7" x14ac:dyDescent="0.3">
      <c r="A251" s="89" t="str">
        <f ca="1"/>
        <v>CEJAS, ALFREDO NICOLAS</v>
      </c>
      <c r="B251" s="89" t="str">
        <f ca="1"/>
        <v>Gruas y Equipos de Izaje (Todos)</v>
      </c>
      <c r="C251" s="93" t="str">
        <f ca="1"/>
        <v/>
      </c>
      <c r="D251" s="89" t="str">
        <f ca="1"/>
        <v>Periódica</v>
      </c>
      <c r="E251" s="89">
        <f ca="1"/>
        <v>365</v>
      </c>
      <c r="F251" s="89">
        <f ca="1"/>
        <v>2</v>
      </c>
      <c r="G251" s="89" t="str">
        <f ca="1"/>
        <v>SIN FECHA</v>
      </c>
    </row>
    <row r="252" spans="1:7" x14ac:dyDescent="0.3">
      <c r="A252" s="89" t="str">
        <f ca="1"/>
        <v>CEJAS, ALFREDO NICOLAS</v>
      </c>
      <c r="B252" s="89" t="str">
        <f ca="1"/>
        <v>HSMS.007 / Gruas y Equipos de Izaje (Operadores)</v>
      </c>
      <c r="C252" s="93">
        <f ca="1"/>
        <v>46140</v>
      </c>
      <c r="D252" s="89" t="str">
        <f ca="1"/>
        <v>Periódica</v>
      </c>
      <c r="E252" s="89">
        <f ca="1"/>
        <v>365</v>
      </c>
      <c r="F252" s="89">
        <f ca="1"/>
        <v>8</v>
      </c>
      <c r="G252" s="89" t="str">
        <f ca="1"/>
        <v>VIGENTE</v>
      </c>
    </row>
    <row r="253" spans="1:7" x14ac:dyDescent="0.3">
      <c r="A253" s="89" t="str">
        <f ca="1"/>
        <v>CEJAS, ALFREDO NICOLAS</v>
      </c>
      <c r="B253" s="89" t="str">
        <f ca="1"/>
        <v>Proteccion Contra Incendios (Todos)</v>
      </c>
      <c r="C253" s="93" t="str">
        <f ca="1"/>
        <v/>
      </c>
      <c r="D253" s="89" t="str">
        <f ca="1"/>
        <v>Periódica</v>
      </c>
      <c r="E253" s="89">
        <f ca="1"/>
        <v>365</v>
      </c>
      <c r="F253" s="89">
        <f ca="1"/>
        <v>1</v>
      </c>
      <c r="G253" s="89" t="str">
        <f ca="1"/>
        <v>SIN FECHA</v>
      </c>
    </row>
    <row r="254" spans="1:7" x14ac:dyDescent="0.3">
      <c r="A254" s="89" t="str">
        <f ca="1"/>
        <v>CEJAS, ALFREDO NICOLAS</v>
      </c>
      <c r="B254" s="89" t="str">
        <f ca="1"/>
        <v>Proteccion Contra Incendios (Brigadistas)</v>
      </c>
      <c r="C254" s="93" t="str">
        <f ca="1"/>
        <v/>
      </c>
      <c r="D254" s="89" t="str">
        <f ca="1"/>
        <v>Periódica</v>
      </c>
      <c r="E254" s="89">
        <f ca="1"/>
        <v>365</v>
      </c>
      <c r="F254" s="89">
        <f ca="1"/>
        <v>2</v>
      </c>
      <c r="G254" s="89" t="str">
        <f ca="1"/>
        <v>SIN FECHA</v>
      </c>
    </row>
    <row r="255" spans="1:7" x14ac:dyDescent="0.3">
      <c r="A255" s="89" t="str">
        <f ca="1"/>
        <v>CEJAS, ALFREDO NICOLAS</v>
      </c>
      <c r="B255" s="89" t="str">
        <f ca="1"/>
        <v>Primeros Auxilios (Brigadistas)</v>
      </c>
      <c r="C255" s="93" t="str">
        <f ca="1"/>
        <v/>
      </c>
      <c r="D255" s="89" t="str">
        <f ca="1"/>
        <v>Periódica</v>
      </c>
      <c r="E255" s="89">
        <f ca="1"/>
        <v>365</v>
      </c>
      <c r="F255" s="89">
        <f ca="1"/>
        <v>2</v>
      </c>
      <c r="G255" s="89" t="str">
        <f ca="1"/>
        <v>SIN FECHA</v>
      </c>
    </row>
    <row r="256" spans="1:7" x14ac:dyDescent="0.3">
      <c r="A256" s="89" t="str">
        <f ca="1"/>
        <v>CEJAS, ALFREDO NICOLAS</v>
      </c>
      <c r="B256" s="89" t="str">
        <f ca="1"/>
        <v>Seguridad Electrica (Todos)</v>
      </c>
      <c r="C256" s="93" t="str">
        <f ca="1"/>
        <v/>
      </c>
      <c r="D256" s="89" t="str">
        <f ca="1"/>
        <v>Periódica</v>
      </c>
      <c r="E256" s="89">
        <f ca="1"/>
        <v>365</v>
      </c>
      <c r="F256" s="89">
        <f ca="1"/>
        <v>1</v>
      </c>
      <c r="G256" s="89" t="str">
        <f ca="1"/>
        <v>SIN FECHA</v>
      </c>
    </row>
    <row r="257" spans="1:7" x14ac:dyDescent="0.3">
      <c r="A257" s="89" t="str">
        <f ca="1"/>
        <v>CEJAS, ALFREDO NICOLAS</v>
      </c>
      <c r="B257" s="89" t="str">
        <f ca="1"/>
        <v>Seguridad Electrica (Personal Autorizado)</v>
      </c>
      <c r="C257" s="93" t="str">
        <f ca="1"/>
        <v/>
      </c>
      <c r="D257" s="89" t="str">
        <f ca="1"/>
        <v>Periódica</v>
      </c>
      <c r="E257" s="89">
        <f ca="1"/>
        <v>1095</v>
      </c>
      <c r="F257" s="89">
        <f ca="1"/>
        <v>4</v>
      </c>
      <c r="G257" s="89" t="str">
        <f ca="1"/>
        <v>SIN FECHA</v>
      </c>
    </row>
    <row r="258" spans="1:7" x14ac:dyDescent="0.3">
      <c r="A258" s="89" t="str">
        <f ca="1"/>
        <v>CEJAS, ALFREDO NICOLAS</v>
      </c>
      <c r="B258" s="89" t="str">
        <f ca="1"/>
        <v>Camiones Industriales Motorizados (PIT) (Todos)</v>
      </c>
      <c r="C258" s="93" t="str">
        <f ca="1"/>
        <v/>
      </c>
      <c r="D258" s="89" t="str">
        <f ca="1"/>
        <v>Periódica</v>
      </c>
      <c r="E258" s="89">
        <f ca="1"/>
        <v>365</v>
      </c>
      <c r="F258" s="89">
        <f ca="1"/>
        <v>1</v>
      </c>
      <c r="G258" s="89" t="str">
        <f ca="1"/>
        <v>SIN FECHA</v>
      </c>
    </row>
    <row r="259" spans="1:7" x14ac:dyDescent="0.3">
      <c r="A259" s="89" t="str">
        <f ca="1"/>
        <v>CEJAS, ALFREDO NICOLAS</v>
      </c>
      <c r="B259" s="89" t="str">
        <f ca="1"/>
        <v>Camiones Industriales Motorizados (PIT) (Op. Montacargas)</v>
      </c>
      <c r="C259" s="93" t="str">
        <f ca="1"/>
        <v/>
      </c>
      <c r="D259" s="89" t="str">
        <f ca="1"/>
        <v>Periódica</v>
      </c>
      <c r="E259" s="89">
        <f ca="1"/>
        <v>365</v>
      </c>
      <c r="F259" s="89">
        <f ca="1"/>
        <v>8</v>
      </c>
      <c r="G259" s="89" t="str">
        <f ca="1"/>
        <v>SIN FECHA</v>
      </c>
    </row>
    <row r="260" spans="1:7" x14ac:dyDescent="0.3">
      <c r="A260" s="89" t="str">
        <f ca="1"/>
        <v>CEJAS, ALFREDO NICOLAS</v>
      </c>
      <c r="B260" s="89" t="str">
        <f ca="1"/>
        <v>Control de Energias Peligrosas (LOTO) (Todos)</v>
      </c>
      <c r="C260" s="93" t="str">
        <f ca="1"/>
        <v/>
      </c>
      <c r="D260" s="89" t="str">
        <f ca="1"/>
        <v>Evento</v>
      </c>
      <c r="E260" s="89">
        <f ca="1"/>
        <v>0</v>
      </c>
      <c r="F260" s="89">
        <f ca="1"/>
        <v>1</v>
      </c>
      <c r="G260" s="89" t="str">
        <f ca="1"/>
        <v>SIN FECHA</v>
      </c>
    </row>
    <row r="261" spans="1:7" x14ac:dyDescent="0.3">
      <c r="A261" s="89" t="str">
        <f ca="1"/>
        <v>CEJAS, ALFREDO NICOLAS</v>
      </c>
      <c r="B261" s="89" t="str">
        <f ca="1"/>
        <v>Control de Energias Peligrosas (LOTO) (Empleados Autorizados)</v>
      </c>
      <c r="C261" s="93">
        <f ca="1"/>
        <v>46160</v>
      </c>
      <c r="D261" s="89" t="str">
        <f ca="1"/>
        <v>Periódica</v>
      </c>
      <c r="E261" s="89">
        <f ca="1"/>
        <v>365</v>
      </c>
      <c r="F261" s="89">
        <f ca="1"/>
        <v>2</v>
      </c>
      <c r="G261" s="89" t="str">
        <f ca="1"/>
        <v>VIGENTE</v>
      </c>
    </row>
    <row r="262" spans="1:7" x14ac:dyDescent="0.3">
      <c r="A262" s="89" t="str">
        <f ca="1"/>
        <v>CEJAS, ALFREDO NICOLAS</v>
      </c>
      <c r="B262" s="89" t="str">
        <f ca="1"/>
        <v>Seguridad aplicada al Pozo &amp; Yacimiento</v>
      </c>
      <c r="C262" s="93" t="str">
        <f ca="1"/>
        <v/>
      </c>
      <c r="D262" s="89" t="str">
        <f ca="1"/>
        <v>Periódica</v>
      </c>
      <c r="E262" s="89">
        <f ca="1"/>
        <v>365</v>
      </c>
      <c r="F262" s="89">
        <f ca="1"/>
        <v>1</v>
      </c>
      <c r="G262" s="89" t="str">
        <f ca="1"/>
        <v>SIN FECHA</v>
      </c>
    </row>
    <row r="263" spans="1:7" x14ac:dyDescent="0.3">
      <c r="A263" s="89" t="str">
        <f ca="1"/>
        <v>CEJAS, ALFREDO NICOLAS</v>
      </c>
      <c r="B263" s="89" t="str">
        <f ca="1"/>
        <v>Las Reglas que Salvan Vidas</v>
      </c>
      <c r="C263" s="93" t="str">
        <f ca="1"/>
        <v/>
      </c>
      <c r="D263" s="89" t="str">
        <f ca="1"/>
        <v>Periódica</v>
      </c>
      <c r="E263" s="89">
        <f ca="1"/>
        <v>365</v>
      </c>
      <c r="F263" s="89">
        <f ca="1"/>
        <v>1</v>
      </c>
      <c r="G263" s="89" t="str">
        <f ca="1"/>
        <v>SIN FECHA</v>
      </c>
    </row>
    <row r="264" spans="1:7" x14ac:dyDescent="0.3">
      <c r="A264" s="89" t="str">
        <f ca="1"/>
        <v>CEJAS, ALFREDO NICOLAS</v>
      </c>
      <c r="B264" s="89" t="str">
        <f ca="1"/>
        <v xml:space="preserve">Resguardo de Maquinas &amp; Equipos </v>
      </c>
      <c r="C264" s="93" t="str">
        <f ca="1"/>
        <v/>
      </c>
      <c r="D264" s="89" t="str">
        <f ca="1"/>
        <v>Periódica</v>
      </c>
      <c r="E264" s="89">
        <f ca="1"/>
        <v>365</v>
      </c>
      <c r="F264" s="89">
        <f ca="1"/>
        <v>1</v>
      </c>
      <c r="G264" s="89" t="str">
        <f ca="1"/>
        <v>SIN FECHA</v>
      </c>
    </row>
    <row r="265" spans="1:7" x14ac:dyDescent="0.3">
      <c r="A265" s="89" t="str">
        <f ca="1"/>
        <v>CEJAS, ALFREDO NICOLAS</v>
      </c>
      <c r="B265" s="89" t="str">
        <f ca="1"/>
        <v>Conduccion y Gestion de Viajes (Todos)</v>
      </c>
      <c r="C265" s="93" t="str">
        <f ca="1"/>
        <v/>
      </c>
      <c r="D265" s="89" t="str">
        <f ca="1"/>
        <v>Periódica</v>
      </c>
      <c r="E265" s="89">
        <f ca="1"/>
        <v>730</v>
      </c>
      <c r="F265" s="89">
        <f ca="1"/>
        <v>1</v>
      </c>
      <c r="G265" s="89" t="str">
        <f ca="1"/>
        <v>SIN FECHA</v>
      </c>
    </row>
    <row r="266" spans="1:7" x14ac:dyDescent="0.3">
      <c r="A266" s="89" t="str">
        <f ca="1"/>
        <v>CEJAS, ALFREDO NICOLAS</v>
      </c>
      <c r="B266" s="89" t="str">
        <f ca="1"/>
        <v>Conduccion y Gestion de Viajes (Conductores)</v>
      </c>
      <c r="C266" s="93">
        <f ca="1"/>
        <v>47026</v>
      </c>
      <c r="D266" s="89" t="str">
        <f ca="1"/>
        <v>Periódica</v>
      </c>
      <c r="E266" s="89">
        <f ca="1"/>
        <v>1095</v>
      </c>
      <c r="F266" s="89">
        <f ca="1"/>
        <v>5</v>
      </c>
      <c r="G266" s="89" t="str">
        <f ca="1"/>
        <v>VIGENTE</v>
      </c>
    </row>
    <row r="267" spans="1:7" x14ac:dyDescent="0.3">
      <c r="A267" s="89" t="str">
        <f ca="1"/>
        <v>CEJAS, ALFREDO NICOLAS</v>
      </c>
      <c r="B267" s="89" t="str">
        <f ca="1"/>
        <v>Patogenos Transmitidos por la Sangre</v>
      </c>
      <c r="C267" s="93" t="str">
        <f ca="1"/>
        <v/>
      </c>
      <c r="D267" s="89" t="str">
        <f ca="1"/>
        <v>Periódica</v>
      </c>
      <c r="E267" s="89">
        <f ca="1"/>
        <v>365</v>
      </c>
      <c r="F267" s="89">
        <f ca="1"/>
        <v>1</v>
      </c>
      <c r="G267" s="89" t="str">
        <f ca="1"/>
        <v>SIN FECHA</v>
      </c>
    </row>
    <row r="268" spans="1:7" x14ac:dyDescent="0.3">
      <c r="A268" s="89" t="str">
        <f ca="1"/>
        <v>CEJAS, ALFREDO NICOLAS</v>
      </c>
      <c r="B268" s="89" t="str">
        <f ca="1"/>
        <v>Conservacion Auditiva</v>
      </c>
      <c r="C268" s="93" t="str">
        <f ca="1"/>
        <v/>
      </c>
      <c r="D268" s="89" t="str">
        <f ca="1"/>
        <v>Periódica</v>
      </c>
      <c r="E268" s="89">
        <f ca="1"/>
        <v>365</v>
      </c>
      <c r="F268" s="89">
        <f ca="1"/>
        <v>1</v>
      </c>
      <c r="G268" s="89" t="str">
        <f ca="1"/>
        <v>SIN FECHA</v>
      </c>
    </row>
    <row r="269" spans="1:7" x14ac:dyDescent="0.3">
      <c r="A269" s="89" t="str">
        <f ca="1"/>
        <v>CEJAS, ALFREDO NICOLAS</v>
      </c>
      <c r="B269" s="89" t="str">
        <f ca="1"/>
        <v xml:space="preserve">Ergonomia //  / Levantamiento &amp; Seguridad en la Espalda </v>
      </c>
      <c r="C269" s="93" t="str">
        <f ca="1"/>
        <v/>
      </c>
      <c r="D269" s="89" t="str">
        <f ca="1"/>
        <v>Periódica</v>
      </c>
      <c r="E269" s="89">
        <f ca="1"/>
        <v>365</v>
      </c>
      <c r="F269" s="89">
        <f ca="1"/>
        <v>1</v>
      </c>
      <c r="G269" s="89" t="str">
        <f ca="1"/>
        <v>SIN FECHA</v>
      </c>
    </row>
    <row r="270" spans="1:7" x14ac:dyDescent="0.3">
      <c r="A270" s="89" t="str">
        <f ca="1"/>
        <v>CEJAS, ALFREDO NICOLAS</v>
      </c>
      <c r="B270" s="89" t="str">
        <f ca="1"/>
        <v>Superficies Elevadas (Todos)</v>
      </c>
      <c r="C270" s="93" t="str">
        <f ca="1"/>
        <v/>
      </c>
      <c r="D270" s="89" t="str">
        <f ca="1"/>
        <v>Periódica</v>
      </c>
      <c r="E270" s="89">
        <f ca="1"/>
        <v>365</v>
      </c>
      <c r="F270" s="89">
        <f ca="1"/>
        <v>1</v>
      </c>
      <c r="G270" s="89" t="str">
        <f ca="1"/>
        <v>SIN FECHA</v>
      </c>
    </row>
    <row r="271" spans="1:7" x14ac:dyDescent="0.3">
      <c r="A271" s="89" t="str">
        <f ca="1"/>
        <v>CEJAS, ALFREDO NICOLAS</v>
      </c>
      <c r="B271" s="89" t="str">
        <f ca="1"/>
        <v>Superficies Elevadas (Personal Habilitado)</v>
      </c>
      <c r="C271" s="93" t="str">
        <f ca="1"/>
        <v/>
      </c>
      <c r="D271" s="89" t="str">
        <f ca="1"/>
        <v>Periódica</v>
      </c>
      <c r="E271" s="89">
        <f ca="1"/>
        <v>365</v>
      </c>
      <c r="F271" s="89">
        <f ca="1"/>
        <v>8</v>
      </c>
      <c r="G271" s="89" t="str">
        <f ca="1"/>
        <v>SIN FECHA</v>
      </c>
    </row>
    <row r="272" spans="1:7" x14ac:dyDescent="0.3">
      <c r="A272" s="89" t="str">
        <f ca="1"/>
        <v>CEJAS, ALFREDO NICOLAS</v>
      </c>
      <c r="B272" s="89" t="str">
        <f ca="1"/>
        <v>Seguridad Quimica (Todos)</v>
      </c>
      <c r="C272" s="93" t="str">
        <f ca="1"/>
        <v/>
      </c>
      <c r="D272" s="89" t="str">
        <f ca="1"/>
        <v>Periódica</v>
      </c>
      <c r="E272" s="89">
        <f ca="1"/>
        <v>730</v>
      </c>
      <c r="F272" s="89">
        <f ca="1"/>
        <v>1</v>
      </c>
      <c r="G272" s="89" t="str">
        <f ca="1"/>
        <v>SIN FECHA</v>
      </c>
    </row>
    <row r="273" spans="1:7" x14ac:dyDescent="0.3">
      <c r="A273" s="89" t="str">
        <f ca="1"/>
        <v>CEJAS, ALFREDO NICOLAS</v>
      </c>
      <c r="B273" s="89" t="str">
        <f ca="1"/>
        <v>Seguridad Quimica (Mantenimiento)</v>
      </c>
      <c r="C273" s="93" t="str">
        <f ca="1"/>
        <v/>
      </c>
      <c r="D273" s="89" t="str">
        <f ca="1"/>
        <v>Periódica</v>
      </c>
      <c r="E273" s="89">
        <f ca="1"/>
        <v>365</v>
      </c>
      <c r="F273" s="89">
        <f ca="1"/>
        <v>1</v>
      </c>
      <c r="G273" s="89" t="str">
        <f ca="1"/>
        <v>SIN FECHA</v>
      </c>
    </row>
    <row r="274" spans="1:7" x14ac:dyDescent="0.3">
      <c r="A274" s="89" t="str">
        <f ca="1"/>
        <v>CEJAS, ALFREDO NICOLAS</v>
      </c>
      <c r="B274" s="89" t="str">
        <f ca="1"/>
        <v>Seguridad Quimica (Contratistas)</v>
      </c>
      <c r="C274" s="93" t="str">
        <f ca="1"/>
        <v/>
      </c>
      <c r="D274" s="89" t="str">
        <f ca="1"/>
        <v>Periódica</v>
      </c>
      <c r="E274" s="89">
        <f ca="1"/>
        <v>365</v>
      </c>
      <c r="F274" s="89">
        <f ca="1"/>
        <v>1</v>
      </c>
      <c r="G274" s="89" t="str">
        <f ca="1"/>
        <v>SIN FECHA</v>
      </c>
    </row>
    <row r="275" spans="1:7" x14ac:dyDescent="0.3">
      <c r="A275" s="89" t="str">
        <f ca="1"/>
        <v>CEJAS, ALFREDO NICOLAS</v>
      </c>
      <c r="B275" s="89" t="str">
        <f ca="1"/>
        <v>Seguridad para Trabajos en Caliente</v>
      </c>
      <c r="C275" s="93">
        <f ca="1"/>
        <v>45770</v>
      </c>
      <c r="D275" s="89" t="str">
        <f ca="1"/>
        <v>Periódica</v>
      </c>
      <c r="E275" s="89">
        <f ca="1"/>
        <v>365</v>
      </c>
      <c r="F275" s="89">
        <f ca="1"/>
        <v>1</v>
      </c>
      <c r="G275" s="89" t="str">
        <f ca="1"/>
        <v>VENCIDA</v>
      </c>
    </row>
    <row r="276" spans="1:7" x14ac:dyDescent="0.3">
      <c r="A276" s="89" t="str">
        <f ca="1"/>
        <v>CEJAS, ALFREDO NICOLAS</v>
      </c>
      <c r="B276" s="89" t="str">
        <f ca="1"/>
        <v>Seguridad con la Radiacion</v>
      </c>
      <c r="C276" s="93" t="str">
        <f ca="1"/>
        <v/>
      </c>
      <c r="D276" s="89" t="str">
        <f ca="1"/>
        <v>Periódica</v>
      </c>
      <c r="E276" s="89">
        <f ca="1"/>
        <v>365</v>
      </c>
      <c r="F276" s="89">
        <f ca="1"/>
        <v>2</v>
      </c>
      <c r="G276" s="89" t="str">
        <f ca="1"/>
        <v>SIN FECHA</v>
      </c>
    </row>
    <row r="277" spans="1:7" x14ac:dyDescent="0.3">
      <c r="A277" s="89" t="str">
        <f ca="1"/>
        <v>CEJAS, ALFREDO NICOLAS</v>
      </c>
      <c r="B277" s="89" t="str">
        <f ca="1"/>
        <v>Equipo de Proteccion Personal (PPE)</v>
      </c>
      <c r="C277" s="93" t="str">
        <f ca="1"/>
        <v/>
      </c>
      <c r="D277" s="89" t="str">
        <f ca="1"/>
        <v>Periódica</v>
      </c>
      <c r="E277" s="89">
        <f ca="1"/>
        <v>365</v>
      </c>
      <c r="F277" s="89">
        <f ca="1"/>
        <v>1</v>
      </c>
      <c r="G277" s="89" t="str">
        <f ca="1"/>
        <v>SIN FECHA</v>
      </c>
    </row>
    <row r="278" spans="1:7" x14ac:dyDescent="0.3">
      <c r="A278" s="89" t="str">
        <f ca="1"/>
        <v>CEJAS, ALFREDO NICOLAS</v>
      </c>
      <c r="B278" s="89" t="str">
        <f ca="1"/>
        <v>Proteccion Respiratoria</v>
      </c>
      <c r="C278" s="93" t="str">
        <f ca="1"/>
        <v/>
      </c>
      <c r="D278" s="89" t="str">
        <f ca="1"/>
        <v>Periódica</v>
      </c>
      <c r="E278" s="89">
        <f ca="1"/>
        <v>365</v>
      </c>
      <c r="F278" s="89">
        <f ca="1"/>
        <v>1</v>
      </c>
      <c r="G278" s="89" t="str">
        <f ca="1"/>
        <v>SIN FECHA</v>
      </c>
    </row>
    <row r="279" spans="1:7" x14ac:dyDescent="0.3">
      <c r="A279" s="89" t="str">
        <f ca="1"/>
        <v>CEJAS, ALFREDO NICOLAS</v>
      </c>
      <c r="B279" s="89" t="str">
        <f ca="1"/>
        <v xml:space="preserve">Seguridad con Escaleras </v>
      </c>
      <c r="C279" s="93" t="str">
        <f ca="1"/>
        <v/>
      </c>
      <c r="D279" s="89" t="str">
        <f ca="1"/>
        <v>Periódica</v>
      </c>
      <c r="E279" s="89">
        <f ca="1"/>
        <v>365</v>
      </c>
      <c r="F279" s="89">
        <f ca="1"/>
        <v>1</v>
      </c>
      <c r="G279" s="89" t="str">
        <f ca="1"/>
        <v>SIN FECHA</v>
      </c>
    </row>
    <row r="280" spans="1:7" x14ac:dyDescent="0.3">
      <c r="A280" s="89" t="str">
        <f ca="1"/>
        <v>CEJAS, ALFREDO NICOLAS</v>
      </c>
      <c r="B280" s="89" t="str">
        <f ca="1"/>
        <v>Seguridad con Escaleras // Estantes de Almacenamiento</v>
      </c>
      <c r="C280" s="93" t="str">
        <f ca="1"/>
        <v/>
      </c>
      <c r="D280" s="89" t="str">
        <f ca="1"/>
        <v>Periódica</v>
      </c>
      <c r="E280" s="89">
        <f ca="1"/>
        <v>365</v>
      </c>
      <c r="F280" s="89">
        <f ca="1"/>
        <v>1</v>
      </c>
      <c r="G280" s="89" t="str">
        <f ca="1"/>
        <v>SIN FECHA</v>
      </c>
    </row>
    <row r="281" spans="1:7" x14ac:dyDescent="0.3">
      <c r="A281" s="89" t="str">
        <f ca="1"/>
        <v>CEJAS, ALFREDO NICOLAS</v>
      </c>
      <c r="B281" s="89" t="str">
        <f ca="1"/>
        <v>Responsabilidades del Supervisor</v>
      </c>
      <c r="C281" s="93" t="str">
        <f ca="1"/>
        <v/>
      </c>
      <c r="D281" s="89" t="str">
        <f ca="1"/>
        <v>Periódica</v>
      </c>
      <c r="E281" s="89">
        <f ca="1"/>
        <v>365</v>
      </c>
      <c r="F281" s="89">
        <f ca="1"/>
        <v>1</v>
      </c>
      <c r="G281" s="89" t="str">
        <f ca="1"/>
        <v>SIN FECHA</v>
      </c>
    </row>
    <row r="282" spans="1:7" x14ac:dyDescent="0.3">
      <c r="A282" s="89" t="str">
        <f ca="1"/>
        <v>CEJAS, ALFREDO NICOLAS</v>
      </c>
      <c r="B282" s="89" t="str">
        <f ca="1"/>
        <v>Espacios Confinados (Todos)</v>
      </c>
      <c r="C282" s="93" t="str">
        <f ca="1"/>
        <v/>
      </c>
      <c r="D282" s="89" t="str">
        <f ca="1"/>
        <v>Periódica</v>
      </c>
      <c r="E282" s="89">
        <f ca="1"/>
        <v>365</v>
      </c>
      <c r="F282" s="89">
        <f ca="1"/>
        <v>1</v>
      </c>
      <c r="G282" s="89" t="str">
        <f ca="1"/>
        <v>SIN FECHA</v>
      </c>
    </row>
    <row r="283" spans="1:7" x14ac:dyDescent="0.3">
      <c r="A283" s="89" t="str">
        <f ca="1"/>
        <v>CEJAS, ALFREDO NICOLAS</v>
      </c>
      <c r="B283" s="89" t="str">
        <f ca="1"/>
        <v>HSMS.017 / Espacios Confinados (Entrantes)</v>
      </c>
      <c r="C283" s="93" t="str">
        <f ca="1"/>
        <v/>
      </c>
      <c r="D283" s="89" t="str">
        <f ca="1"/>
        <v>Evento</v>
      </c>
      <c r="E283" s="89">
        <f ca="1"/>
        <v>0</v>
      </c>
      <c r="F283" s="89">
        <f ca="1"/>
        <v>8</v>
      </c>
      <c r="G283" s="89" t="str">
        <f ca="1"/>
        <v>SIN FECHA</v>
      </c>
    </row>
    <row r="284" spans="1:7" x14ac:dyDescent="0.3">
      <c r="A284" s="89" t="str">
        <f ca="1"/>
        <v>CEJAS, ALFREDO NICOLAS</v>
      </c>
      <c r="B284" s="89" t="str">
        <f ca="1"/>
        <v>Programa de Agua (Todos)</v>
      </c>
      <c r="C284" s="93">
        <f ca="1"/>
        <v>46160</v>
      </c>
      <c r="D284" s="89" t="str">
        <f ca="1"/>
        <v>Evento</v>
      </c>
      <c r="E284" s="89">
        <f ca="1"/>
        <v>0</v>
      </c>
      <c r="F284" s="89">
        <f ca="1"/>
        <v>1</v>
      </c>
      <c r="G284" s="89" t="str">
        <f ca="1"/>
        <v>VIGENTE</v>
      </c>
    </row>
    <row r="285" spans="1:7" x14ac:dyDescent="0.3">
      <c r="A285" s="89" t="str">
        <f ca="1"/>
        <v>CEJAS, ALFREDO NICOLAS</v>
      </c>
      <c r="B285" s="89" t="str">
        <f ca="1"/>
        <v>Programa de Agua (HSE)</v>
      </c>
      <c r="C285" s="93" t="str">
        <f ca="1"/>
        <v/>
      </c>
      <c r="D285" s="89" t="str">
        <f ca="1"/>
        <v>Evento</v>
      </c>
      <c r="E285" s="89">
        <f ca="1"/>
        <v>0</v>
      </c>
      <c r="F285" s="89">
        <f ca="1"/>
        <v>1</v>
      </c>
      <c r="G285" s="89" t="str">
        <f ca="1"/>
        <v>SIN FECHA</v>
      </c>
    </row>
    <row r="286" spans="1:7" x14ac:dyDescent="0.3">
      <c r="A286" s="89" t="str">
        <f ca="1"/>
        <v>CEJAS, ALFREDO NICOLAS</v>
      </c>
      <c r="B286" s="89" t="str">
        <f ca="1"/>
        <v>HIV/SIDA y otras enfermedades de transmisión sexual (ETS)</v>
      </c>
      <c r="C286" s="93" t="str">
        <f ca="1"/>
        <v/>
      </c>
      <c r="D286" s="89" t="str">
        <f ca="1"/>
        <v>Periódica</v>
      </c>
      <c r="E286" s="89">
        <f ca="1"/>
        <v>365</v>
      </c>
      <c r="F286" s="89">
        <f ca="1"/>
        <v>1</v>
      </c>
      <c r="G286" s="89" t="str">
        <f ca="1"/>
        <v>SIN FECHA</v>
      </c>
    </row>
    <row r="287" spans="1:7" x14ac:dyDescent="0.3">
      <c r="A287" s="89" t="str">
        <f ca="1"/>
        <v>CEJAS, ALFREDO NICOLAS</v>
      </c>
      <c r="B287" s="89" t="str">
        <f ca="1"/>
        <v>Drogas de abuso (concientización y prevención)</v>
      </c>
      <c r="C287" s="93" t="str">
        <f ca="1"/>
        <v/>
      </c>
      <c r="D287" s="89" t="str">
        <f ca="1"/>
        <v>Periódica</v>
      </c>
      <c r="E287" s="89">
        <f ca="1"/>
        <v>365</v>
      </c>
      <c r="F287" s="89">
        <f ca="1"/>
        <v>1</v>
      </c>
      <c r="G287" s="89" t="str">
        <f ca="1"/>
        <v>SIN FECHA</v>
      </c>
    </row>
    <row r="288" spans="1:7" x14ac:dyDescent="0.3">
      <c r="A288" s="89" t="str">
        <f ca="1"/>
        <v>CEJAS, ALFREDO NICOLAS</v>
      </c>
      <c r="B288" s="89" t="str">
        <f ca="1"/>
        <v>Vida saludable (hábitos, autocuidado y bienestar)</v>
      </c>
      <c r="C288" s="93" t="str">
        <f ca="1"/>
        <v/>
      </c>
      <c r="D288" s="89" t="str">
        <f ca="1"/>
        <v>Periódica</v>
      </c>
      <c r="E288" s="89">
        <f ca="1"/>
        <v>365</v>
      </c>
      <c r="F288" s="89">
        <f ca="1"/>
        <v>1</v>
      </c>
      <c r="G288" s="89" t="str">
        <f ca="1"/>
        <v>SIN FECHA</v>
      </c>
    </row>
    <row r="289" spans="1:7" x14ac:dyDescent="0.3">
      <c r="A289" s="89" t="str">
        <f ca="1"/>
        <v>CEJAS, ALFREDO NICOLAS</v>
      </c>
      <c r="B289" s="89" t="str">
        <f ca="1"/>
        <v>Primeros auxilios y Reanimación Cardio Pulmonar (RCP)</v>
      </c>
      <c r="C289" s="93" t="str">
        <f ca="1"/>
        <v/>
      </c>
      <c r="D289" s="89" t="str">
        <f ca="1"/>
        <v>Periódica</v>
      </c>
      <c r="E289" s="89">
        <f ca="1"/>
        <v>365</v>
      </c>
      <c r="F289" s="89">
        <f ca="1"/>
        <v>4</v>
      </c>
      <c r="G289" s="89" t="str">
        <f ca="1"/>
        <v>SIN FECHA</v>
      </c>
    </row>
    <row r="290" spans="1:7" x14ac:dyDescent="0.3">
      <c r="A290" s="89" t="str">
        <f ca="1"/>
        <v>CEJAS, ALFREDO NICOLAS</v>
      </c>
      <c r="B290" s="89" t="str">
        <f ca="1"/>
        <v>Prevención cardiovascular (factores de riesgo y señales de alarma)</v>
      </c>
      <c r="C290" s="93" t="str">
        <f ca="1"/>
        <v/>
      </c>
      <c r="D290" s="89" t="str">
        <f ca="1"/>
        <v>Periódica</v>
      </c>
      <c r="E290" s="89">
        <f ca="1"/>
        <v>365</v>
      </c>
      <c r="F290" s="89">
        <f ca="1"/>
        <v>1</v>
      </c>
      <c r="G290" s="89" t="str">
        <f ca="1"/>
        <v>SIN FECHA</v>
      </c>
    </row>
    <row r="291" spans="1:7" x14ac:dyDescent="0.3">
      <c r="A291" s="89" t="str">
        <f ca="1"/>
        <v>CEJAS, ALFREDO NICOLAS</v>
      </c>
      <c r="B291" s="89" t="str">
        <f ca="1"/>
        <v>Efectos del tabaco sobre la salud</v>
      </c>
      <c r="C291" s="93" t="str">
        <f ca="1"/>
        <v/>
      </c>
      <c r="D291" s="89" t="str">
        <f ca="1"/>
        <v>Periódica</v>
      </c>
      <c r="E291" s="89">
        <f ca="1"/>
        <v>365</v>
      </c>
      <c r="F291" s="89">
        <f ca="1"/>
        <v>1</v>
      </c>
      <c r="G291" s="89" t="str">
        <f ca="1"/>
        <v>SIN FECHA</v>
      </c>
    </row>
    <row r="292" spans="1:7" x14ac:dyDescent="0.3">
      <c r="A292" s="89" t="str">
        <f ca="1"/>
        <v>CEJAS, ALFREDO NICOLAS</v>
      </c>
      <c r="B292" s="89" t="str">
        <f ca="1"/>
        <v>Cargadora (Op. Montacargas)</v>
      </c>
      <c r="C292" s="93" t="str">
        <f ca="1"/>
        <v/>
      </c>
      <c r="D292" s="89" t="str">
        <f ca="1"/>
        <v>Periódica</v>
      </c>
      <c r="E292" s="89">
        <f ca="1"/>
        <v>365</v>
      </c>
      <c r="F292" s="89">
        <f ca="1"/>
        <v>8</v>
      </c>
      <c r="G292" s="89" t="str">
        <f ca="1"/>
        <v>SIN FECHA</v>
      </c>
    </row>
    <row r="293" spans="1:7" x14ac:dyDescent="0.3">
      <c r="A293" s="89" t="str">
        <f ca="1"/>
        <v>CEJAS, ALFREDO NICOLAS</v>
      </c>
      <c r="B293" s="89">
        <f ca="1"/>
        <v>0</v>
      </c>
      <c r="C293" s="93" t="str">
        <f ca="1"/>
        <v/>
      </c>
      <c r="D293" s="89" t="str">
        <f ca="1"/>
        <v/>
      </c>
      <c r="E293" s="89" t="str">
        <f ca="1"/>
        <v/>
      </c>
      <c r="F293" s="89" t="str">
        <f ca="1"/>
        <v/>
      </c>
      <c r="G293" s="89" t="str">
        <f ca="1"/>
        <v>SIN FECHA</v>
      </c>
    </row>
    <row r="294" spans="1:7" x14ac:dyDescent="0.3">
      <c r="A294" s="89" t="str">
        <f ca="1"/>
        <v>CEJAS, ALFREDO NICOLAS</v>
      </c>
      <c r="B294" s="89">
        <f ca="1"/>
        <v>0</v>
      </c>
      <c r="C294" s="93" t="str">
        <f ca="1"/>
        <v/>
      </c>
      <c r="D294" s="89" t="str">
        <f ca="1"/>
        <v/>
      </c>
      <c r="E294" s="89" t="str">
        <f ca="1"/>
        <v/>
      </c>
      <c r="F294" s="89" t="str">
        <f ca="1"/>
        <v/>
      </c>
      <c r="G294" s="89" t="str">
        <f ca="1"/>
        <v>SIN FECHA</v>
      </c>
    </row>
    <row r="295" spans="1:7" x14ac:dyDescent="0.3">
      <c r="A295" s="89" t="str">
        <f ca="1"/>
        <v>CEJAS, ALFREDO NICOLAS</v>
      </c>
      <c r="B295" s="89">
        <f ca="1"/>
        <v>0</v>
      </c>
      <c r="C295" s="93" t="str">
        <f ca="1"/>
        <v/>
      </c>
      <c r="D295" s="89" t="str">
        <f ca="1"/>
        <v/>
      </c>
      <c r="E295" s="89" t="str">
        <f ca="1"/>
        <v/>
      </c>
      <c r="F295" s="89" t="str">
        <f ca="1"/>
        <v/>
      </c>
      <c r="G295" s="89" t="str">
        <f ca="1"/>
        <v>SIN FECHA</v>
      </c>
    </row>
    <row r="296" spans="1:7" x14ac:dyDescent="0.3">
      <c r="A296" s="89" t="str">
        <f ca="1"/>
        <v>CEJAS, ALFREDO NICOLAS</v>
      </c>
      <c r="B296" s="89">
        <f ca="1"/>
        <v>0</v>
      </c>
      <c r="C296" s="93" t="str">
        <f ca="1"/>
        <v/>
      </c>
      <c r="D296" s="89" t="str">
        <f ca="1"/>
        <v/>
      </c>
      <c r="E296" s="89" t="str">
        <f ca="1"/>
        <v/>
      </c>
      <c r="F296" s="89" t="str">
        <f ca="1"/>
        <v/>
      </c>
      <c r="G296" s="89" t="str">
        <f ca="1"/>
        <v>SIN FECHA</v>
      </c>
    </row>
    <row r="297" spans="1:7" x14ac:dyDescent="0.3">
      <c r="A297" s="89" t="str">
        <f ca="1"/>
        <v>CEJAS, ALFREDO NICOLAS</v>
      </c>
      <c r="B297" s="89">
        <f ca="1"/>
        <v>0</v>
      </c>
      <c r="C297" s="93" t="str">
        <f ca="1"/>
        <v/>
      </c>
      <c r="D297" s="89" t="str">
        <f ca="1"/>
        <v/>
      </c>
      <c r="E297" s="89" t="str">
        <f ca="1"/>
        <v/>
      </c>
      <c r="F297" s="89" t="str">
        <f ca="1"/>
        <v/>
      </c>
      <c r="G297" s="89" t="str">
        <f ca="1"/>
        <v>SIN FECHA</v>
      </c>
    </row>
    <row r="298" spans="1:7" x14ac:dyDescent="0.3">
      <c r="A298" s="89" t="str">
        <f ca="1"/>
        <v>CEJAS, ALFREDO NICOLAS</v>
      </c>
      <c r="B298" s="89">
        <f ca="1"/>
        <v>0</v>
      </c>
      <c r="C298" s="93" t="str">
        <f ca="1"/>
        <v/>
      </c>
      <c r="D298" s="89" t="str">
        <f ca="1"/>
        <v/>
      </c>
      <c r="E298" s="89" t="str">
        <f ca="1"/>
        <v/>
      </c>
      <c r="F298" s="89" t="str">
        <f ca="1"/>
        <v/>
      </c>
      <c r="G298" s="89" t="str">
        <f ca="1"/>
        <v>SIN FECHA</v>
      </c>
    </row>
    <row r="299" spans="1:7" x14ac:dyDescent="0.3">
      <c r="A299" s="89" t="str">
        <f ca="1"/>
        <v>CEJAS, ALFREDO NICOLAS</v>
      </c>
      <c r="B299" s="89">
        <f ca="1"/>
        <v>0</v>
      </c>
      <c r="C299" s="93" t="str">
        <f ca="1"/>
        <v/>
      </c>
      <c r="D299" s="89" t="str">
        <f ca="1"/>
        <v/>
      </c>
      <c r="E299" s="89" t="str">
        <f ca="1"/>
        <v/>
      </c>
      <c r="F299" s="89" t="str">
        <f ca="1"/>
        <v/>
      </c>
      <c r="G299" s="89" t="str">
        <f ca="1"/>
        <v>SIN FECHA</v>
      </c>
    </row>
    <row r="300" spans="1:7" x14ac:dyDescent="0.3">
      <c r="A300" s="89" t="str">
        <f ca="1"/>
        <v>CEJAS, ALFREDO NICOLAS</v>
      </c>
      <c r="B300" s="89">
        <f ca="1"/>
        <v>0</v>
      </c>
      <c r="C300" s="93" t="str">
        <f ca="1"/>
        <v/>
      </c>
      <c r="D300" s="89" t="str">
        <f ca="1"/>
        <v/>
      </c>
      <c r="E300" s="89" t="str">
        <f ca="1"/>
        <v/>
      </c>
      <c r="F300" s="89" t="str">
        <f ca="1"/>
        <v/>
      </c>
      <c r="G300" s="89" t="str">
        <f ca="1"/>
        <v>SIN FECHA</v>
      </c>
    </row>
    <row r="301" spans="1:7" x14ac:dyDescent="0.3">
      <c r="A301" s="89" t="str">
        <f ca="1"/>
        <v>CEJAS, ALFREDO NICOLAS</v>
      </c>
      <c r="B301" s="89">
        <f ca="1"/>
        <v>0</v>
      </c>
      <c r="C301" s="93" t="str">
        <f ca="1"/>
        <v/>
      </c>
      <c r="D301" s="89" t="str">
        <f ca="1"/>
        <v/>
      </c>
      <c r="E301" s="89" t="str">
        <f ca="1"/>
        <v/>
      </c>
      <c r="F301" s="89" t="str">
        <f ca="1"/>
        <v/>
      </c>
      <c r="G301" s="89" t="str">
        <f ca="1"/>
        <v>SIN FECHA</v>
      </c>
    </row>
    <row r="302" spans="1:7" x14ac:dyDescent="0.3">
      <c r="A302" s="89" t="str">
        <f ca="1"/>
        <v>DODDS, CARLOS DANIEL</v>
      </c>
      <c r="B302" s="89" t="str">
        <f ca="1"/>
        <v>Programa de Aire</v>
      </c>
      <c r="C302" s="93" t="str">
        <f ca="1"/>
        <v/>
      </c>
      <c r="D302" s="89" t="str">
        <f ca="1"/>
        <v>Evento</v>
      </c>
      <c r="E302" s="89">
        <f ca="1"/>
        <v>0</v>
      </c>
      <c r="F302" s="89">
        <f ca="1"/>
        <v>1</v>
      </c>
      <c r="G302" s="89" t="str">
        <f ca="1"/>
        <v>SIN FECHA</v>
      </c>
    </row>
    <row r="303" spans="1:7" x14ac:dyDescent="0.3">
      <c r="A303" s="89" t="str">
        <f ca="1"/>
        <v>DODDS, CARLOS DANIEL</v>
      </c>
      <c r="B303" s="89" t="str">
        <f ca="1"/>
        <v>Conciencia Ambiental</v>
      </c>
      <c r="C303" s="93">
        <f ca="1"/>
        <v>46162</v>
      </c>
      <c r="D303" s="89" t="str">
        <f ca="1"/>
        <v>Periódica</v>
      </c>
      <c r="E303" s="89">
        <f ca="1"/>
        <v>365</v>
      </c>
      <c r="F303" s="89">
        <f ca="1"/>
        <v>1</v>
      </c>
      <c r="G303" s="89" t="str">
        <f ca="1"/>
        <v>VIGENTE</v>
      </c>
    </row>
    <row r="304" spans="1:7" x14ac:dyDescent="0.3">
      <c r="A304" s="89" t="str">
        <f ca="1"/>
        <v>DODDS, CARLOS DANIEL</v>
      </c>
      <c r="B304" s="89" t="str">
        <f ca="1"/>
        <v xml:space="preserve">Control de Documentos e Informacion de HSE </v>
      </c>
      <c r="C304" s="93" t="str">
        <f ca="1"/>
        <v/>
      </c>
      <c r="D304" s="89" t="str">
        <f ca="1"/>
        <v>Evento</v>
      </c>
      <c r="E304" s="89">
        <f ca="1"/>
        <v>0</v>
      </c>
      <c r="F304" s="89">
        <f ca="1"/>
        <v>1</v>
      </c>
      <c r="G304" s="89" t="str">
        <f ca="1"/>
        <v>SIN FECHA</v>
      </c>
    </row>
    <row r="305" spans="1:7" x14ac:dyDescent="0.3">
      <c r="A305" s="89" t="str">
        <f ca="1"/>
        <v>DODDS, CARLOS DANIEL</v>
      </c>
      <c r="B305" s="89" t="str">
        <f ca="1"/>
        <v xml:space="preserve"> Acciones Correctivas y Preventivas (CAPA)</v>
      </c>
      <c r="C305" s="93" t="str">
        <f ca="1"/>
        <v/>
      </c>
      <c r="D305" s="89" t="str">
        <f ca="1"/>
        <v>Evento</v>
      </c>
      <c r="E305" s="89">
        <f ca="1"/>
        <v>0</v>
      </c>
      <c r="F305" s="89">
        <f ca="1"/>
        <v>1</v>
      </c>
      <c r="G305" s="89" t="str">
        <f ca="1"/>
        <v>SIN FECHA</v>
      </c>
    </row>
    <row r="306" spans="1:7" x14ac:dyDescent="0.3">
      <c r="A306" s="89" t="str">
        <f ca="1"/>
        <v>DODDS, CARLOS DANIEL</v>
      </c>
      <c r="B306" s="89" t="str">
        <f ca="1"/>
        <v>Seguridad Basada en el Comportamiento (Observation Program) // HSMS.043 / Autoridad de Detener el Trabajo</v>
      </c>
      <c r="C306" s="93">
        <f ca="1"/>
        <v>45838</v>
      </c>
      <c r="D306" s="89" t="str">
        <f ca="1"/>
        <v>Periódica</v>
      </c>
      <c r="E306" s="89">
        <f ca="1"/>
        <v>365</v>
      </c>
      <c r="F306" s="89">
        <f ca="1"/>
        <v>1</v>
      </c>
      <c r="G306" s="89" t="str">
        <f ca="1"/>
        <v>VENCIDA</v>
      </c>
    </row>
    <row r="307" spans="1:7" x14ac:dyDescent="0.3">
      <c r="A307" s="89" t="str">
        <f ca="1"/>
        <v>DODDS, CARLOS DANIEL</v>
      </c>
      <c r="B307" s="89" t="str">
        <f ca="1"/>
        <v>Identificacion de Peligros y Evaluacion de Riesgos</v>
      </c>
      <c r="C307" s="93">
        <f ca="1"/>
        <v>46017</v>
      </c>
      <c r="D307" s="89" t="str">
        <f ca="1"/>
        <v>Evento</v>
      </c>
      <c r="E307" s="89">
        <f ca="1"/>
        <v>0</v>
      </c>
      <c r="F307" s="89">
        <f ca="1"/>
        <v>1</v>
      </c>
      <c r="G307" s="89" t="str">
        <f ca="1"/>
        <v>VIGENTE</v>
      </c>
    </row>
    <row r="308" spans="1:7" x14ac:dyDescent="0.3">
      <c r="A308" s="89" t="str">
        <f ca="1"/>
        <v>DODDS, CARLOS DANIEL</v>
      </c>
      <c r="B308" s="89" t="str">
        <f ca="1"/>
        <v xml:space="preserve"> Plan de Respuesta ante Eemergencias / HSMS.010 /Primeros Axulios &amp; RCP/DEA / HSMSWT-002 / Patogenos Trasnmitidos por la Sangre</v>
      </c>
      <c r="C308" s="93" t="str">
        <f ca="1"/>
        <v/>
      </c>
      <c r="D308" s="89" t="str">
        <f ca="1"/>
        <v>Periódica</v>
      </c>
      <c r="E308" s="89">
        <f ca="1"/>
        <v>365</v>
      </c>
      <c r="F308" s="89">
        <f ca="1"/>
        <v>1</v>
      </c>
      <c r="G308" s="89" t="str">
        <f ca="1"/>
        <v>SIN FECHA</v>
      </c>
    </row>
    <row r="309" spans="1:7" x14ac:dyDescent="0.3">
      <c r="A309" s="89" t="str">
        <f ca="1"/>
        <v>DODDS, CARLOS DANIEL</v>
      </c>
      <c r="B309" s="89" t="str">
        <f ca="1"/>
        <v>Reporte y Gestion de Incidentes HSE (Todos)</v>
      </c>
      <c r="C309" s="93">
        <f ca="1"/>
        <v>46017</v>
      </c>
      <c r="D309" s="89" t="str">
        <f ca="1"/>
        <v>Periódica</v>
      </c>
      <c r="E309" s="89">
        <f ca="1"/>
        <v>365</v>
      </c>
      <c r="F309" s="89">
        <f ca="1"/>
        <v>1</v>
      </c>
      <c r="G309" s="89" t="str">
        <f ca="1"/>
        <v>VIGENTE</v>
      </c>
    </row>
    <row r="310" spans="1:7" x14ac:dyDescent="0.3">
      <c r="A310" s="89" t="str">
        <f ca="1"/>
        <v>DODDS, CARLOS DANIEL</v>
      </c>
      <c r="B310" s="89" t="str">
        <f ca="1"/>
        <v>Reporte, Gestion e Investigacion de Incidentes HSE (supervisores / investigadores (rol))</v>
      </c>
      <c r="C310" s="93" t="str">
        <f ca="1"/>
        <v/>
      </c>
      <c r="D310" s="89" t="str">
        <f ca="1"/>
        <v>Periódica</v>
      </c>
      <c r="E310" s="89">
        <f ca="1"/>
        <v>1095</v>
      </c>
      <c r="F310" s="89">
        <f ca="1"/>
        <v>2</v>
      </c>
      <c r="G310" s="89" t="str">
        <f ca="1"/>
        <v>SIN FECHA</v>
      </c>
    </row>
    <row r="311" spans="1:7" x14ac:dyDescent="0.3">
      <c r="A311" s="89" t="str">
        <f ca="1"/>
        <v>DODDS, CARLOS DANIEL</v>
      </c>
      <c r="B311" s="89" t="str">
        <f ca="1"/>
        <v>Gruas y Equipos de Izaje (Todos)</v>
      </c>
      <c r="C311" s="93" t="str">
        <f ca="1"/>
        <v/>
      </c>
      <c r="D311" s="89" t="str">
        <f ca="1"/>
        <v>Periódica</v>
      </c>
      <c r="E311" s="89">
        <f ca="1"/>
        <v>365</v>
      </c>
      <c r="F311" s="89">
        <f ca="1"/>
        <v>2</v>
      </c>
      <c r="G311" s="89" t="str">
        <f ca="1"/>
        <v>SIN FECHA</v>
      </c>
    </row>
    <row r="312" spans="1:7" x14ac:dyDescent="0.3">
      <c r="A312" s="89" t="str">
        <f ca="1"/>
        <v>DODDS, CARLOS DANIEL</v>
      </c>
      <c r="B312" s="89" t="str">
        <f ca="1"/>
        <v>HSMS.007 / Gruas y Equipos de Izaje (Operadores)</v>
      </c>
      <c r="C312" s="93">
        <f ca="1"/>
        <v>46140</v>
      </c>
      <c r="D312" s="89" t="str">
        <f ca="1"/>
        <v>Periódica</v>
      </c>
      <c r="E312" s="89">
        <f ca="1"/>
        <v>365</v>
      </c>
      <c r="F312" s="89">
        <f ca="1"/>
        <v>8</v>
      </c>
      <c r="G312" s="89" t="str">
        <f ca="1"/>
        <v>VIGENTE</v>
      </c>
    </row>
    <row r="313" spans="1:7" x14ac:dyDescent="0.3">
      <c r="A313" s="89" t="str">
        <f ca="1"/>
        <v>DODDS, CARLOS DANIEL</v>
      </c>
      <c r="B313" s="89" t="str">
        <f ca="1"/>
        <v>Proteccion Contra Incendios (Todos)</v>
      </c>
      <c r="C313" s="93">
        <f ca="1"/>
        <v>46017</v>
      </c>
      <c r="D313" s="89" t="str">
        <f ca="1"/>
        <v>Periódica</v>
      </c>
      <c r="E313" s="89">
        <f ca="1"/>
        <v>365</v>
      </c>
      <c r="F313" s="89">
        <f ca="1"/>
        <v>1</v>
      </c>
      <c r="G313" s="89" t="str">
        <f ca="1"/>
        <v>VIGENTE</v>
      </c>
    </row>
    <row r="314" spans="1:7" x14ac:dyDescent="0.3">
      <c r="A314" s="89" t="str">
        <f ca="1"/>
        <v>DODDS, CARLOS DANIEL</v>
      </c>
      <c r="B314" s="89" t="str">
        <f ca="1"/>
        <v>Proteccion Contra Incendios (Brigadistas)</v>
      </c>
      <c r="C314" s="93" t="str">
        <f ca="1"/>
        <v/>
      </c>
      <c r="D314" s="89" t="str">
        <f ca="1"/>
        <v>Periódica</v>
      </c>
      <c r="E314" s="89">
        <f ca="1"/>
        <v>365</v>
      </c>
      <c r="F314" s="89">
        <f ca="1"/>
        <v>2</v>
      </c>
      <c r="G314" s="89" t="str">
        <f ca="1"/>
        <v>SIN FECHA</v>
      </c>
    </row>
    <row r="315" spans="1:7" x14ac:dyDescent="0.3">
      <c r="A315" s="89" t="str">
        <f ca="1"/>
        <v>DODDS, CARLOS DANIEL</v>
      </c>
      <c r="B315" s="89" t="str">
        <f ca="1"/>
        <v>Primeros Auxilios (Brigadistas)</v>
      </c>
      <c r="C315" s="93" t="str">
        <f ca="1"/>
        <v/>
      </c>
      <c r="D315" s="89" t="str">
        <f ca="1"/>
        <v>Periódica</v>
      </c>
      <c r="E315" s="89">
        <f ca="1"/>
        <v>365</v>
      </c>
      <c r="F315" s="89">
        <f ca="1"/>
        <v>2</v>
      </c>
      <c r="G315" s="89" t="str">
        <f ca="1"/>
        <v>SIN FECHA</v>
      </c>
    </row>
    <row r="316" spans="1:7" x14ac:dyDescent="0.3">
      <c r="A316" s="89" t="str">
        <f ca="1"/>
        <v>DODDS, CARLOS DANIEL</v>
      </c>
      <c r="B316" s="89" t="str">
        <f ca="1"/>
        <v>Seguridad Electrica (Todos)</v>
      </c>
      <c r="C316" s="93" t="str">
        <f ca="1"/>
        <v/>
      </c>
      <c r="D316" s="89" t="str">
        <f ca="1"/>
        <v>Periódica</v>
      </c>
      <c r="E316" s="89">
        <f ca="1"/>
        <v>365</v>
      </c>
      <c r="F316" s="89">
        <f ca="1"/>
        <v>1</v>
      </c>
      <c r="G316" s="89" t="str">
        <f ca="1"/>
        <v>SIN FECHA</v>
      </c>
    </row>
    <row r="317" spans="1:7" x14ac:dyDescent="0.3">
      <c r="A317" s="89" t="str">
        <f ca="1"/>
        <v>DODDS, CARLOS DANIEL</v>
      </c>
      <c r="B317" s="89" t="str">
        <f ca="1"/>
        <v>Seguridad Electrica (Personal Autorizado)</v>
      </c>
      <c r="C317" s="93" t="str">
        <f ca="1"/>
        <v/>
      </c>
      <c r="D317" s="89" t="str">
        <f ca="1"/>
        <v>Periódica</v>
      </c>
      <c r="E317" s="89">
        <f ca="1"/>
        <v>1095</v>
      </c>
      <c r="F317" s="89">
        <f ca="1"/>
        <v>4</v>
      </c>
      <c r="G317" s="89" t="str">
        <f ca="1"/>
        <v>SIN FECHA</v>
      </c>
    </row>
    <row r="318" spans="1:7" x14ac:dyDescent="0.3">
      <c r="A318" s="89" t="str">
        <f ca="1"/>
        <v>DODDS, CARLOS DANIEL</v>
      </c>
      <c r="B318" s="89" t="str">
        <f ca="1"/>
        <v>Camiones Industriales Motorizados (PIT) (Todos)</v>
      </c>
      <c r="C318" s="93" t="str">
        <f ca="1"/>
        <v/>
      </c>
      <c r="D318" s="89" t="str">
        <f ca="1"/>
        <v>Periódica</v>
      </c>
      <c r="E318" s="89">
        <f ca="1"/>
        <v>365</v>
      </c>
      <c r="F318" s="89">
        <f ca="1"/>
        <v>1</v>
      </c>
      <c r="G318" s="89" t="str">
        <f ca="1"/>
        <v>SIN FECHA</v>
      </c>
    </row>
    <row r="319" spans="1:7" x14ac:dyDescent="0.3">
      <c r="A319" s="89" t="str">
        <f ca="1"/>
        <v>DODDS, CARLOS DANIEL</v>
      </c>
      <c r="B319" s="89" t="str">
        <f ca="1"/>
        <v>Camiones Industriales Motorizados (PIT) (Op. Montacargas)</v>
      </c>
      <c r="C319" s="93" t="str">
        <f ca="1"/>
        <v/>
      </c>
      <c r="D319" s="89" t="str">
        <f ca="1"/>
        <v>Periódica</v>
      </c>
      <c r="E319" s="89">
        <f ca="1"/>
        <v>365</v>
      </c>
      <c r="F319" s="89">
        <f ca="1"/>
        <v>8</v>
      </c>
      <c r="G319" s="89" t="str">
        <f ca="1"/>
        <v>SIN FECHA</v>
      </c>
    </row>
    <row r="320" spans="1:7" x14ac:dyDescent="0.3">
      <c r="A320" s="89" t="str">
        <f ca="1"/>
        <v>DODDS, CARLOS DANIEL</v>
      </c>
      <c r="B320" s="89" t="str">
        <f ca="1"/>
        <v>Control de Energias Peligrosas (LOTO) (Todos)</v>
      </c>
      <c r="C320" s="93">
        <f ca="1"/>
        <v>45838</v>
      </c>
      <c r="D320" s="89" t="str">
        <f ca="1"/>
        <v>Evento</v>
      </c>
      <c r="E320" s="89">
        <f ca="1"/>
        <v>0</v>
      </c>
      <c r="F320" s="89">
        <f ca="1"/>
        <v>1</v>
      </c>
      <c r="G320" s="89" t="str">
        <f ca="1"/>
        <v>VIGENTE</v>
      </c>
    </row>
    <row r="321" spans="1:7" x14ac:dyDescent="0.3">
      <c r="A321" s="89" t="str">
        <f ca="1"/>
        <v>DODDS, CARLOS DANIEL</v>
      </c>
      <c r="B321" s="89" t="str">
        <f ca="1"/>
        <v>Control de Energias Peligrosas (LOTO) (Empleados Autorizados)</v>
      </c>
      <c r="C321" s="93">
        <f ca="1"/>
        <v>46162</v>
      </c>
      <c r="D321" s="89" t="str">
        <f ca="1"/>
        <v>Periódica</v>
      </c>
      <c r="E321" s="89">
        <f ca="1"/>
        <v>365</v>
      </c>
      <c r="F321" s="89">
        <f ca="1"/>
        <v>2</v>
      </c>
      <c r="G321" s="89" t="str">
        <f ca="1"/>
        <v>VIGENTE</v>
      </c>
    </row>
    <row r="322" spans="1:7" x14ac:dyDescent="0.3">
      <c r="A322" s="89" t="str">
        <f ca="1"/>
        <v>DODDS, CARLOS DANIEL</v>
      </c>
      <c r="B322" s="89" t="str">
        <f ca="1"/>
        <v>Seguridad aplicada al Pozo &amp; Yacimiento</v>
      </c>
      <c r="C322" s="93" t="str">
        <f ca="1"/>
        <v/>
      </c>
      <c r="D322" s="89" t="str">
        <f ca="1"/>
        <v>Periódica</v>
      </c>
      <c r="E322" s="89">
        <f ca="1"/>
        <v>365</v>
      </c>
      <c r="F322" s="89">
        <f ca="1"/>
        <v>1</v>
      </c>
      <c r="G322" s="89" t="str">
        <f ca="1"/>
        <v>SIN FECHA</v>
      </c>
    </row>
    <row r="323" spans="1:7" x14ac:dyDescent="0.3">
      <c r="A323" s="89" t="str">
        <f ca="1"/>
        <v>DODDS, CARLOS DANIEL</v>
      </c>
      <c r="B323" s="89" t="str">
        <f ca="1"/>
        <v>Las Reglas que Salvan Vidas</v>
      </c>
      <c r="C323" s="93" t="str">
        <f ca="1"/>
        <v/>
      </c>
      <c r="D323" s="89" t="str">
        <f ca="1"/>
        <v>Periódica</v>
      </c>
      <c r="E323" s="89">
        <f ca="1"/>
        <v>365</v>
      </c>
      <c r="F323" s="89">
        <f ca="1"/>
        <v>1</v>
      </c>
      <c r="G323" s="89" t="str">
        <f ca="1"/>
        <v>SIN FECHA</v>
      </c>
    </row>
    <row r="324" spans="1:7" x14ac:dyDescent="0.3">
      <c r="A324" s="89" t="str">
        <f ca="1"/>
        <v>DODDS, CARLOS DANIEL</v>
      </c>
      <c r="B324" s="89" t="str">
        <f ca="1"/>
        <v xml:space="preserve">Resguardo de Maquinas &amp; Equipos </v>
      </c>
      <c r="C324" s="93" t="str">
        <f ca="1"/>
        <v/>
      </c>
      <c r="D324" s="89" t="str">
        <f ca="1"/>
        <v>Periódica</v>
      </c>
      <c r="E324" s="89">
        <f ca="1"/>
        <v>365</v>
      </c>
      <c r="F324" s="89">
        <f ca="1"/>
        <v>1</v>
      </c>
      <c r="G324" s="89" t="str">
        <f ca="1"/>
        <v>SIN FECHA</v>
      </c>
    </row>
    <row r="325" spans="1:7" x14ac:dyDescent="0.3">
      <c r="A325" s="89" t="str">
        <f ca="1"/>
        <v>DODDS, CARLOS DANIEL</v>
      </c>
      <c r="B325" s="89" t="str">
        <f ca="1"/>
        <v>Conduccion y Gestion de Viajes (Todos)</v>
      </c>
      <c r="C325" s="93">
        <f ca="1"/>
        <v>45838</v>
      </c>
      <c r="D325" s="89" t="str">
        <f ca="1"/>
        <v>Periódica</v>
      </c>
      <c r="E325" s="89">
        <f ca="1"/>
        <v>730</v>
      </c>
      <c r="F325" s="89">
        <f ca="1"/>
        <v>1</v>
      </c>
      <c r="G325" s="89" t="str">
        <f ca="1"/>
        <v>VIGENTE</v>
      </c>
    </row>
    <row r="326" spans="1:7" x14ac:dyDescent="0.3">
      <c r="A326" s="89" t="str">
        <f ca="1"/>
        <v>DODDS, CARLOS DANIEL</v>
      </c>
      <c r="B326" s="89" t="str">
        <f ca="1"/>
        <v>Conduccion y Gestion de Viajes (Conductores)</v>
      </c>
      <c r="C326" s="93">
        <f ca="1"/>
        <v>46034</v>
      </c>
      <c r="D326" s="89" t="str">
        <f ca="1"/>
        <v>Periódica</v>
      </c>
      <c r="E326" s="89">
        <f ca="1"/>
        <v>1095</v>
      </c>
      <c r="F326" s="89">
        <f ca="1"/>
        <v>5</v>
      </c>
      <c r="G326" s="89" t="str">
        <f ca="1"/>
        <v>VIGENTE</v>
      </c>
    </row>
    <row r="327" spans="1:7" x14ac:dyDescent="0.3">
      <c r="A327" s="89" t="str">
        <f ca="1"/>
        <v>DODDS, CARLOS DANIEL</v>
      </c>
      <c r="B327" s="89" t="str">
        <f ca="1"/>
        <v>Patogenos Transmitidos por la Sangre</v>
      </c>
      <c r="C327" s="93" t="str">
        <f ca="1"/>
        <v/>
      </c>
      <c r="D327" s="89" t="str">
        <f ca="1"/>
        <v>Periódica</v>
      </c>
      <c r="E327" s="89">
        <f ca="1"/>
        <v>365</v>
      </c>
      <c r="F327" s="89">
        <f ca="1"/>
        <v>1</v>
      </c>
      <c r="G327" s="89" t="str">
        <f ca="1"/>
        <v>SIN FECHA</v>
      </c>
    </row>
    <row r="328" spans="1:7" x14ac:dyDescent="0.3">
      <c r="A328" s="89" t="str">
        <f ca="1"/>
        <v>DODDS, CARLOS DANIEL</v>
      </c>
      <c r="B328" s="89" t="str">
        <f ca="1"/>
        <v>Conservacion Auditiva</v>
      </c>
      <c r="C328" s="93" t="str">
        <f ca="1"/>
        <v/>
      </c>
      <c r="D328" s="89" t="str">
        <f ca="1"/>
        <v>Periódica</v>
      </c>
      <c r="E328" s="89">
        <f ca="1"/>
        <v>365</v>
      </c>
      <c r="F328" s="89">
        <f ca="1"/>
        <v>1</v>
      </c>
      <c r="G328" s="89" t="str">
        <f ca="1"/>
        <v>SIN FECHA</v>
      </c>
    </row>
    <row r="329" spans="1:7" x14ac:dyDescent="0.3">
      <c r="A329" s="89" t="str">
        <f ca="1"/>
        <v>DODDS, CARLOS DANIEL</v>
      </c>
      <c r="B329" s="89" t="str">
        <f ca="1"/>
        <v xml:space="preserve">Ergonomia //  / Levantamiento &amp; Seguridad en la Espalda </v>
      </c>
      <c r="C329" s="93">
        <f ca="1"/>
        <v>46017</v>
      </c>
      <c r="D329" s="89" t="str">
        <f ca="1"/>
        <v>Periódica</v>
      </c>
      <c r="E329" s="89">
        <f ca="1"/>
        <v>365</v>
      </c>
      <c r="F329" s="89">
        <f ca="1"/>
        <v>1</v>
      </c>
      <c r="G329" s="89" t="str">
        <f ca="1"/>
        <v>VIGENTE</v>
      </c>
    </row>
    <row r="330" spans="1:7" x14ac:dyDescent="0.3">
      <c r="A330" s="89" t="str">
        <f ca="1"/>
        <v>DODDS, CARLOS DANIEL</v>
      </c>
      <c r="B330" s="89" t="str">
        <f ca="1"/>
        <v>Superficies Elevadas (Todos)</v>
      </c>
      <c r="C330" s="93">
        <f ca="1"/>
        <v>46017</v>
      </c>
      <c r="D330" s="89" t="str">
        <f ca="1"/>
        <v>Periódica</v>
      </c>
      <c r="E330" s="89">
        <f ca="1"/>
        <v>365</v>
      </c>
      <c r="F330" s="89">
        <f ca="1"/>
        <v>1</v>
      </c>
      <c r="G330" s="89" t="str">
        <f ca="1"/>
        <v>VIGENTE</v>
      </c>
    </row>
    <row r="331" spans="1:7" x14ac:dyDescent="0.3">
      <c r="A331" s="89" t="str">
        <f ca="1"/>
        <v>DODDS, CARLOS DANIEL</v>
      </c>
      <c r="B331" s="89" t="str">
        <f ca="1"/>
        <v>Superficies Elevadas (Personal Habilitado)</v>
      </c>
      <c r="C331" s="93" t="str">
        <f ca="1"/>
        <v/>
      </c>
      <c r="D331" s="89" t="str">
        <f ca="1"/>
        <v>Periódica</v>
      </c>
      <c r="E331" s="89">
        <f ca="1"/>
        <v>365</v>
      </c>
      <c r="F331" s="89">
        <f ca="1"/>
        <v>8</v>
      </c>
      <c r="G331" s="89" t="str">
        <f ca="1"/>
        <v>SIN FECHA</v>
      </c>
    </row>
    <row r="332" spans="1:7" x14ac:dyDescent="0.3">
      <c r="A332" s="89" t="str">
        <f ca="1"/>
        <v>DODDS, CARLOS DANIEL</v>
      </c>
      <c r="B332" s="89" t="str">
        <f ca="1"/>
        <v>Seguridad Quimica (Todos)</v>
      </c>
      <c r="C332" s="93">
        <f ca="1"/>
        <v>46017</v>
      </c>
      <c r="D332" s="89" t="str">
        <f ca="1"/>
        <v>Periódica</v>
      </c>
      <c r="E332" s="89">
        <f ca="1"/>
        <v>730</v>
      </c>
      <c r="F332" s="89">
        <f ca="1"/>
        <v>1</v>
      </c>
      <c r="G332" s="89" t="str">
        <f ca="1"/>
        <v>VIGENTE</v>
      </c>
    </row>
    <row r="333" spans="1:7" x14ac:dyDescent="0.3">
      <c r="A333" s="89" t="str">
        <f ca="1"/>
        <v>DODDS, CARLOS DANIEL</v>
      </c>
      <c r="B333" s="89" t="str">
        <f ca="1"/>
        <v>Seguridad Quimica (Mantenimiento)</v>
      </c>
      <c r="C333" s="93" t="str">
        <f ca="1"/>
        <v/>
      </c>
      <c r="D333" s="89" t="str">
        <f ca="1"/>
        <v>Periódica</v>
      </c>
      <c r="E333" s="89">
        <f ca="1"/>
        <v>365</v>
      </c>
      <c r="F333" s="89">
        <f ca="1"/>
        <v>1</v>
      </c>
      <c r="G333" s="89" t="str">
        <f ca="1"/>
        <v>SIN FECHA</v>
      </c>
    </row>
    <row r="334" spans="1:7" x14ac:dyDescent="0.3">
      <c r="A334" s="89" t="str">
        <f ca="1"/>
        <v>DODDS, CARLOS DANIEL</v>
      </c>
      <c r="B334" s="89" t="str">
        <f ca="1"/>
        <v>Seguridad Quimica (Contratistas)</v>
      </c>
      <c r="C334" s="93" t="str">
        <f ca="1"/>
        <v/>
      </c>
      <c r="D334" s="89" t="str">
        <f ca="1"/>
        <v>Periódica</v>
      </c>
      <c r="E334" s="89">
        <f ca="1"/>
        <v>365</v>
      </c>
      <c r="F334" s="89">
        <f ca="1"/>
        <v>1</v>
      </c>
      <c r="G334" s="89" t="str">
        <f ca="1"/>
        <v>SIN FECHA</v>
      </c>
    </row>
    <row r="335" spans="1:7" x14ac:dyDescent="0.3">
      <c r="A335" s="89" t="str">
        <f ca="1"/>
        <v>DODDS, CARLOS DANIEL</v>
      </c>
      <c r="B335" s="89" t="str">
        <f ca="1"/>
        <v>Seguridad para Trabajos en Caliente</v>
      </c>
      <c r="C335" s="93">
        <f ca="1"/>
        <v>46017</v>
      </c>
      <c r="D335" s="89" t="str">
        <f ca="1"/>
        <v>Periódica</v>
      </c>
      <c r="E335" s="89">
        <f ca="1"/>
        <v>365</v>
      </c>
      <c r="F335" s="89">
        <f ca="1"/>
        <v>1</v>
      </c>
      <c r="G335" s="89" t="str">
        <f ca="1"/>
        <v>VIGENTE</v>
      </c>
    </row>
    <row r="336" spans="1:7" x14ac:dyDescent="0.3">
      <c r="A336" s="89" t="str">
        <f ca="1"/>
        <v>DODDS, CARLOS DANIEL</v>
      </c>
      <c r="B336" s="89" t="str">
        <f ca="1"/>
        <v>Seguridad con la Radiacion</v>
      </c>
      <c r="C336" s="93" t="str">
        <f ca="1"/>
        <v/>
      </c>
      <c r="D336" s="89" t="str">
        <f ca="1"/>
        <v>Periódica</v>
      </c>
      <c r="E336" s="89">
        <f ca="1"/>
        <v>365</v>
      </c>
      <c r="F336" s="89">
        <f ca="1"/>
        <v>2</v>
      </c>
      <c r="G336" s="89" t="str">
        <f ca="1"/>
        <v>SIN FECHA</v>
      </c>
    </row>
    <row r="337" spans="1:7" x14ac:dyDescent="0.3">
      <c r="A337" s="89" t="str">
        <f ca="1"/>
        <v>DODDS, CARLOS DANIEL</v>
      </c>
      <c r="B337" s="89" t="str">
        <f ca="1"/>
        <v>Equipo de Proteccion Personal (PPE)</v>
      </c>
      <c r="C337" s="93">
        <f ca="1"/>
        <v>46017</v>
      </c>
      <c r="D337" s="89" t="str">
        <f ca="1"/>
        <v>Periódica</v>
      </c>
      <c r="E337" s="89">
        <f ca="1"/>
        <v>365</v>
      </c>
      <c r="F337" s="89">
        <f ca="1"/>
        <v>1</v>
      </c>
      <c r="G337" s="89" t="str">
        <f ca="1"/>
        <v>VIGENTE</v>
      </c>
    </row>
    <row r="338" spans="1:7" x14ac:dyDescent="0.3">
      <c r="A338" s="89" t="str">
        <f ca="1"/>
        <v>DODDS, CARLOS DANIEL</v>
      </c>
      <c r="B338" s="89" t="str">
        <f ca="1"/>
        <v>Proteccion Respiratoria</v>
      </c>
      <c r="C338" s="93" t="str">
        <f ca="1"/>
        <v/>
      </c>
      <c r="D338" s="89" t="str">
        <f ca="1"/>
        <v>Periódica</v>
      </c>
      <c r="E338" s="89">
        <f ca="1"/>
        <v>365</v>
      </c>
      <c r="F338" s="89">
        <f ca="1"/>
        <v>1</v>
      </c>
      <c r="G338" s="89" t="str">
        <f ca="1"/>
        <v>SIN FECHA</v>
      </c>
    </row>
    <row r="339" spans="1:7" x14ac:dyDescent="0.3">
      <c r="A339" s="89" t="str">
        <f ca="1"/>
        <v>DODDS, CARLOS DANIEL</v>
      </c>
      <c r="B339" s="89" t="str">
        <f ca="1"/>
        <v xml:space="preserve">Seguridad con Escaleras </v>
      </c>
      <c r="C339" s="93">
        <f ca="1"/>
        <v>46017</v>
      </c>
      <c r="D339" s="89" t="str">
        <f ca="1"/>
        <v>Periódica</v>
      </c>
      <c r="E339" s="89">
        <f ca="1"/>
        <v>365</v>
      </c>
      <c r="F339" s="89">
        <f ca="1"/>
        <v>1</v>
      </c>
      <c r="G339" s="89" t="str">
        <f ca="1"/>
        <v>VIGENTE</v>
      </c>
    </row>
    <row r="340" spans="1:7" x14ac:dyDescent="0.3">
      <c r="A340" s="89" t="str">
        <f ca="1"/>
        <v>DODDS, CARLOS DANIEL</v>
      </c>
      <c r="B340" s="89" t="str">
        <f ca="1"/>
        <v>Seguridad con Escaleras // Estantes de Almacenamiento</v>
      </c>
      <c r="C340" s="93" t="str">
        <f ca="1"/>
        <v/>
      </c>
      <c r="D340" s="89" t="str">
        <f ca="1"/>
        <v>Periódica</v>
      </c>
      <c r="E340" s="89">
        <f ca="1"/>
        <v>365</v>
      </c>
      <c r="F340" s="89">
        <f ca="1"/>
        <v>1</v>
      </c>
      <c r="G340" s="89" t="str">
        <f ca="1"/>
        <v>SIN FECHA</v>
      </c>
    </row>
    <row r="341" spans="1:7" x14ac:dyDescent="0.3">
      <c r="A341" s="89" t="str">
        <f ca="1"/>
        <v>DODDS, CARLOS DANIEL</v>
      </c>
      <c r="B341" s="89" t="str">
        <f ca="1"/>
        <v>Responsabilidades del Supervisor</v>
      </c>
      <c r="C341" s="93" t="str">
        <f ca="1"/>
        <v/>
      </c>
      <c r="D341" s="89" t="str">
        <f ca="1"/>
        <v>Periódica</v>
      </c>
      <c r="E341" s="89">
        <f ca="1"/>
        <v>365</v>
      </c>
      <c r="F341" s="89">
        <f ca="1"/>
        <v>1</v>
      </c>
      <c r="G341" s="89" t="str">
        <f ca="1"/>
        <v>SIN FECHA</v>
      </c>
    </row>
    <row r="342" spans="1:7" x14ac:dyDescent="0.3">
      <c r="A342" s="89" t="str">
        <f ca="1"/>
        <v>DODDS, CARLOS DANIEL</v>
      </c>
      <c r="B342" s="89" t="str">
        <f ca="1"/>
        <v>Espacios Confinados (Todos)</v>
      </c>
      <c r="C342" s="93" t="str">
        <f ca="1"/>
        <v/>
      </c>
      <c r="D342" s="89" t="str">
        <f ca="1"/>
        <v>Periódica</v>
      </c>
      <c r="E342" s="89">
        <f ca="1"/>
        <v>365</v>
      </c>
      <c r="F342" s="89">
        <f ca="1"/>
        <v>1</v>
      </c>
      <c r="G342" s="89" t="str">
        <f ca="1"/>
        <v>SIN FECHA</v>
      </c>
    </row>
    <row r="343" spans="1:7" x14ac:dyDescent="0.3">
      <c r="A343" s="89" t="str">
        <f ca="1"/>
        <v>DODDS, CARLOS DANIEL</v>
      </c>
      <c r="B343" s="89" t="str">
        <f ca="1"/>
        <v>HSMS.017 / Espacios Confinados (Entrantes)</v>
      </c>
      <c r="C343" s="93" t="str">
        <f ca="1"/>
        <v/>
      </c>
      <c r="D343" s="89" t="str">
        <f ca="1"/>
        <v>Evento</v>
      </c>
      <c r="E343" s="89">
        <f ca="1"/>
        <v>0</v>
      </c>
      <c r="F343" s="89">
        <f ca="1"/>
        <v>8</v>
      </c>
      <c r="G343" s="89" t="str">
        <f ca="1"/>
        <v>SIN FECHA</v>
      </c>
    </row>
    <row r="344" spans="1:7" x14ac:dyDescent="0.3">
      <c r="A344" s="89" t="str">
        <f ca="1"/>
        <v>DODDS, CARLOS DANIEL</v>
      </c>
      <c r="B344" s="89" t="str">
        <f ca="1"/>
        <v>Programa de Agua (Todos)</v>
      </c>
      <c r="C344" s="93">
        <f ca="1"/>
        <v>46162</v>
      </c>
      <c r="D344" s="89" t="str">
        <f ca="1"/>
        <v>Evento</v>
      </c>
      <c r="E344" s="89">
        <f ca="1"/>
        <v>0</v>
      </c>
      <c r="F344" s="89">
        <f ca="1"/>
        <v>1</v>
      </c>
      <c r="G344" s="89" t="str">
        <f ca="1"/>
        <v>VIGENTE</v>
      </c>
    </row>
    <row r="345" spans="1:7" x14ac:dyDescent="0.3">
      <c r="A345" s="89" t="str">
        <f ca="1"/>
        <v>DODDS, CARLOS DANIEL</v>
      </c>
      <c r="B345" s="89" t="str">
        <f ca="1"/>
        <v>Programa de Agua (HSE)</v>
      </c>
      <c r="C345" s="93" t="str">
        <f ca="1"/>
        <v/>
      </c>
      <c r="D345" s="89" t="str">
        <f ca="1"/>
        <v>Evento</v>
      </c>
      <c r="E345" s="89">
        <f ca="1"/>
        <v>0</v>
      </c>
      <c r="F345" s="89">
        <f ca="1"/>
        <v>1</v>
      </c>
      <c r="G345" s="89" t="str">
        <f ca="1"/>
        <v>SIN FECHA</v>
      </c>
    </row>
    <row r="346" spans="1:7" x14ac:dyDescent="0.3">
      <c r="A346" s="89" t="str">
        <f ca="1"/>
        <v>DODDS, CARLOS DANIEL</v>
      </c>
      <c r="B346" s="89" t="str">
        <f ca="1"/>
        <v>HIV/SIDA y otras enfermedades de transmisión sexual (ETS)</v>
      </c>
      <c r="C346" s="93" t="str">
        <f ca="1"/>
        <v/>
      </c>
      <c r="D346" s="89" t="str">
        <f ca="1"/>
        <v>Periódica</v>
      </c>
      <c r="E346" s="89">
        <f ca="1"/>
        <v>365</v>
      </c>
      <c r="F346" s="89">
        <f ca="1"/>
        <v>1</v>
      </c>
      <c r="G346" s="89" t="str">
        <f ca="1"/>
        <v>SIN FECHA</v>
      </c>
    </row>
    <row r="347" spans="1:7" x14ac:dyDescent="0.3">
      <c r="A347" s="89" t="str">
        <f ca="1"/>
        <v>DODDS, CARLOS DANIEL</v>
      </c>
      <c r="B347" s="89" t="str">
        <f ca="1"/>
        <v>Drogas de abuso (concientización y prevención)</v>
      </c>
      <c r="C347" s="93" t="str">
        <f ca="1"/>
        <v/>
      </c>
      <c r="D347" s="89" t="str">
        <f ca="1"/>
        <v>Periódica</v>
      </c>
      <c r="E347" s="89">
        <f ca="1"/>
        <v>365</v>
      </c>
      <c r="F347" s="89">
        <f ca="1"/>
        <v>1</v>
      </c>
      <c r="G347" s="89" t="str">
        <f ca="1"/>
        <v>SIN FECHA</v>
      </c>
    </row>
    <row r="348" spans="1:7" x14ac:dyDescent="0.3">
      <c r="A348" s="89" t="str">
        <f ca="1"/>
        <v>DODDS, CARLOS DANIEL</v>
      </c>
      <c r="B348" s="89" t="str">
        <f ca="1"/>
        <v>Vida saludable (hábitos, autocuidado y bienestar)</v>
      </c>
      <c r="C348" s="93" t="str">
        <f ca="1"/>
        <v/>
      </c>
      <c r="D348" s="89" t="str">
        <f ca="1"/>
        <v>Periódica</v>
      </c>
      <c r="E348" s="89">
        <f ca="1"/>
        <v>365</v>
      </c>
      <c r="F348" s="89">
        <f ca="1"/>
        <v>1</v>
      </c>
      <c r="G348" s="89" t="str">
        <f ca="1"/>
        <v>SIN FECHA</v>
      </c>
    </row>
    <row r="349" spans="1:7" x14ac:dyDescent="0.3">
      <c r="A349" s="89" t="str">
        <f ca="1"/>
        <v>DODDS, CARLOS DANIEL</v>
      </c>
      <c r="B349" s="89" t="str">
        <f ca="1"/>
        <v>Primeros auxilios y Reanimación Cardio Pulmonar (RCP)</v>
      </c>
      <c r="C349" s="93" t="str">
        <f ca="1"/>
        <v/>
      </c>
      <c r="D349" s="89" t="str">
        <f ca="1"/>
        <v>Periódica</v>
      </c>
      <c r="E349" s="89">
        <f ca="1"/>
        <v>365</v>
      </c>
      <c r="F349" s="89">
        <f ca="1"/>
        <v>4</v>
      </c>
      <c r="G349" s="89" t="str">
        <f ca="1"/>
        <v>SIN FECHA</v>
      </c>
    </row>
    <row r="350" spans="1:7" x14ac:dyDescent="0.3">
      <c r="A350" s="89" t="str">
        <f ca="1"/>
        <v>DODDS, CARLOS DANIEL</v>
      </c>
      <c r="B350" s="89" t="str">
        <f ca="1"/>
        <v>Prevención cardiovascular (factores de riesgo y señales de alarma)</v>
      </c>
      <c r="C350" s="93" t="str">
        <f ca="1"/>
        <v/>
      </c>
      <c r="D350" s="89" t="str">
        <f ca="1"/>
        <v>Periódica</v>
      </c>
      <c r="E350" s="89">
        <f ca="1"/>
        <v>365</v>
      </c>
      <c r="F350" s="89">
        <f ca="1"/>
        <v>1</v>
      </c>
      <c r="G350" s="89" t="str">
        <f ca="1"/>
        <v>SIN FECHA</v>
      </c>
    </row>
    <row r="351" spans="1:7" x14ac:dyDescent="0.3">
      <c r="A351" s="89" t="str">
        <f ca="1"/>
        <v>DODDS, CARLOS DANIEL</v>
      </c>
      <c r="B351" s="89" t="str">
        <f ca="1"/>
        <v>Efectos del tabaco sobre la salud</v>
      </c>
      <c r="C351" s="93" t="str">
        <f ca="1"/>
        <v/>
      </c>
      <c r="D351" s="89" t="str">
        <f ca="1"/>
        <v>Periódica</v>
      </c>
      <c r="E351" s="89">
        <f ca="1"/>
        <v>365</v>
      </c>
      <c r="F351" s="89">
        <f ca="1"/>
        <v>1</v>
      </c>
      <c r="G351" s="89" t="str">
        <f ca="1"/>
        <v>SIN FECHA</v>
      </c>
    </row>
    <row r="352" spans="1:7" x14ac:dyDescent="0.3">
      <c r="A352" s="89" t="str">
        <f ca="1"/>
        <v>DODDS, CARLOS DANIEL</v>
      </c>
      <c r="B352" s="89" t="str">
        <f ca="1"/>
        <v>Cargadora (Op. Montacargas)</v>
      </c>
      <c r="C352" s="93" t="str">
        <f ca="1"/>
        <v/>
      </c>
      <c r="D352" s="89" t="str">
        <f ca="1"/>
        <v>Periódica</v>
      </c>
      <c r="E352" s="89">
        <f ca="1"/>
        <v>365</v>
      </c>
      <c r="F352" s="89">
        <f ca="1"/>
        <v>8</v>
      </c>
      <c r="G352" s="89" t="str">
        <f ca="1"/>
        <v>SIN FECHA</v>
      </c>
    </row>
    <row r="353" spans="1:7" x14ac:dyDescent="0.3">
      <c r="A353" s="89" t="str">
        <f ca="1"/>
        <v>DODDS, CARLOS DANIEL</v>
      </c>
      <c r="B353" s="89">
        <f ca="1"/>
        <v>0</v>
      </c>
      <c r="C353" s="93" t="str">
        <f ca="1"/>
        <v/>
      </c>
      <c r="D353" s="89" t="str">
        <f ca="1"/>
        <v/>
      </c>
      <c r="E353" s="89" t="str">
        <f ca="1"/>
        <v/>
      </c>
      <c r="F353" s="89" t="str">
        <f ca="1"/>
        <v/>
      </c>
      <c r="G353" s="89" t="str">
        <f ca="1"/>
        <v>SIN FECHA</v>
      </c>
    </row>
    <row r="354" spans="1:7" x14ac:dyDescent="0.3">
      <c r="A354" s="89" t="str">
        <f ca="1"/>
        <v>DODDS, CARLOS DANIEL</v>
      </c>
      <c r="B354" s="89">
        <f ca="1"/>
        <v>0</v>
      </c>
      <c r="C354" s="93" t="str">
        <f ca="1"/>
        <v/>
      </c>
      <c r="D354" s="89" t="str">
        <f ca="1"/>
        <v/>
      </c>
      <c r="E354" s="89" t="str">
        <f ca="1"/>
        <v/>
      </c>
      <c r="F354" s="89" t="str">
        <f ca="1"/>
        <v/>
      </c>
      <c r="G354" s="89" t="str">
        <f ca="1"/>
        <v>SIN FECHA</v>
      </c>
    </row>
    <row r="355" spans="1:7" x14ac:dyDescent="0.3">
      <c r="A355" s="89" t="str">
        <f ca="1"/>
        <v>DODDS, CARLOS DANIEL</v>
      </c>
      <c r="B355" s="89">
        <f ca="1"/>
        <v>0</v>
      </c>
      <c r="C355" s="93" t="str">
        <f ca="1"/>
        <v/>
      </c>
      <c r="D355" s="89" t="str">
        <f ca="1"/>
        <v/>
      </c>
      <c r="E355" s="89" t="str">
        <f ca="1"/>
        <v/>
      </c>
      <c r="F355" s="89" t="str">
        <f ca="1"/>
        <v/>
      </c>
      <c r="G355" s="89" t="str">
        <f ca="1"/>
        <v>SIN FECHA</v>
      </c>
    </row>
    <row r="356" spans="1:7" x14ac:dyDescent="0.3">
      <c r="A356" s="89" t="str">
        <f ca="1"/>
        <v>DODDS, CARLOS DANIEL</v>
      </c>
      <c r="B356" s="89">
        <f ca="1"/>
        <v>0</v>
      </c>
      <c r="C356" s="93" t="str">
        <f ca="1"/>
        <v/>
      </c>
      <c r="D356" s="89" t="str">
        <f ca="1"/>
        <v/>
      </c>
      <c r="E356" s="89" t="str">
        <f ca="1"/>
        <v/>
      </c>
      <c r="F356" s="89" t="str">
        <f ca="1"/>
        <v/>
      </c>
      <c r="G356" s="89" t="str">
        <f ca="1"/>
        <v>SIN FECHA</v>
      </c>
    </row>
    <row r="357" spans="1:7" x14ac:dyDescent="0.3">
      <c r="A357" s="89" t="str">
        <f ca="1"/>
        <v>DODDS, CARLOS DANIEL</v>
      </c>
      <c r="B357" s="89">
        <f ca="1"/>
        <v>0</v>
      </c>
      <c r="C357" s="93" t="str">
        <f ca="1"/>
        <v/>
      </c>
      <c r="D357" s="89" t="str">
        <f ca="1"/>
        <v/>
      </c>
      <c r="E357" s="89" t="str">
        <f ca="1"/>
        <v/>
      </c>
      <c r="F357" s="89" t="str">
        <f ca="1"/>
        <v/>
      </c>
      <c r="G357" s="89" t="str">
        <f ca="1"/>
        <v>SIN FECHA</v>
      </c>
    </row>
    <row r="358" spans="1:7" x14ac:dyDescent="0.3">
      <c r="A358" s="89" t="str">
        <f ca="1"/>
        <v>DODDS, CARLOS DANIEL</v>
      </c>
      <c r="B358" s="89">
        <f ca="1"/>
        <v>0</v>
      </c>
      <c r="C358" s="93" t="str">
        <f ca="1"/>
        <v/>
      </c>
      <c r="D358" s="89" t="str">
        <f ca="1"/>
        <v/>
      </c>
      <c r="E358" s="89" t="str">
        <f ca="1"/>
        <v/>
      </c>
      <c r="F358" s="89" t="str">
        <f ca="1"/>
        <v/>
      </c>
      <c r="G358" s="89" t="str">
        <f ca="1"/>
        <v>SIN FECHA</v>
      </c>
    </row>
    <row r="359" spans="1:7" x14ac:dyDescent="0.3">
      <c r="A359" s="89" t="str">
        <f ca="1"/>
        <v>DODDS, CARLOS DANIEL</v>
      </c>
      <c r="B359" s="89">
        <f ca="1"/>
        <v>0</v>
      </c>
      <c r="C359" s="93" t="str">
        <f ca="1"/>
        <v/>
      </c>
      <c r="D359" s="89" t="str">
        <f ca="1"/>
        <v/>
      </c>
      <c r="E359" s="89" t="str">
        <f ca="1"/>
        <v/>
      </c>
      <c r="F359" s="89" t="str">
        <f ca="1"/>
        <v/>
      </c>
      <c r="G359" s="89" t="str">
        <f ca="1"/>
        <v>SIN FECHA</v>
      </c>
    </row>
    <row r="360" spans="1:7" x14ac:dyDescent="0.3">
      <c r="A360" s="89" t="str">
        <f ca="1"/>
        <v>DODDS, CARLOS DANIEL</v>
      </c>
      <c r="B360" s="89">
        <f ca="1"/>
        <v>0</v>
      </c>
      <c r="C360" s="93" t="str">
        <f ca="1"/>
        <v/>
      </c>
      <c r="D360" s="89" t="str">
        <f ca="1"/>
        <v/>
      </c>
      <c r="E360" s="89" t="str">
        <f ca="1"/>
        <v/>
      </c>
      <c r="F360" s="89" t="str">
        <f ca="1"/>
        <v/>
      </c>
      <c r="G360" s="89" t="str">
        <f ca="1"/>
        <v>SIN FECHA</v>
      </c>
    </row>
    <row r="361" spans="1:7" x14ac:dyDescent="0.3">
      <c r="A361" s="89" t="str">
        <f ca="1"/>
        <v>DODDS, CARLOS DANIEL</v>
      </c>
      <c r="B361" s="89">
        <f ca="1"/>
        <v>0</v>
      </c>
      <c r="C361" s="93" t="str">
        <f ca="1"/>
        <v/>
      </c>
      <c r="D361" s="89" t="str">
        <f ca="1"/>
        <v/>
      </c>
      <c r="E361" s="89" t="str">
        <f ca="1"/>
        <v/>
      </c>
      <c r="F361" s="89" t="str">
        <f ca="1"/>
        <v/>
      </c>
      <c r="G361" s="89" t="str">
        <f ca="1"/>
        <v>SIN FECHA</v>
      </c>
    </row>
    <row r="362" spans="1:7" x14ac:dyDescent="0.3">
      <c r="A362" s="89" t="str">
        <f ca="1"/>
        <v>GOMEZ, PABLO JOAQUIN</v>
      </c>
      <c r="B362" s="89" t="str">
        <f ca="1"/>
        <v>Programa de Aire</v>
      </c>
      <c r="C362" s="93" t="str">
        <f ca="1"/>
        <v/>
      </c>
      <c r="D362" s="89" t="str">
        <f ca="1"/>
        <v>Evento</v>
      </c>
      <c r="E362" s="89">
        <f ca="1"/>
        <v>0</v>
      </c>
      <c r="F362" s="89">
        <f ca="1"/>
        <v>1</v>
      </c>
      <c r="G362" s="89" t="str">
        <f ca="1"/>
        <v>SIN FECHA</v>
      </c>
    </row>
    <row r="363" spans="1:7" x14ac:dyDescent="0.3">
      <c r="A363" s="89" t="str">
        <f ca="1"/>
        <v>GOMEZ, PABLO JOAQUIN</v>
      </c>
      <c r="B363" s="89" t="str">
        <f ca="1"/>
        <v>Conciencia Ambiental</v>
      </c>
      <c r="C363" s="93">
        <f ca="1"/>
        <v>46147</v>
      </c>
      <c r="D363" s="89" t="str">
        <f ca="1"/>
        <v>Periódica</v>
      </c>
      <c r="E363" s="89">
        <f ca="1"/>
        <v>365</v>
      </c>
      <c r="F363" s="89">
        <f ca="1"/>
        <v>1</v>
      </c>
      <c r="G363" s="89" t="str">
        <f ca="1"/>
        <v>VIGENTE</v>
      </c>
    </row>
    <row r="364" spans="1:7" x14ac:dyDescent="0.3">
      <c r="A364" s="89" t="str">
        <f ca="1"/>
        <v>GOMEZ, PABLO JOAQUIN</v>
      </c>
      <c r="B364" s="89" t="str">
        <f ca="1"/>
        <v xml:space="preserve">Control de Documentos e Informacion de HSE </v>
      </c>
      <c r="C364" s="93" t="str">
        <f ca="1"/>
        <v/>
      </c>
      <c r="D364" s="89" t="str">
        <f ca="1"/>
        <v>Evento</v>
      </c>
      <c r="E364" s="89">
        <f ca="1"/>
        <v>0</v>
      </c>
      <c r="F364" s="89">
        <f ca="1"/>
        <v>1</v>
      </c>
      <c r="G364" s="89" t="str">
        <f ca="1"/>
        <v>SIN FECHA</v>
      </c>
    </row>
    <row r="365" spans="1:7" x14ac:dyDescent="0.3">
      <c r="A365" s="89" t="str">
        <f ca="1"/>
        <v>GOMEZ, PABLO JOAQUIN</v>
      </c>
      <c r="B365" s="89" t="str">
        <f ca="1"/>
        <v xml:space="preserve"> Acciones Correctivas y Preventivas (CAPA)</v>
      </c>
      <c r="C365" s="93" t="str">
        <f ca="1"/>
        <v/>
      </c>
      <c r="D365" s="89" t="str">
        <f ca="1"/>
        <v>Evento</v>
      </c>
      <c r="E365" s="89">
        <f ca="1"/>
        <v>0</v>
      </c>
      <c r="F365" s="89">
        <f ca="1"/>
        <v>1</v>
      </c>
      <c r="G365" s="89" t="str">
        <f ca="1"/>
        <v>SIN FECHA</v>
      </c>
    </row>
    <row r="366" spans="1:7" x14ac:dyDescent="0.3">
      <c r="A366" s="89" t="str">
        <f ca="1"/>
        <v>GOMEZ, PABLO JOAQUIN</v>
      </c>
      <c r="B366" s="89" t="str">
        <f ca="1"/>
        <v>Seguridad Basada en el Comportamiento (Observation Program) // HSMS.043 / Autoridad de Detener el Trabajo</v>
      </c>
      <c r="C366" s="93">
        <f ca="1"/>
        <v>45707</v>
      </c>
      <c r="D366" s="89" t="str">
        <f ca="1"/>
        <v>Periódica</v>
      </c>
      <c r="E366" s="89">
        <f ca="1"/>
        <v>365</v>
      </c>
      <c r="F366" s="89">
        <f ca="1"/>
        <v>1</v>
      </c>
      <c r="G366" s="89" t="str">
        <f ca="1"/>
        <v>VENCIDA</v>
      </c>
    </row>
    <row r="367" spans="1:7" x14ac:dyDescent="0.3">
      <c r="A367" s="89" t="str">
        <f ca="1"/>
        <v>GOMEZ, PABLO JOAQUIN</v>
      </c>
      <c r="B367" s="89" t="str">
        <f ca="1"/>
        <v>Identificacion de Peligros y Evaluacion de Riesgos</v>
      </c>
      <c r="C367" s="93">
        <f ca="1"/>
        <v>46020</v>
      </c>
      <c r="D367" s="89" t="str">
        <f ca="1"/>
        <v>Evento</v>
      </c>
      <c r="E367" s="89">
        <f ca="1"/>
        <v>0</v>
      </c>
      <c r="F367" s="89">
        <f ca="1"/>
        <v>1</v>
      </c>
      <c r="G367" s="89" t="str">
        <f ca="1"/>
        <v>VIGENTE</v>
      </c>
    </row>
    <row r="368" spans="1:7" x14ac:dyDescent="0.3">
      <c r="A368" s="89" t="str">
        <f ca="1"/>
        <v>GOMEZ, PABLO JOAQUIN</v>
      </c>
      <c r="B368" s="89" t="str">
        <f ca="1"/>
        <v xml:space="preserve"> Plan de Respuesta ante Eemergencias / HSMS.010 /Primeros Axulios &amp; RCP/DEA / HSMSWT-002 / Patogenos Trasnmitidos por la Sangre</v>
      </c>
      <c r="C368" s="93" t="str">
        <f ca="1"/>
        <v/>
      </c>
      <c r="D368" s="89" t="str">
        <f ca="1"/>
        <v>Periódica</v>
      </c>
      <c r="E368" s="89">
        <f ca="1"/>
        <v>365</v>
      </c>
      <c r="F368" s="89">
        <f ca="1"/>
        <v>1</v>
      </c>
      <c r="G368" s="89" t="str">
        <f ca="1"/>
        <v>SIN FECHA</v>
      </c>
    </row>
    <row r="369" spans="1:7" x14ac:dyDescent="0.3">
      <c r="A369" s="89" t="str">
        <f ca="1"/>
        <v>GOMEZ, PABLO JOAQUIN</v>
      </c>
      <c r="B369" s="89" t="str">
        <f ca="1"/>
        <v>Reporte y Gestion de Incidentes HSE (Todos)</v>
      </c>
      <c r="C369" s="93">
        <f ca="1"/>
        <v>46008</v>
      </c>
      <c r="D369" s="89" t="str">
        <f ca="1"/>
        <v>Periódica</v>
      </c>
      <c r="E369" s="89">
        <f ca="1"/>
        <v>365</v>
      </c>
      <c r="F369" s="89">
        <f ca="1"/>
        <v>1</v>
      </c>
      <c r="G369" s="89" t="str">
        <f ca="1"/>
        <v>VIGENTE</v>
      </c>
    </row>
    <row r="370" spans="1:7" x14ac:dyDescent="0.3">
      <c r="A370" s="89" t="str">
        <f ca="1"/>
        <v>GOMEZ, PABLO JOAQUIN</v>
      </c>
      <c r="B370" s="89" t="str">
        <f ca="1"/>
        <v>Reporte, Gestion e Investigacion de Incidentes HSE (supervisores / investigadores (rol))</v>
      </c>
      <c r="C370" s="93" t="str">
        <f ca="1"/>
        <v/>
      </c>
      <c r="D370" s="89" t="str">
        <f ca="1"/>
        <v>Periódica</v>
      </c>
      <c r="E370" s="89">
        <f ca="1"/>
        <v>1095</v>
      </c>
      <c r="F370" s="89">
        <f ca="1"/>
        <v>2</v>
      </c>
      <c r="G370" s="89" t="str">
        <f ca="1"/>
        <v>SIN FECHA</v>
      </c>
    </row>
    <row r="371" spans="1:7" x14ac:dyDescent="0.3">
      <c r="A371" s="89" t="str">
        <f ca="1"/>
        <v>GOMEZ, PABLO JOAQUIN</v>
      </c>
      <c r="B371" s="89" t="str">
        <f ca="1"/>
        <v>Gruas y Equipos de Izaje (Todos)</v>
      </c>
      <c r="C371" s="93" t="str">
        <f ca="1"/>
        <v/>
      </c>
      <c r="D371" s="89" t="str">
        <f ca="1"/>
        <v>Periódica</v>
      </c>
      <c r="E371" s="89">
        <f ca="1"/>
        <v>365</v>
      </c>
      <c r="F371" s="89">
        <f ca="1"/>
        <v>2</v>
      </c>
      <c r="G371" s="89" t="str">
        <f ca="1"/>
        <v>SIN FECHA</v>
      </c>
    </row>
    <row r="372" spans="1:7" x14ac:dyDescent="0.3">
      <c r="A372" s="89" t="str">
        <f ca="1"/>
        <v>GOMEZ, PABLO JOAQUIN</v>
      </c>
      <c r="B372" s="89" t="str">
        <f ca="1"/>
        <v>HSMS.007 / Gruas y Equipos de Izaje (Operadores)</v>
      </c>
      <c r="C372" s="93">
        <f ca="1"/>
        <v>45776</v>
      </c>
      <c r="D372" s="89" t="str">
        <f ca="1"/>
        <v>Periódica</v>
      </c>
      <c r="E372" s="89">
        <f ca="1"/>
        <v>365</v>
      </c>
      <c r="F372" s="89">
        <f ca="1"/>
        <v>8</v>
      </c>
      <c r="G372" s="89" t="str">
        <f ca="1"/>
        <v>VENCIDA</v>
      </c>
    </row>
    <row r="373" spans="1:7" x14ac:dyDescent="0.3">
      <c r="A373" s="89" t="str">
        <f ca="1"/>
        <v>GOMEZ, PABLO JOAQUIN</v>
      </c>
      <c r="B373" s="89" t="str">
        <f ca="1"/>
        <v>Proteccion Contra Incendios (Todos)</v>
      </c>
      <c r="C373" s="93">
        <f ca="1"/>
        <v>46020</v>
      </c>
      <c r="D373" s="89" t="str">
        <f ca="1"/>
        <v>Periódica</v>
      </c>
      <c r="E373" s="89">
        <f ca="1"/>
        <v>365</v>
      </c>
      <c r="F373" s="89">
        <f ca="1"/>
        <v>1</v>
      </c>
      <c r="G373" s="89" t="str">
        <f ca="1"/>
        <v>VIGENTE</v>
      </c>
    </row>
    <row r="374" spans="1:7" x14ac:dyDescent="0.3">
      <c r="A374" s="89" t="str">
        <f ca="1"/>
        <v>GOMEZ, PABLO JOAQUIN</v>
      </c>
      <c r="B374" s="89" t="str">
        <f ca="1"/>
        <v>Proteccion Contra Incendios (Brigadistas)</v>
      </c>
      <c r="C374" s="93" t="str">
        <f ca="1"/>
        <v/>
      </c>
      <c r="D374" s="89" t="str">
        <f ca="1"/>
        <v>Periódica</v>
      </c>
      <c r="E374" s="89">
        <f ca="1"/>
        <v>365</v>
      </c>
      <c r="F374" s="89">
        <f ca="1"/>
        <v>2</v>
      </c>
      <c r="G374" s="89" t="str">
        <f ca="1"/>
        <v>SIN FECHA</v>
      </c>
    </row>
    <row r="375" spans="1:7" x14ac:dyDescent="0.3">
      <c r="A375" s="89" t="str">
        <f ca="1"/>
        <v>GOMEZ, PABLO JOAQUIN</v>
      </c>
      <c r="B375" s="89" t="str">
        <f ca="1"/>
        <v>Primeros Auxilios (Brigadistas)</v>
      </c>
      <c r="C375" s="93" t="str">
        <f ca="1"/>
        <v/>
      </c>
      <c r="D375" s="89" t="str">
        <f ca="1"/>
        <v>Periódica</v>
      </c>
      <c r="E375" s="89">
        <f ca="1"/>
        <v>365</v>
      </c>
      <c r="F375" s="89">
        <f ca="1"/>
        <v>2</v>
      </c>
      <c r="G375" s="89" t="str">
        <f ca="1"/>
        <v>SIN FECHA</v>
      </c>
    </row>
    <row r="376" spans="1:7" x14ac:dyDescent="0.3">
      <c r="A376" s="89" t="str">
        <f ca="1"/>
        <v>GOMEZ, PABLO JOAQUIN</v>
      </c>
      <c r="B376" s="89" t="str">
        <f ca="1"/>
        <v>Seguridad Electrica (Todos)</v>
      </c>
      <c r="C376" s="93" t="str">
        <f ca="1"/>
        <v/>
      </c>
      <c r="D376" s="89" t="str">
        <f ca="1"/>
        <v>Periódica</v>
      </c>
      <c r="E376" s="89">
        <f ca="1"/>
        <v>365</v>
      </c>
      <c r="F376" s="89">
        <f ca="1"/>
        <v>1</v>
      </c>
      <c r="G376" s="89" t="str">
        <f ca="1"/>
        <v>SIN FECHA</v>
      </c>
    </row>
    <row r="377" spans="1:7" x14ac:dyDescent="0.3">
      <c r="A377" s="89" t="str">
        <f ca="1"/>
        <v>GOMEZ, PABLO JOAQUIN</v>
      </c>
      <c r="B377" s="89" t="str">
        <f ca="1"/>
        <v>Seguridad Electrica (Personal Autorizado)</v>
      </c>
      <c r="C377" s="93" t="str">
        <f ca="1"/>
        <v/>
      </c>
      <c r="D377" s="89" t="str">
        <f ca="1"/>
        <v>Periódica</v>
      </c>
      <c r="E377" s="89">
        <f ca="1"/>
        <v>1095</v>
      </c>
      <c r="F377" s="89">
        <f ca="1"/>
        <v>4</v>
      </c>
      <c r="G377" s="89" t="str">
        <f ca="1"/>
        <v>SIN FECHA</v>
      </c>
    </row>
    <row r="378" spans="1:7" x14ac:dyDescent="0.3">
      <c r="A378" s="89" t="str">
        <f ca="1"/>
        <v>GOMEZ, PABLO JOAQUIN</v>
      </c>
      <c r="B378" s="89" t="str">
        <f ca="1"/>
        <v>Camiones Industriales Motorizados (PIT) (Todos)</v>
      </c>
      <c r="C378" s="93" t="str">
        <f ca="1"/>
        <v/>
      </c>
      <c r="D378" s="89" t="str">
        <f ca="1"/>
        <v>Periódica</v>
      </c>
      <c r="E378" s="89">
        <f ca="1"/>
        <v>365</v>
      </c>
      <c r="F378" s="89">
        <f ca="1"/>
        <v>1</v>
      </c>
      <c r="G378" s="89" t="str">
        <f ca="1"/>
        <v>SIN FECHA</v>
      </c>
    </row>
    <row r="379" spans="1:7" x14ac:dyDescent="0.3">
      <c r="A379" s="89" t="str">
        <f ca="1"/>
        <v>GOMEZ, PABLO JOAQUIN</v>
      </c>
      <c r="B379" s="89" t="str">
        <f ca="1"/>
        <v>Camiones Industriales Motorizados (PIT) (Op. Montacargas)</v>
      </c>
      <c r="C379" s="93" t="str">
        <f ca="1"/>
        <v/>
      </c>
      <c r="D379" s="89" t="str">
        <f ca="1"/>
        <v>Periódica</v>
      </c>
      <c r="E379" s="89">
        <f ca="1"/>
        <v>365</v>
      </c>
      <c r="F379" s="89">
        <f ca="1"/>
        <v>8</v>
      </c>
      <c r="G379" s="89" t="str">
        <f ca="1"/>
        <v>SIN FECHA</v>
      </c>
    </row>
    <row r="380" spans="1:7" x14ac:dyDescent="0.3">
      <c r="A380" s="89" t="str">
        <f ca="1"/>
        <v>GOMEZ, PABLO JOAQUIN</v>
      </c>
      <c r="B380" s="89" t="str">
        <f ca="1"/>
        <v>Control de Energias Peligrosas (LOTO) (Todos)</v>
      </c>
      <c r="C380" s="93">
        <f ca="1"/>
        <v>45707</v>
      </c>
      <c r="D380" s="89" t="str">
        <f ca="1"/>
        <v>Evento</v>
      </c>
      <c r="E380" s="89">
        <f ca="1"/>
        <v>0</v>
      </c>
      <c r="F380" s="89">
        <f ca="1"/>
        <v>1</v>
      </c>
      <c r="G380" s="89" t="str">
        <f ca="1"/>
        <v>VIGENTE</v>
      </c>
    </row>
    <row r="381" spans="1:7" x14ac:dyDescent="0.3">
      <c r="A381" s="89" t="str">
        <f ca="1"/>
        <v>GOMEZ, PABLO JOAQUIN</v>
      </c>
      <c r="B381" s="89" t="str">
        <f ca="1"/>
        <v>Control de Energias Peligrosas (LOTO) (Empleados Autorizados)</v>
      </c>
      <c r="C381" s="93">
        <f ca="1"/>
        <v>46147</v>
      </c>
      <c r="D381" s="89" t="str">
        <f ca="1"/>
        <v>Periódica</v>
      </c>
      <c r="E381" s="89">
        <f ca="1"/>
        <v>365</v>
      </c>
      <c r="F381" s="89">
        <f ca="1"/>
        <v>2</v>
      </c>
      <c r="G381" s="89" t="str">
        <f ca="1"/>
        <v>VIGENTE</v>
      </c>
    </row>
    <row r="382" spans="1:7" x14ac:dyDescent="0.3">
      <c r="A382" s="89" t="str">
        <f ca="1"/>
        <v>GOMEZ, PABLO JOAQUIN</v>
      </c>
      <c r="B382" s="89" t="str">
        <f ca="1"/>
        <v>Seguridad aplicada al Pozo &amp; Yacimiento</v>
      </c>
      <c r="C382" s="93" t="str">
        <f ca="1"/>
        <v/>
      </c>
      <c r="D382" s="89" t="str">
        <f ca="1"/>
        <v>Periódica</v>
      </c>
      <c r="E382" s="89">
        <f ca="1"/>
        <v>365</v>
      </c>
      <c r="F382" s="89">
        <f ca="1"/>
        <v>1</v>
      </c>
      <c r="G382" s="89" t="str">
        <f ca="1"/>
        <v>SIN FECHA</v>
      </c>
    </row>
    <row r="383" spans="1:7" x14ac:dyDescent="0.3">
      <c r="A383" s="89" t="str">
        <f ca="1"/>
        <v>GOMEZ, PABLO JOAQUIN</v>
      </c>
      <c r="B383" s="89" t="str">
        <f ca="1"/>
        <v>Las Reglas que Salvan Vidas</v>
      </c>
      <c r="C383" s="93" t="str">
        <f ca="1"/>
        <v/>
      </c>
      <c r="D383" s="89" t="str">
        <f ca="1"/>
        <v>Periódica</v>
      </c>
      <c r="E383" s="89">
        <f ca="1"/>
        <v>365</v>
      </c>
      <c r="F383" s="89">
        <f ca="1"/>
        <v>1</v>
      </c>
      <c r="G383" s="89" t="str">
        <f ca="1"/>
        <v>SIN FECHA</v>
      </c>
    </row>
    <row r="384" spans="1:7" x14ac:dyDescent="0.3">
      <c r="A384" s="89" t="str">
        <f ca="1"/>
        <v>GOMEZ, PABLO JOAQUIN</v>
      </c>
      <c r="B384" s="89" t="str">
        <f ca="1"/>
        <v xml:space="preserve">Resguardo de Maquinas &amp; Equipos </v>
      </c>
      <c r="C384" s="93" t="str">
        <f ca="1"/>
        <v/>
      </c>
      <c r="D384" s="89" t="str">
        <f ca="1"/>
        <v>Periódica</v>
      </c>
      <c r="E384" s="89">
        <f ca="1"/>
        <v>365</v>
      </c>
      <c r="F384" s="89">
        <f ca="1"/>
        <v>1</v>
      </c>
      <c r="G384" s="89" t="str">
        <f ca="1"/>
        <v>SIN FECHA</v>
      </c>
    </row>
    <row r="385" spans="1:7" x14ac:dyDescent="0.3">
      <c r="A385" s="89" t="str">
        <f ca="1"/>
        <v>GOMEZ, PABLO JOAQUIN</v>
      </c>
      <c r="B385" s="89" t="str">
        <f ca="1"/>
        <v>Conduccion y Gestion de Viajes (Todos)</v>
      </c>
      <c r="C385" s="93">
        <f ca="1"/>
        <v>45805</v>
      </c>
      <c r="D385" s="89" t="str">
        <f ca="1"/>
        <v>Periódica</v>
      </c>
      <c r="E385" s="89">
        <f ca="1"/>
        <v>730</v>
      </c>
      <c r="F385" s="89">
        <f ca="1"/>
        <v>1</v>
      </c>
      <c r="G385" s="89" t="str">
        <f ca="1"/>
        <v>VIGENTE</v>
      </c>
    </row>
    <row r="386" spans="1:7" x14ac:dyDescent="0.3">
      <c r="A386" s="89" t="str">
        <f ca="1"/>
        <v>GOMEZ, PABLO JOAQUIN</v>
      </c>
      <c r="B386" s="89" t="str">
        <f ca="1"/>
        <v>Conduccion y Gestion de Viajes (Conductores)</v>
      </c>
      <c r="C386" s="93">
        <f ca="1"/>
        <v>47053</v>
      </c>
      <c r="D386" s="89" t="str">
        <f ca="1"/>
        <v>Periódica</v>
      </c>
      <c r="E386" s="89">
        <f ca="1"/>
        <v>1095</v>
      </c>
      <c r="F386" s="89">
        <f ca="1"/>
        <v>5</v>
      </c>
      <c r="G386" s="89" t="str">
        <f ca="1"/>
        <v>VIGENTE</v>
      </c>
    </row>
    <row r="387" spans="1:7" x14ac:dyDescent="0.3">
      <c r="A387" s="89" t="str">
        <f ca="1"/>
        <v>GOMEZ, PABLO JOAQUIN</v>
      </c>
      <c r="B387" s="89" t="str">
        <f ca="1"/>
        <v>Patogenos Transmitidos por la Sangre</v>
      </c>
      <c r="C387" s="93" t="str">
        <f ca="1"/>
        <v/>
      </c>
      <c r="D387" s="89" t="str">
        <f ca="1"/>
        <v>Periódica</v>
      </c>
      <c r="E387" s="89">
        <f ca="1"/>
        <v>365</v>
      </c>
      <c r="F387" s="89">
        <f ca="1"/>
        <v>1</v>
      </c>
      <c r="G387" s="89" t="str">
        <f ca="1"/>
        <v>SIN FECHA</v>
      </c>
    </row>
    <row r="388" spans="1:7" x14ac:dyDescent="0.3">
      <c r="A388" s="89" t="str">
        <f ca="1"/>
        <v>GOMEZ, PABLO JOAQUIN</v>
      </c>
      <c r="B388" s="89" t="str">
        <f ca="1"/>
        <v>Conservacion Auditiva</v>
      </c>
      <c r="C388" s="93" t="str">
        <f ca="1"/>
        <v/>
      </c>
      <c r="D388" s="89" t="str">
        <f ca="1"/>
        <v>Periódica</v>
      </c>
      <c r="E388" s="89">
        <f ca="1"/>
        <v>365</v>
      </c>
      <c r="F388" s="89">
        <f ca="1"/>
        <v>1</v>
      </c>
      <c r="G388" s="89" t="str">
        <f ca="1"/>
        <v>SIN FECHA</v>
      </c>
    </row>
    <row r="389" spans="1:7" x14ac:dyDescent="0.3">
      <c r="A389" s="89" t="str">
        <f ca="1"/>
        <v>GOMEZ, PABLO JOAQUIN</v>
      </c>
      <c r="B389" s="89" t="str">
        <f ca="1"/>
        <v xml:space="preserve">Ergonomia //  / Levantamiento &amp; Seguridad en la Espalda </v>
      </c>
      <c r="C389" s="93">
        <f ca="1"/>
        <v>46008</v>
      </c>
      <c r="D389" s="89" t="str">
        <f ca="1"/>
        <v>Periódica</v>
      </c>
      <c r="E389" s="89">
        <f ca="1"/>
        <v>365</v>
      </c>
      <c r="F389" s="89">
        <f ca="1"/>
        <v>1</v>
      </c>
      <c r="G389" s="89" t="str">
        <f ca="1"/>
        <v>VIGENTE</v>
      </c>
    </row>
    <row r="390" spans="1:7" x14ac:dyDescent="0.3">
      <c r="A390" s="89" t="str">
        <f ca="1"/>
        <v>GOMEZ, PABLO JOAQUIN</v>
      </c>
      <c r="B390" s="89" t="str">
        <f ca="1"/>
        <v>Superficies Elevadas (Todos)</v>
      </c>
      <c r="C390" s="93">
        <f ca="1"/>
        <v>46020</v>
      </c>
      <c r="D390" s="89" t="str">
        <f ca="1"/>
        <v>Periódica</v>
      </c>
      <c r="E390" s="89">
        <f ca="1"/>
        <v>365</v>
      </c>
      <c r="F390" s="89">
        <f ca="1"/>
        <v>1</v>
      </c>
      <c r="G390" s="89" t="str">
        <f ca="1"/>
        <v>VIGENTE</v>
      </c>
    </row>
    <row r="391" spans="1:7" x14ac:dyDescent="0.3">
      <c r="A391" s="89" t="str">
        <f ca="1"/>
        <v>GOMEZ, PABLO JOAQUIN</v>
      </c>
      <c r="B391" s="89" t="str">
        <f ca="1"/>
        <v>Superficies Elevadas (Personal Habilitado)</v>
      </c>
      <c r="C391" s="93" t="str">
        <f ca="1"/>
        <v/>
      </c>
      <c r="D391" s="89" t="str">
        <f ca="1"/>
        <v>Periódica</v>
      </c>
      <c r="E391" s="89">
        <f ca="1"/>
        <v>365</v>
      </c>
      <c r="F391" s="89">
        <f ca="1"/>
        <v>8</v>
      </c>
      <c r="G391" s="89" t="str">
        <f ca="1"/>
        <v>SIN FECHA</v>
      </c>
    </row>
    <row r="392" spans="1:7" x14ac:dyDescent="0.3">
      <c r="A392" s="89" t="str">
        <f ca="1"/>
        <v>GOMEZ, PABLO JOAQUIN</v>
      </c>
      <c r="B392" s="89" t="str">
        <f ca="1"/>
        <v>Seguridad Quimica (Todos)</v>
      </c>
      <c r="C392" s="93">
        <f ca="1"/>
        <v>46020</v>
      </c>
      <c r="D392" s="89" t="str">
        <f ca="1"/>
        <v>Periódica</v>
      </c>
      <c r="E392" s="89">
        <f ca="1"/>
        <v>730</v>
      </c>
      <c r="F392" s="89">
        <f ca="1"/>
        <v>1</v>
      </c>
      <c r="G392" s="89" t="str">
        <f ca="1"/>
        <v>VIGENTE</v>
      </c>
    </row>
    <row r="393" spans="1:7" x14ac:dyDescent="0.3">
      <c r="A393" s="89" t="str">
        <f ca="1"/>
        <v>GOMEZ, PABLO JOAQUIN</v>
      </c>
      <c r="B393" s="89" t="str">
        <f ca="1"/>
        <v>Seguridad Quimica (Mantenimiento)</v>
      </c>
      <c r="C393" s="93" t="str">
        <f ca="1"/>
        <v/>
      </c>
      <c r="D393" s="89" t="str">
        <f ca="1"/>
        <v>Periódica</v>
      </c>
      <c r="E393" s="89">
        <f ca="1"/>
        <v>365</v>
      </c>
      <c r="F393" s="89">
        <f ca="1"/>
        <v>1</v>
      </c>
      <c r="G393" s="89" t="str">
        <f ca="1"/>
        <v>SIN FECHA</v>
      </c>
    </row>
    <row r="394" spans="1:7" x14ac:dyDescent="0.3">
      <c r="A394" s="89" t="str">
        <f ca="1"/>
        <v>GOMEZ, PABLO JOAQUIN</v>
      </c>
      <c r="B394" s="89" t="str">
        <f ca="1"/>
        <v>Seguridad Quimica (Contratistas)</v>
      </c>
      <c r="C394" s="93" t="str">
        <f ca="1"/>
        <v/>
      </c>
      <c r="D394" s="89" t="str">
        <f ca="1"/>
        <v>Periódica</v>
      </c>
      <c r="E394" s="89">
        <f ca="1"/>
        <v>365</v>
      </c>
      <c r="F394" s="89">
        <f ca="1"/>
        <v>1</v>
      </c>
      <c r="G394" s="89" t="str">
        <f ca="1"/>
        <v>SIN FECHA</v>
      </c>
    </row>
    <row r="395" spans="1:7" x14ac:dyDescent="0.3">
      <c r="A395" s="89" t="str">
        <f ca="1"/>
        <v>GOMEZ, PABLO JOAQUIN</v>
      </c>
      <c r="B395" s="89" t="str">
        <f ca="1"/>
        <v>Seguridad para Trabajos en Caliente</v>
      </c>
      <c r="C395" s="93">
        <f ca="1"/>
        <v>46020</v>
      </c>
      <c r="D395" s="89" t="str">
        <f ca="1"/>
        <v>Periódica</v>
      </c>
      <c r="E395" s="89">
        <f ca="1"/>
        <v>365</v>
      </c>
      <c r="F395" s="89">
        <f ca="1"/>
        <v>1</v>
      </c>
      <c r="G395" s="89" t="str">
        <f ca="1"/>
        <v>VIGENTE</v>
      </c>
    </row>
    <row r="396" spans="1:7" x14ac:dyDescent="0.3">
      <c r="A396" s="89" t="str">
        <f ca="1"/>
        <v>GOMEZ, PABLO JOAQUIN</v>
      </c>
      <c r="B396" s="89" t="str">
        <f ca="1"/>
        <v>Seguridad con la Radiacion</v>
      </c>
      <c r="C396" s="93" t="str">
        <f ca="1"/>
        <v/>
      </c>
      <c r="D396" s="89" t="str">
        <f ca="1"/>
        <v>Periódica</v>
      </c>
      <c r="E396" s="89">
        <f ca="1"/>
        <v>365</v>
      </c>
      <c r="F396" s="89">
        <f ca="1"/>
        <v>2</v>
      </c>
      <c r="G396" s="89" t="str">
        <f ca="1"/>
        <v>SIN FECHA</v>
      </c>
    </row>
    <row r="397" spans="1:7" x14ac:dyDescent="0.3">
      <c r="A397" s="89" t="str">
        <f ca="1"/>
        <v>GOMEZ, PABLO JOAQUIN</v>
      </c>
      <c r="B397" s="89" t="str">
        <f ca="1"/>
        <v>Equipo de Proteccion Personal (PPE)</v>
      </c>
      <c r="C397" s="93">
        <f ca="1"/>
        <v>46020</v>
      </c>
      <c r="D397" s="89" t="str">
        <f ca="1"/>
        <v>Periódica</v>
      </c>
      <c r="E397" s="89">
        <f ca="1"/>
        <v>365</v>
      </c>
      <c r="F397" s="89">
        <f ca="1"/>
        <v>1</v>
      </c>
      <c r="G397" s="89" t="str">
        <f ca="1"/>
        <v>VIGENTE</v>
      </c>
    </row>
    <row r="398" spans="1:7" x14ac:dyDescent="0.3">
      <c r="A398" s="89" t="str">
        <f ca="1"/>
        <v>GOMEZ, PABLO JOAQUIN</v>
      </c>
      <c r="B398" s="89" t="str">
        <f ca="1"/>
        <v>Proteccion Respiratoria</v>
      </c>
      <c r="C398" s="93" t="str">
        <f ca="1"/>
        <v/>
      </c>
      <c r="D398" s="89" t="str">
        <f ca="1"/>
        <v>Periódica</v>
      </c>
      <c r="E398" s="89">
        <f ca="1"/>
        <v>365</v>
      </c>
      <c r="F398" s="89">
        <f ca="1"/>
        <v>1</v>
      </c>
      <c r="G398" s="89" t="str">
        <f ca="1"/>
        <v>SIN FECHA</v>
      </c>
    </row>
    <row r="399" spans="1:7" x14ac:dyDescent="0.3">
      <c r="A399" s="89" t="str">
        <f ca="1"/>
        <v>GOMEZ, PABLO JOAQUIN</v>
      </c>
      <c r="B399" s="89" t="str">
        <f ca="1"/>
        <v xml:space="preserve">Seguridad con Escaleras </v>
      </c>
      <c r="C399" s="93">
        <f ca="1"/>
        <v>46020</v>
      </c>
      <c r="D399" s="89" t="str">
        <f ca="1"/>
        <v>Periódica</v>
      </c>
      <c r="E399" s="89">
        <f ca="1"/>
        <v>365</v>
      </c>
      <c r="F399" s="89">
        <f ca="1"/>
        <v>1</v>
      </c>
      <c r="G399" s="89" t="str">
        <f ca="1"/>
        <v>VIGENTE</v>
      </c>
    </row>
    <row r="400" spans="1:7" x14ac:dyDescent="0.3">
      <c r="A400" s="89" t="str">
        <f ca="1"/>
        <v>GOMEZ, PABLO JOAQUIN</v>
      </c>
      <c r="B400" s="89" t="str">
        <f ca="1"/>
        <v>Seguridad con Escaleras // Estantes de Almacenamiento</v>
      </c>
      <c r="C400" s="93" t="str">
        <f ca="1"/>
        <v/>
      </c>
      <c r="D400" s="89" t="str">
        <f ca="1"/>
        <v>Periódica</v>
      </c>
      <c r="E400" s="89">
        <f ca="1"/>
        <v>365</v>
      </c>
      <c r="F400" s="89">
        <f ca="1"/>
        <v>1</v>
      </c>
      <c r="G400" s="89" t="str">
        <f ca="1"/>
        <v>SIN FECHA</v>
      </c>
    </row>
    <row r="401" spans="1:7" x14ac:dyDescent="0.3">
      <c r="A401" s="89" t="str">
        <f ca="1"/>
        <v>GOMEZ, PABLO JOAQUIN</v>
      </c>
      <c r="B401" s="89" t="str">
        <f ca="1"/>
        <v>Responsabilidades del Supervisor</v>
      </c>
      <c r="C401" s="93" t="str">
        <f ca="1"/>
        <v/>
      </c>
      <c r="D401" s="89" t="str">
        <f ca="1"/>
        <v>Periódica</v>
      </c>
      <c r="E401" s="89">
        <f ca="1"/>
        <v>365</v>
      </c>
      <c r="F401" s="89">
        <f ca="1"/>
        <v>1</v>
      </c>
      <c r="G401" s="89" t="str">
        <f ca="1"/>
        <v>SIN FECHA</v>
      </c>
    </row>
    <row r="402" spans="1:7" x14ac:dyDescent="0.3">
      <c r="A402" s="89" t="str">
        <f ca="1"/>
        <v>GOMEZ, PABLO JOAQUIN</v>
      </c>
      <c r="B402" s="89" t="str">
        <f ca="1"/>
        <v>Espacios Confinados (Todos)</v>
      </c>
      <c r="C402" s="93" t="str">
        <f ca="1"/>
        <v/>
      </c>
      <c r="D402" s="89" t="str">
        <f ca="1"/>
        <v>Periódica</v>
      </c>
      <c r="E402" s="89">
        <f ca="1"/>
        <v>365</v>
      </c>
      <c r="F402" s="89">
        <f ca="1"/>
        <v>1</v>
      </c>
      <c r="G402" s="89" t="str">
        <f ca="1"/>
        <v>SIN FECHA</v>
      </c>
    </row>
    <row r="403" spans="1:7" x14ac:dyDescent="0.3">
      <c r="A403" s="89" t="str">
        <f ca="1"/>
        <v>GOMEZ, PABLO JOAQUIN</v>
      </c>
      <c r="B403" s="89" t="str">
        <f ca="1"/>
        <v>HSMS.017 / Espacios Confinados (Entrantes)</v>
      </c>
      <c r="C403" s="93" t="str">
        <f ca="1"/>
        <v/>
      </c>
      <c r="D403" s="89" t="str">
        <f ca="1"/>
        <v>Evento</v>
      </c>
      <c r="E403" s="89">
        <f ca="1"/>
        <v>0</v>
      </c>
      <c r="F403" s="89">
        <f ca="1"/>
        <v>8</v>
      </c>
      <c r="G403" s="89" t="str">
        <f ca="1"/>
        <v>SIN FECHA</v>
      </c>
    </row>
    <row r="404" spans="1:7" x14ac:dyDescent="0.3">
      <c r="A404" s="89" t="str">
        <f ca="1"/>
        <v>GOMEZ, PABLO JOAQUIN</v>
      </c>
      <c r="B404" s="89" t="str">
        <f ca="1"/>
        <v>Programa de Agua (Todos)</v>
      </c>
      <c r="C404" s="93">
        <f ca="1"/>
        <v>46147</v>
      </c>
      <c r="D404" s="89" t="str">
        <f ca="1"/>
        <v>Evento</v>
      </c>
      <c r="E404" s="89">
        <f ca="1"/>
        <v>0</v>
      </c>
      <c r="F404" s="89">
        <f ca="1"/>
        <v>1</v>
      </c>
      <c r="G404" s="89" t="str">
        <f ca="1"/>
        <v>VIGENTE</v>
      </c>
    </row>
    <row r="405" spans="1:7" x14ac:dyDescent="0.3">
      <c r="A405" s="89" t="str">
        <f ca="1"/>
        <v>GOMEZ, PABLO JOAQUIN</v>
      </c>
      <c r="B405" s="89" t="str">
        <f ca="1"/>
        <v>Programa de Agua (HSE)</v>
      </c>
      <c r="C405" s="93" t="str">
        <f ca="1"/>
        <v/>
      </c>
      <c r="D405" s="89" t="str">
        <f ca="1"/>
        <v>Evento</v>
      </c>
      <c r="E405" s="89">
        <f ca="1"/>
        <v>0</v>
      </c>
      <c r="F405" s="89">
        <f ca="1"/>
        <v>1</v>
      </c>
      <c r="G405" s="89" t="str">
        <f ca="1"/>
        <v>SIN FECHA</v>
      </c>
    </row>
    <row r="406" spans="1:7" x14ac:dyDescent="0.3">
      <c r="A406" s="89" t="str">
        <f ca="1"/>
        <v>GOMEZ, PABLO JOAQUIN</v>
      </c>
      <c r="B406" s="89" t="str">
        <f ca="1"/>
        <v>HIV/SIDA y otras enfermedades de transmisión sexual (ETS)</v>
      </c>
      <c r="C406" s="93" t="str">
        <f ca="1"/>
        <v/>
      </c>
      <c r="D406" s="89" t="str">
        <f ca="1"/>
        <v>Periódica</v>
      </c>
      <c r="E406" s="89">
        <f ca="1"/>
        <v>365</v>
      </c>
      <c r="F406" s="89">
        <f ca="1"/>
        <v>1</v>
      </c>
      <c r="G406" s="89" t="str">
        <f ca="1"/>
        <v>SIN FECHA</v>
      </c>
    </row>
    <row r="407" spans="1:7" x14ac:dyDescent="0.3">
      <c r="A407" s="89" t="str">
        <f ca="1"/>
        <v>GOMEZ, PABLO JOAQUIN</v>
      </c>
      <c r="B407" s="89" t="str">
        <f ca="1"/>
        <v>Drogas de abuso (concientización y prevención)</v>
      </c>
      <c r="C407" s="93" t="str">
        <f ca="1"/>
        <v/>
      </c>
      <c r="D407" s="89" t="str">
        <f ca="1"/>
        <v>Periódica</v>
      </c>
      <c r="E407" s="89">
        <f ca="1"/>
        <v>365</v>
      </c>
      <c r="F407" s="89">
        <f ca="1"/>
        <v>1</v>
      </c>
      <c r="G407" s="89" t="str">
        <f ca="1"/>
        <v>SIN FECHA</v>
      </c>
    </row>
    <row r="408" spans="1:7" x14ac:dyDescent="0.3">
      <c r="A408" s="89" t="str">
        <f ca="1"/>
        <v>GOMEZ, PABLO JOAQUIN</v>
      </c>
      <c r="B408" s="89" t="str">
        <f ca="1"/>
        <v>Vida saludable (hábitos, autocuidado y bienestar)</v>
      </c>
      <c r="C408" s="93" t="str">
        <f ca="1"/>
        <v/>
      </c>
      <c r="D408" s="89" t="str">
        <f ca="1"/>
        <v>Periódica</v>
      </c>
      <c r="E408" s="89">
        <f ca="1"/>
        <v>365</v>
      </c>
      <c r="F408" s="89">
        <f ca="1"/>
        <v>1</v>
      </c>
      <c r="G408" s="89" t="str">
        <f ca="1"/>
        <v>SIN FECHA</v>
      </c>
    </row>
    <row r="409" spans="1:7" x14ac:dyDescent="0.3">
      <c r="A409" s="89" t="str">
        <f ca="1"/>
        <v>GOMEZ, PABLO JOAQUIN</v>
      </c>
      <c r="B409" s="89" t="str">
        <f ca="1"/>
        <v>Primeros auxilios y Reanimación Cardio Pulmonar (RCP)</v>
      </c>
      <c r="C409" s="93" t="str">
        <f ca="1"/>
        <v/>
      </c>
      <c r="D409" s="89" t="str">
        <f ca="1"/>
        <v>Periódica</v>
      </c>
      <c r="E409" s="89">
        <f ca="1"/>
        <v>365</v>
      </c>
      <c r="F409" s="89">
        <f ca="1"/>
        <v>4</v>
      </c>
      <c r="G409" s="89" t="str">
        <f ca="1"/>
        <v>SIN FECHA</v>
      </c>
    </row>
    <row r="410" spans="1:7" x14ac:dyDescent="0.3">
      <c r="A410" s="89" t="str">
        <f ca="1"/>
        <v>GOMEZ, PABLO JOAQUIN</v>
      </c>
      <c r="B410" s="89" t="str">
        <f ca="1"/>
        <v>Prevención cardiovascular (factores de riesgo y señales de alarma)</v>
      </c>
      <c r="C410" s="93" t="str">
        <f ca="1"/>
        <v/>
      </c>
      <c r="D410" s="89" t="str">
        <f ca="1"/>
        <v>Periódica</v>
      </c>
      <c r="E410" s="89">
        <f ca="1"/>
        <v>365</v>
      </c>
      <c r="F410" s="89">
        <f ca="1"/>
        <v>1</v>
      </c>
      <c r="G410" s="89" t="str">
        <f ca="1"/>
        <v>SIN FECHA</v>
      </c>
    </row>
    <row r="411" spans="1:7" x14ac:dyDescent="0.3">
      <c r="A411" s="89" t="str">
        <f ca="1"/>
        <v>GOMEZ, PABLO JOAQUIN</v>
      </c>
      <c r="B411" s="89" t="str">
        <f ca="1"/>
        <v>Efectos del tabaco sobre la salud</v>
      </c>
      <c r="C411" s="93" t="str">
        <f ca="1"/>
        <v/>
      </c>
      <c r="D411" s="89" t="str">
        <f ca="1"/>
        <v>Periódica</v>
      </c>
      <c r="E411" s="89">
        <f ca="1"/>
        <v>365</v>
      </c>
      <c r="F411" s="89">
        <f ca="1"/>
        <v>1</v>
      </c>
      <c r="G411" s="89" t="str">
        <f ca="1"/>
        <v>SIN FECHA</v>
      </c>
    </row>
    <row r="412" spans="1:7" x14ac:dyDescent="0.3">
      <c r="A412" s="89" t="str">
        <f ca="1"/>
        <v>GOMEZ, PABLO JOAQUIN</v>
      </c>
      <c r="B412" s="89" t="str">
        <f ca="1"/>
        <v>Cargadora (Op. Montacargas)</v>
      </c>
      <c r="C412" s="93" t="str">
        <f ca="1"/>
        <v/>
      </c>
      <c r="D412" s="89" t="str">
        <f ca="1"/>
        <v>Periódica</v>
      </c>
      <c r="E412" s="89">
        <f ca="1"/>
        <v>365</v>
      </c>
      <c r="F412" s="89">
        <f ca="1"/>
        <v>8</v>
      </c>
      <c r="G412" s="89" t="str">
        <f ca="1"/>
        <v>SIN FECHA</v>
      </c>
    </row>
    <row r="413" spans="1:7" x14ac:dyDescent="0.3">
      <c r="A413" s="89" t="str">
        <f ca="1"/>
        <v>GOMEZ, PABLO JOAQUIN</v>
      </c>
      <c r="B413" s="89">
        <f ca="1"/>
        <v>0</v>
      </c>
      <c r="C413" s="93" t="str">
        <f ca="1"/>
        <v/>
      </c>
      <c r="D413" s="89" t="str">
        <f ca="1"/>
        <v/>
      </c>
      <c r="E413" s="89" t="str">
        <f ca="1"/>
        <v/>
      </c>
      <c r="F413" s="89" t="str">
        <f ca="1"/>
        <v/>
      </c>
      <c r="G413" s="89" t="str">
        <f ca="1"/>
        <v>SIN FECHA</v>
      </c>
    </row>
    <row r="414" spans="1:7" x14ac:dyDescent="0.3">
      <c r="A414" s="89" t="str">
        <f ca="1"/>
        <v>GOMEZ, PABLO JOAQUIN</v>
      </c>
      <c r="B414" s="89">
        <f ca="1"/>
        <v>0</v>
      </c>
      <c r="C414" s="93" t="str">
        <f ca="1"/>
        <v/>
      </c>
      <c r="D414" s="89" t="str">
        <f ca="1"/>
        <v/>
      </c>
      <c r="E414" s="89" t="str">
        <f ca="1"/>
        <v/>
      </c>
      <c r="F414" s="89" t="str">
        <f ca="1"/>
        <v/>
      </c>
      <c r="G414" s="89" t="str">
        <f ca="1"/>
        <v>SIN FECHA</v>
      </c>
    </row>
    <row r="415" spans="1:7" x14ac:dyDescent="0.3">
      <c r="A415" s="89" t="str">
        <f ca="1"/>
        <v>GOMEZ, PABLO JOAQUIN</v>
      </c>
      <c r="B415" s="89">
        <f ca="1"/>
        <v>0</v>
      </c>
      <c r="C415" s="93" t="str">
        <f ca="1"/>
        <v/>
      </c>
      <c r="D415" s="89" t="str">
        <f ca="1"/>
        <v/>
      </c>
      <c r="E415" s="89" t="str">
        <f ca="1"/>
        <v/>
      </c>
      <c r="F415" s="89" t="str">
        <f ca="1"/>
        <v/>
      </c>
      <c r="G415" s="89" t="str">
        <f ca="1"/>
        <v>SIN FECHA</v>
      </c>
    </row>
    <row r="416" spans="1:7" x14ac:dyDescent="0.3">
      <c r="A416" s="89" t="str">
        <f ca="1"/>
        <v>GOMEZ, PABLO JOAQUIN</v>
      </c>
      <c r="B416" s="89">
        <f ca="1"/>
        <v>0</v>
      </c>
      <c r="C416" s="93" t="str">
        <f ca="1"/>
        <v/>
      </c>
      <c r="D416" s="89" t="str">
        <f ca="1"/>
        <v/>
      </c>
      <c r="E416" s="89" t="str">
        <f ca="1"/>
        <v/>
      </c>
      <c r="F416" s="89" t="str">
        <f ca="1"/>
        <v/>
      </c>
      <c r="G416" s="89" t="str">
        <f ca="1"/>
        <v>SIN FECHA</v>
      </c>
    </row>
    <row r="417" spans="1:7" x14ac:dyDescent="0.3">
      <c r="A417" s="89" t="str">
        <f ca="1"/>
        <v>GOMEZ, PABLO JOAQUIN</v>
      </c>
      <c r="B417" s="89">
        <f ca="1"/>
        <v>0</v>
      </c>
      <c r="C417" s="93" t="str">
        <f ca="1"/>
        <v/>
      </c>
      <c r="D417" s="89" t="str">
        <f ca="1"/>
        <v/>
      </c>
      <c r="E417" s="89" t="str">
        <f ca="1"/>
        <v/>
      </c>
      <c r="F417" s="89" t="str">
        <f ca="1"/>
        <v/>
      </c>
      <c r="G417" s="89" t="str">
        <f ca="1"/>
        <v>SIN FECHA</v>
      </c>
    </row>
    <row r="418" spans="1:7" x14ac:dyDescent="0.3">
      <c r="A418" s="89" t="str">
        <f ca="1"/>
        <v>GOMEZ, PABLO JOAQUIN</v>
      </c>
      <c r="B418" s="89">
        <f ca="1"/>
        <v>0</v>
      </c>
      <c r="C418" s="93" t="str">
        <f ca="1"/>
        <v/>
      </c>
      <c r="D418" s="89" t="str">
        <f ca="1"/>
        <v/>
      </c>
      <c r="E418" s="89" t="str">
        <f ca="1"/>
        <v/>
      </c>
      <c r="F418" s="89" t="str">
        <f ca="1"/>
        <v/>
      </c>
      <c r="G418" s="89" t="str">
        <f ca="1"/>
        <v>SIN FECHA</v>
      </c>
    </row>
    <row r="419" spans="1:7" x14ac:dyDescent="0.3">
      <c r="A419" s="89" t="str">
        <f ca="1"/>
        <v>GOMEZ, PABLO JOAQUIN</v>
      </c>
      <c r="B419" s="89">
        <f ca="1"/>
        <v>0</v>
      </c>
      <c r="C419" s="93" t="str">
        <f ca="1"/>
        <v/>
      </c>
      <c r="D419" s="89" t="str">
        <f ca="1"/>
        <v/>
      </c>
      <c r="E419" s="89" t="str">
        <f ca="1"/>
        <v/>
      </c>
      <c r="F419" s="89" t="str">
        <f ca="1"/>
        <v/>
      </c>
      <c r="G419" s="89" t="str">
        <f ca="1"/>
        <v>SIN FECHA</v>
      </c>
    </row>
    <row r="420" spans="1:7" x14ac:dyDescent="0.3">
      <c r="A420" s="89" t="str">
        <f ca="1"/>
        <v>GOMEZ, PABLO JOAQUIN</v>
      </c>
      <c r="B420" s="89">
        <f ca="1"/>
        <v>0</v>
      </c>
      <c r="C420" s="93" t="str">
        <f ca="1"/>
        <v/>
      </c>
      <c r="D420" s="89" t="str">
        <f ca="1"/>
        <v/>
      </c>
      <c r="E420" s="89" t="str">
        <f ca="1"/>
        <v/>
      </c>
      <c r="F420" s="89" t="str">
        <f ca="1"/>
        <v/>
      </c>
      <c r="G420" s="89" t="str">
        <f ca="1"/>
        <v>SIN FECHA</v>
      </c>
    </row>
    <row r="421" spans="1:7" x14ac:dyDescent="0.3">
      <c r="A421" s="89" t="str">
        <f ca="1"/>
        <v>GOMEZ, PABLO JOAQUIN</v>
      </c>
      <c r="B421" s="89">
        <f ca="1"/>
        <v>0</v>
      </c>
      <c r="C421" s="93" t="str">
        <f ca="1"/>
        <v/>
      </c>
      <c r="D421" s="89" t="str">
        <f ca="1"/>
        <v/>
      </c>
      <c r="E421" s="89" t="str">
        <f ca="1"/>
        <v/>
      </c>
      <c r="F421" s="89" t="str">
        <f ca="1"/>
        <v/>
      </c>
      <c r="G421" s="89" t="str">
        <f ca="1"/>
        <v>SIN FECHA</v>
      </c>
    </row>
    <row r="422" spans="1:7" x14ac:dyDescent="0.3">
      <c r="A422" s="89" t="str">
        <f ca="1"/>
        <v>HERNANDEZ, PABLO SEBASTIAN</v>
      </c>
      <c r="B422" s="89" t="str">
        <f ca="1"/>
        <v>Programa de Aire</v>
      </c>
      <c r="C422" s="93" t="str">
        <f ca="1"/>
        <v/>
      </c>
      <c r="D422" s="89" t="str">
        <f ca="1"/>
        <v>Evento</v>
      </c>
      <c r="E422" s="89">
        <f ca="1"/>
        <v>0</v>
      </c>
      <c r="F422" s="89">
        <f ca="1"/>
        <v>1</v>
      </c>
      <c r="G422" s="89" t="str">
        <f ca="1"/>
        <v>SIN FECHA</v>
      </c>
    </row>
    <row r="423" spans="1:7" x14ac:dyDescent="0.3">
      <c r="A423" s="89" t="str">
        <f ca="1"/>
        <v>HERNANDEZ, PABLO SEBASTIAN</v>
      </c>
      <c r="B423" s="89" t="str">
        <f ca="1"/>
        <v>Conciencia Ambiental</v>
      </c>
      <c r="C423" s="93" t="str">
        <f ca="1"/>
        <v/>
      </c>
      <c r="D423" s="89" t="str">
        <f ca="1"/>
        <v>Periódica</v>
      </c>
      <c r="E423" s="89">
        <f ca="1"/>
        <v>365</v>
      </c>
      <c r="F423" s="89">
        <f ca="1"/>
        <v>1</v>
      </c>
      <c r="G423" s="89" t="str">
        <f ca="1"/>
        <v>SIN FECHA</v>
      </c>
    </row>
    <row r="424" spans="1:7" x14ac:dyDescent="0.3">
      <c r="A424" s="89" t="str">
        <f ca="1"/>
        <v>HERNANDEZ, PABLO SEBASTIAN</v>
      </c>
      <c r="B424" s="89" t="str">
        <f ca="1"/>
        <v xml:space="preserve">Control de Documentos e Informacion de HSE </v>
      </c>
      <c r="C424" s="93" t="str">
        <f ca="1"/>
        <v/>
      </c>
      <c r="D424" s="89" t="str">
        <f ca="1"/>
        <v>Evento</v>
      </c>
      <c r="E424" s="89">
        <f ca="1"/>
        <v>0</v>
      </c>
      <c r="F424" s="89">
        <f ca="1"/>
        <v>1</v>
      </c>
      <c r="G424" s="89" t="str">
        <f ca="1"/>
        <v>SIN FECHA</v>
      </c>
    </row>
    <row r="425" spans="1:7" x14ac:dyDescent="0.3">
      <c r="A425" s="89" t="str">
        <f ca="1"/>
        <v>HERNANDEZ, PABLO SEBASTIAN</v>
      </c>
      <c r="B425" s="89" t="str">
        <f ca="1"/>
        <v xml:space="preserve"> Acciones Correctivas y Preventivas (CAPA)</v>
      </c>
      <c r="C425" s="93" t="str">
        <f ca="1"/>
        <v/>
      </c>
      <c r="D425" s="89" t="str">
        <f ca="1"/>
        <v>Evento</v>
      </c>
      <c r="E425" s="89">
        <f ca="1"/>
        <v>0</v>
      </c>
      <c r="F425" s="89">
        <f ca="1"/>
        <v>1</v>
      </c>
      <c r="G425" s="89" t="str">
        <f ca="1"/>
        <v>SIN FECHA</v>
      </c>
    </row>
    <row r="426" spans="1:7" x14ac:dyDescent="0.3">
      <c r="A426" s="89" t="str">
        <f ca="1"/>
        <v>HERNANDEZ, PABLO SEBASTIAN</v>
      </c>
      <c r="B426" s="89" t="str">
        <f ca="1"/>
        <v>Seguridad Basada en el Comportamiento (Observation Program) // HSMS.043 / Autoridad de Detener el Trabajo</v>
      </c>
      <c r="C426" s="93" t="str">
        <f ca="1"/>
        <v/>
      </c>
      <c r="D426" s="89" t="str">
        <f ca="1"/>
        <v>Periódica</v>
      </c>
      <c r="E426" s="89">
        <f ca="1"/>
        <v>365</v>
      </c>
      <c r="F426" s="89">
        <f ca="1"/>
        <v>1</v>
      </c>
      <c r="G426" s="89" t="str">
        <f ca="1"/>
        <v>SIN FECHA</v>
      </c>
    </row>
    <row r="427" spans="1:7" x14ac:dyDescent="0.3">
      <c r="A427" s="89" t="str">
        <f ca="1"/>
        <v>HERNANDEZ, PABLO SEBASTIAN</v>
      </c>
      <c r="B427" s="89" t="str">
        <f ca="1"/>
        <v>Identificacion de Peligros y Evaluacion de Riesgos</v>
      </c>
      <c r="C427" s="93" t="str">
        <f ca="1"/>
        <v/>
      </c>
      <c r="D427" s="89" t="str">
        <f ca="1"/>
        <v>Evento</v>
      </c>
      <c r="E427" s="89">
        <f ca="1"/>
        <v>0</v>
      </c>
      <c r="F427" s="89">
        <f ca="1"/>
        <v>1</v>
      </c>
      <c r="G427" s="89" t="str">
        <f ca="1"/>
        <v>SIN FECHA</v>
      </c>
    </row>
    <row r="428" spans="1:7" x14ac:dyDescent="0.3">
      <c r="A428" s="89" t="str">
        <f ca="1"/>
        <v>HERNANDEZ, PABLO SEBASTIAN</v>
      </c>
      <c r="B428" s="89" t="str">
        <f ca="1"/>
        <v xml:space="preserve"> Plan de Respuesta ante Eemergencias / HSMS.010 /Primeros Axulios &amp; RCP/DEA / HSMSWT-002 / Patogenos Trasnmitidos por la Sangre</v>
      </c>
      <c r="C428" s="93" t="str">
        <f ca="1"/>
        <v/>
      </c>
      <c r="D428" s="89" t="str">
        <f ca="1"/>
        <v>Periódica</v>
      </c>
      <c r="E428" s="89">
        <f ca="1"/>
        <v>365</v>
      </c>
      <c r="F428" s="89">
        <f ca="1"/>
        <v>1</v>
      </c>
      <c r="G428" s="89" t="str">
        <f ca="1"/>
        <v>SIN FECHA</v>
      </c>
    </row>
    <row r="429" spans="1:7" x14ac:dyDescent="0.3">
      <c r="A429" s="89" t="str">
        <f ca="1"/>
        <v>HERNANDEZ, PABLO SEBASTIAN</v>
      </c>
      <c r="B429" s="89" t="str">
        <f ca="1"/>
        <v>Reporte y Gestion de Incidentes HSE (Todos)</v>
      </c>
      <c r="C429" s="93" t="str">
        <f ca="1"/>
        <v/>
      </c>
      <c r="D429" s="89" t="str">
        <f ca="1"/>
        <v>Periódica</v>
      </c>
      <c r="E429" s="89">
        <f ca="1"/>
        <v>365</v>
      </c>
      <c r="F429" s="89">
        <f ca="1"/>
        <v>1</v>
      </c>
      <c r="G429" s="89" t="str">
        <f ca="1"/>
        <v>SIN FECHA</v>
      </c>
    </row>
    <row r="430" spans="1:7" x14ac:dyDescent="0.3">
      <c r="A430" s="89" t="str">
        <f ca="1"/>
        <v>HERNANDEZ, PABLO SEBASTIAN</v>
      </c>
      <c r="B430" s="89" t="str">
        <f ca="1"/>
        <v>Reporte, Gestion e Investigacion de Incidentes HSE (supervisores / investigadores (rol))</v>
      </c>
      <c r="C430" s="93" t="str">
        <f ca="1"/>
        <v/>
      </c>
      <c r="D430" s="89" t="str">
        <f ca="1"/>
        <v>Periódica</v>
      </c>
      <c r="E430" s="89">
        <f ca="1"/>
        <v>1095</v>
      </c>
      <c r="F430" s="89">
        <f ca="1"/>
        <v>2</v>
      </c>
      <c r="G430" s="89" t="str">
        <f ca="1"/>
        <v>SIN FECHA</v>
      </c>
    </row>
    <row r="431" spans="1:7" x14ac:dyDescent="0.3">
      <c r="A431" s="89" t="str">
        <f ca="1"/>
        <v>HERNANDEZ, PABLO SEBASTIAN</v>
      </c>
      <c r="B431" s="89" t="str">
        <f ca="1"/>
        <v>Gruas y Equipos de Izaje (Todos)</v>
      </c>
      <c r="C431" s="93" t="str">
        <f ca="1"/>
        <v/>
      </c>
      <c r="D431" s="89" t="str">
        <f ca="1"/>
        <v>Periódica</v>
      </c>
      <c r="E431" s="89">
        <f ca="1"/>
        <v>365</v>
      </c>
      <c r="F431" s="89">
        <f ca="1"/>
        <v>2</v>
      </c>
      <c r="G431" s="89" t="str">
        <f ca="1"/>
        <v>SIN FECHA</v>
      </c>
    </row>
    <row r="432" spans="1:7" x14ac:dyDescent="0.3">
      <c r="A432" s="89" t="str">
        <f ca="1"/>
        <v>HERNANDEZ, PABLO SEBASTIAN</v>
      </c>
      <c r="B432" s="89" t="str">
        <f ca="1"/>
        <v>HSMS.007 / Gruas y Equipos de Izaje (Operadores)</v>
      </c>
      <c r="C432" s="93">
        <f ca="1"/>
        <v>46140</v>
      </c>
      <c r="D432" s="89" t="str">
        <f ca="1"/>
        <v>Periódica</v>
      </c>
      <c r="E432" s="89">
        <f ca="1"/>
        <v>365</v>
      </c>
      <c r="F432" s="89">
        <f ca="1"/>
        <v>8</v>
      </c>
      <c r="G432" s="89" t="str">
        <f ca="1"/>
        <v>VIGENTE</v>
      </c>
    </row>
    <row r="433" spans="1:7" x14ac:dyDescent="0.3">
      <c r="A433" s="89" t="str">
        <f ca="1"/>
        <v>HERNANDEZ, PABLO SEBASTIAN</v>
      </c>
      <c r="B433" s="89" t="str">
        <f ca="1"/>
        <v>Proteccion Contra Incendios (Todos)</v>
      </c>
      <c r="C433" s="93" t="str">
        <f ca="1"/>
        <v/>
      </c>
      <c r="D433" s="89" t="str">
        <f ca="1"/>
        <v>Periódica</v>
      </c>
      <c r="E433" s="89">
        <f ca="1"/>
        <v>365</v>
      </c>
      <c r="F433" s="89">
        <f ca="1"/>
        <v>1</v>
      </c>
      <c r="G433" s="89" t="str">
        <f ca="1"/>
        <v>SIN FECHA</v>
      </c>
    </row>
    <row r="434" spans="1:7" x14ac:dyDescent="0.3">
      <c r="A434" s="89" t="str">
        <f ca="1"/>
        <v>HERNANDEZ, PABLO SEBASTIAN</v>
      </c>
      <c r="B434" s="89" t="str">
        <f ca="1"/>
        <v>Proteccion Contra Incendios (Brigadistas)</v>
      </c>
      <c r="C434" s="93" t="str">
        <f ca="1"/>
        <v/>
      </c>
      <c r="D434" s="89" t="str">
        <f ca="1"/>
        <v>Periódica</v>
      </c>
      <c r="E434" s="89">
        <f ca="1"/>
        <v>365</v>
      </c>
      <c r="F434" s="89">
        <f ca="1"/>
        <v>2</v>
      </c>
      <c r="G434" s="89" t="str">
        <f ca="1"/>
        <v>SIN FECHA</v>
      </c>
    </row>
    <row r="435" spans="1:7" x14ac:dyDescent="0.3">
      <c r="A435" s="89" t="str">
        <f ca="1"/>
        <v>HERNANDEZ, PABLO SEBASTIAN</v>
      </c>
      <c r="B435" s="89" t="str">
        <f ca="1"/>
        <v>Primeros Auxilios (Brigadistas)</v>
      </c>
      <c r="C435" s="93" t="str">
        <f ca="1"/>
        <v/>
      </c>
      <c r="D435" s="89" t="str">
        <f ca="1"/>
        <v>Periódica</v>
      </c>
      <c r="E435" s="89">
        <f ca="1"/>
        <v>365</v>
      </c>
      <c r="F435" s="89">
        <f ca="1"/>
        <v>2</v>
      </c>
      <c r="G435" s="89" t="str">
        <f ca="1"/>
        <v>SIN FECHA</v>
      </c>
    </row>
    <row r="436" spans="1:7" x14ac:dyDescent="0.3">
      <c r="A436" s="89" t="str">
        <f ca="1"/>
        <v>HERNANDEZ, PABLO SEBASTIAN</v>
      </c>
      <c r="B436" s="89" t="str">
        <f ca="1"/>
        <v>Seguridad Electrica (Todos)</v>
      </c>
      <c r="C436" s="93" t="str">
        <f ca="1"/>
        <v/>
      </c>
      <c r="D436" s="89" t="str">
        <f ca="1"/>
        <v>Periódica</v>
      </c>
      <c r="E436" s="89">
        <f ca="1"/>
        <v>365</v>
      </c>
      <c r="F436" s="89">
        <f ca="1"/>
        <v>1</v>
      </c>
      <c r="G436" s="89" t="str">
        <f ca="1"/>
        <v>SIN FECHA</v>
      </c>
    </row>
    <row r="437" spans="1:7" x14ac:dyDescent="0.3">
      <c r="A437" s="89" t="str">
        <f ca="1"/>
        <v>HERNANDEZ, PABLO SEBASTIAN</v>
      </c>
      <c r="B437" s="89" t="str">
        <f ca="1"/>
        <v>Seguridad Electrica (Personal Autorizado)</v>
      </c>
      <c r="C437" s="93" t="str">
        <f ca="1"/>
        <v/>
      </c>
      <c r="D437" s="89" t="str">
        <f ca="1"/>
        <v>Periódica</v>
      </c>
      <c r="E437" s="89">
        <f ca="1"/>
        <v>1095</v>
      </c>
      <c r="F437" s="89">
        <f ca="1"/>
        <v>4</v>
      </c>
      <c r="G437" s="89" t="str">
        <f ca="1"/>
        <v>SIN FECHA</v>
      </c>
    </row>
    <row r="438" spans="1:7" x14ac:dyDescent="0.3">
      <c r="A438" s="89" t="str">
        <f ca="1"/>
        <v>HERNANDEZ, PABLO SEBASTIAN</v>
      </c>
      <c r="B438" s="89" t="str">
        <f ca="1"/>
        <v>Camiones Industriales Motorizados (PIT) (Todos)</v>
      </c>
      <c r="C438" s="93" t="str">
        <f ca="1"/>
        <v/>
      </c>
      <c r="D438" s="89" t="str">
        <f ca="1"/>
        <v>Periódica</v>
      </c>
      <c r="E438" s="89">
        <f ca="1"/>
        <v>365</v>
      </c>
      <c r="F438" s="89">
        <f ca="1"/>
        <v>1</v>
      </c>
      <c r="G438" s="89" t="str">
        <f ca="1"/>
        <v>SIN FECHA</v>
      </c>
    </row>
    <row r="439" spans="1:7" x14ac:dyDescent="0.3">
      <c r="A439" s="89" t="str">
        <f ca="1"/>
        <v>HERNANDEZ, PABLO SEBASTIAN</v>
      </c>
      <c r="B439" s="89" t="str">
        <f ca="1"/>
        <v>Camiones Industriales Motorizados (PIT) (Op. Montacargas)</v>
      </c>
      <c r="C439" s="93" t="str">
        <f ca="1"/>
        <v/>
      </c>
      <c r="D439" s="89" t="str">
        <f ca="1"/>
        <v>Periódica</v>
      </c>
      <c r="E439" s="89">
        <f ca="1"/>
        <v>365</v>
      </c>
      <c r="F439" s="89">
        <f ca="1"/>
        <v>8</v>
      </c>
      <c r="G439" s="89" t="str">
        <f ca="1"/>
        <v>SIN FECHA</v>
      </c>
    </row>
    <row r="440" spans="1:7" x14ac:dyDescent="0.3">
      <c r="A440" s="89" t="str">
        <f ca="1"/>
        <v>HERNANDEZ, PABLO SEBASTIAN</v>
      </c>
      <c r="B440" s="89" t="str">
        <f ca="1"/>
        <v>Control de Energias Peligrosas (LOTO) (Todos)</v>
      </c>
      <c r="C440" s="93" t="str">
        <f ca="1"/>
        <v/>
      </c>
      <c r="D440" s="89" t="str">
        <f ca="1"/>
        <v>Evento</v>
      </c>
      <c r="E440" s="89">
        <f ca="1"/>
        <v>0</v>
      </c>
      <c r="F440" s="89">
        <f ca="1"/>
        <v>1</v>
      </c>
      <c r="G440" s="89" t="str">
        <f ca="1"/>
        <v>SIN FECHA</v>
      </c>
    </row>
    <row r="441" spans="1:7" x14ac:dyDescent="0.3">
      <c r="A441" s="89" t="str">
        <f ca="1"/>
        <v>HERNANDEZ, PABLO SEBASTIAN</v>
      </c>
      <c r="B441" s="89" t="str">
        <f ca="1"/>
        <v>Control de Energias Peligrosas (LOTO) (Empleados Autorizados)</v>
      </c>
      <c r="C441" s="93" t="str">
        <f ca="1"/>
        <v/>
      </c>
      <c r="D441" s="89" t="str">
        <f ca="1"/>
        <v>Periódica</v>
      </c>
      <c r="E441" s="89">
        <f ca="1"/>
        <v>365</v>
      </c>
      <c r="F441" s="89">
        <f ca="1"/>
        <v>2</v>
      </c>
      <c r="G441" s="89" t="str">
        <f ca="1"/>
        <v>SIN FECHA</v>
      </c>
    </row>
    <row r="442" spans="1:7" x14ac:dyDescent="0.3">
      <c r="A442" s="89" t="str">
        <f ca="1"/>
        <v>HERNANDEZ, PABLO SEBASTIAN</v>
      </c>
      <c r="B442" s="89" t="str">
        <f ca="1"/>
        <v>Seguridad aplicada al Pozo &amp; Yacimiento</v>
      </c>
      <c r="C442" s="93" t="str">
        <f ca="1"/>
        <v/>
      </c>
      <c r="D442" s="89" t="str">
        <f ca="1"/>
        <v>Periódica</v>
      </c>
      <c r="E442" s="89">
        <f ca="1"/>
        <v>365</v>
      </c>
      <c r="F442" s="89">
        <f ca="1"/>
        <v>1</v>
      </c>
      <c r="G442" s="89" t="str">
        <f ca="1"/>
        <v>SIN FECHA</v>
      </c>
    </row>
    <row r="443" spans="1:7" x14ac:dyDescent="0.3">
      <c r="A443" s="89" t="str">
        <f ca="1"/>
        <v>HERNANDEZ, PABLO SEBASTIAN</v>
      </c>
      <c r="B443" s="89" t="str">
        <f ca="1"/>
        <v>Las Reglas que Salvan Vidas</v>
      </c>
      <c r="C443" s="93" t="str">
        <f ca="1"/>
        <v/>
      </c>
      <c r="D443" s="89" t="str">
        <f ca="1"/>
        <v>Periódica</v>
      </c>
      <c r="E443" s="89">
        <f ca="1"/>
        <v>365</v>
      </c>
      <c r="F443" s="89">
        <f ca="1"/>
        <v>1</v>
      </c>
      <c r="G443" s="89" t="str">
        <f ca="1"/>
        <v>SIN FECHA</v>
      </c>
    </row>
    <row r="444" spans="1:7" x14ac:dyDescent="0.3">
      <c r="A444" s="89" t="str">
        <f ca="1"/>
        <v>HERNANDEZ, PABLO SEBASTIAN</v>
      </c>
      <c r="B444" s="89" t="str">
        <f ca="1"/>
        <v xml:space="preserve">Resguardo de Maquinas &amp; Equipos </v>
      </c>
      <c r="C444" s="93" t="str">
        <f ca="1"/>
        <v/>
      </c>
      <c r="D444" s="89" t="str">
        <f ca="1"/>
        <v>Periódica</v>
      </c>
      <c r="E444" s="89">
        <f ca="1"/>
        <v>365</v>
      </c>
      <c r="F444" s="89">
        <f ca="1"/>
        <v>1</v>
      </c>
      <c r="G444" s="89" t="str">
        <f ca="1"/>
        <v>SIN FECHA</v>
      </c>
    </row>
    <row r="445" spans="1:7" x14ac:dyDescent="0.3">
      <c r="A445" s="89" t="str">
        <f ca="1"/>
        <v>HERNANDEZ, PABLO SEBASTIAN</v>
      </c>
      <c r="B445" s="89" t="str">
        <f ca="1"/>
        <v>Conduccion y Gestion de Viajes (Todos)</v>
      </c>
      <c r="C445" s="93" t="str">
        <f ca="1"/>
        <v/>
      </c>
      <c r="D445" s="89" t="str">
        <f ca="1"/>
        <v>Periódica</v>
      </c>
      <c r="E445" s="89">
        <f ca="1"/>
        <v>730</v>
      </c>
      <c r="F445" s="89">
        <f ca="1"/>
        <v>1</v>
      </c>
      <c r="G445" s="89" t="str">
        <f ca="1"/>
        <v>SIN FECHA</v>
      </c>
    </row>
    <row r="446" spans="1:7" x14ac:dyDescent="0.3">
      <c r="A446" s="89" t="str">
        <f ca="1"/>
        <v>HERNANDEZ, PABLO SEBASTIAN</v>
      </c>
      <c r="B446" s="89" t="str">
        <f ca="1"/>
        <v>Conduccion y Gestion de Viajes (Conductores)</v>
      </c>
      <c r="C446" s="93">
        <f ca="1"/>
        <v>46041</v>
      </c>
      <c r="D446" s="89" t="str">
        <f ca="1"/>
        <v>Periódica</v>
      </c>
      <c r="E446" s="89">
        <f ca="1"/>
        <v>1095</v>
      </c>
      <c r="F446" s="89">
        <f ca="1"/>
        <v>5</v>
      </c>
      <c r="G446" s="89" t="str">
        <f ca="1"/>
        <v>VIGENTE</v>
      </c>
    </row>
    <row r="447" spans="1:7" x14ac:dyDescent="0.3">
      <c r="A447" s="89" t="str">
        <f ca="1"/>
        <v>HERNANDEZ, PABLO SEBASTIAN</v>
      </c>
      <c r="B447" s="89" t="str">
        <f ca="1"/>
        <v>Patogenos Transmitidos por la Sangre</v>
      </c>
      <c r="C447" s="93" t="str">
        <f ca="1"/>
        <v/>
      </c>
      <c r="D447" s="89" t="str">
        <f ca="1"/>
        <v>Periódica</v>
      </c>
      <c r="E447" s="89">
        <f ca="1"/>
        <v>365</v>
      </c>
      <c r="F447" s="89">
        <f ca="1"/>
        <v>1</v>
      </c>
      <c r="G447" s="89" t="str">
        <f ca="1"/>
        <v>SIN FECHA</v>
      </c>
    </row>
    <row r="448" spans="1:7" x14ac:dyDescent="0.3">
      <c r="A448" s="89" t="str">
        <f ca="1"/>
        <v>HERNANDEZ, PABLO SEBASTIAN</v>
      </c>
      <c r="B448" s="89" t="str">
        <f ca="1"/>
        <v>Conservacion Auditiva</v>
      </c>
      <c r="C448" s="93" t="str">
        <f ca="1"/>
        <v/>
      </c>
      <c r="D448" s="89" t="str">
        <f ca="1"/>
        <v>Periódica</v>
      </c>
      <c r="E448" s="89">
        <f ca="1"/>
        <v>365</v>
      </c>
      <c r="F448" s="89">
        <f ca="1"/>
        <v>1</v>
      </c>
      <c r="G448" s="89" t="str">
        <f ca="1"/>
        <v>SIN FECHA</v>
      </c>
    </row>
    <row r="449" spans="1:7" x14ac:dyDescent="0.3">
      <c r="A449" s="89" t="str">
        <f ca="1"/>
        <v>HERNANDEZ, PABLO SEBASTIAN</v>
      </c>
      <c r="B449" s="89" t="str">
        <f ca="1"/>
        <v xml:space="preserve">Ergonomia //  / Levantamiento &amp; Seguridad en la Espalda </v>
      </c>
      <c r="C449" s="93" t="str">
        <f ca="1"/>
        <v/>
      </c>
      <c r="D449" s="89" t="str">
        <f ca="1"/>
        <v>Periódica</v>
      </c>
      <c r="E449" s="89">
        <f ca="1"/>
        <v>365</v>
      </c>
      <c r="F449" s="89">
        <f ca="1"/>
        <v>1</v>
      </c>
      <c r="G449" s="89" t="str">
        <f ca="1"/>
        <v>SIN FECHA</v>
      </c>
    </row>
    <row r="450" spans="1:7" x14ac:dyDescent="0.3">
      <c r="A450" s="89" t="str">
        <f ca="1"/>
        <v>HERNANDEZ, PABLO SEBASTIAN</v>
      </c>
      <c r="B450" s="89" t="str">
        <f ca="1"/>
        <v>Superficies Elevadas (Todos)</v>
      </c>
      <c r="C450" s="93" t="str">
        <f ca="1"/>
        <v/>
      </c>
      <c r="D450" s="89" t="str">
        <f ca="1"/>
        <v>Periódica</v>
      </c>
      <c r="E450" s="89">
        <f ca="1"/>
        <v>365</v>
      </c>
      <c r="F450" s="89">
        <f ca="1"/>
        <v>1</v>
      </c>
      <c r="G450" s="89" t="str">
        <f ca="1"/>
        <v>SIN FECHA</v>
      </c>
    </row>
    <row r="451" spans="1:7" x14ac:dyDescent="0.3">
      <c r="A451" s="89" t="str">
        <f ca="1"/>
        <v>HERNANDEZ, PABLO SEBASTIAN</v>
      </c>
      <c r="B451" s="89" t="str">
        <f ca="1"/>
        <v>Superficies Elevadas (Personal Habilitado)</v>
      </c>
      <c r="C451" s="93" t="str">
        <f ca="1"/>
        <v/>
      </c>
      <c r="D451" s="89" t="str">
        <f ca="1"/>
        <v>Periódica</v>
      </c>
      <c r="E451" s="89">
        <f ca="1"/>
        <v>365</v>
      </c>
      <c r="F451" s="89">
        <f ca="1"/>
        <v>8</v>
      </c>
      <c r="G451" s="89" t="str">
        <f ca="1"/>
        <v>SIN FECHA</v>
      </c>
    </row>
    <row r="452" spans="1:7" x14ac:dyDescent="0.3">
      <c r="A452" s="89" t="str">
        <f ca="1"/>
        <v>HERNANDEZ, PABLO SEBASTIAN</v>
      </c>
      <c r="B452" s="89" t="str">
        <f ca="1"/>
        <v>Seguridad Quimica (Todos)</v>
      </c>
      <c r="C452" s="93" t="str">
        <f ca="1"/>
        <v/>
      </c>
      <c r="D452" s="89" t="str">
        <f ca="1"/>
        <v>Periódica</v>
      </c>
      <c r="E452" s="89">
        <f ca="1"/>
        <v>730</v>
      </c>
      <c r="F452" s="89">
        <f ca="1"/>
        <v>1</v>
      </c>
      <c r="G452" s="89" t="str">
        <f ca="1"/>
        <v>SIN FECHA</v>
      </c>
    </row>
    <row r="453" spans="1:7" x14ac:dyDescent="0.3">
      <c r="A453" s="89" t="str">
        <f ca="1"/>
        <v>HERNANDEZ, PABLO SEBASTIAN</v>
      </c>
      <c r="B453" s="89" t="str">
        <f ca="1"/>
        <v>Seguridad Quimica (Mantenimiento)</v>
      </c>
      <c r="C453" s="93" t="str">
        <f ca="1"/>
        <v/>
      </c>
      <c r="D453" s="89" t="str">
        <f ca="1"/>
        <v>Periódica</v>
      </c>
      <c r="E453" s="89">
        <f ca="1"/>
        <v>365</v>
      </c>
      <c r="F453" s="89">
        <f ca="1"/>
        <v>1</v>
      </c>
      <c r="G453" s="89" t="str">
        <f ca="1"/>
        <v>SIN FECHA</v>
      </c>
    </row>
    <row r="454" spans="1:7" x14ac:dyDescent="0.3">
      <c r="A454" s="89" t="str">
        <f ca="1"/>
        <v>HERNANDEZ, PABLO SEBASTIAN</v>
      </c>
      <c r="B454" s="89" t="str">
        <f ca="1"/>
        <v>Seguridad Quimica (Contratistas)</v>
      </c>
      <c r="C454" s="93" t="str">
        <f ca="1"/>
        <v/>
      </c>
      <c r="D454" s="89" t="str">
        <f ca="1"/>
        <v>Periódica</v>
      </c>
      <c r="E454" s="89">
        <f ca="1"/>
        <v>365</v>
      </c>
      <c r="F454" s="89">
        <f ca="1"/>
        <v>1</v>
      </c>
      <c r="G454" s="89" t="str">
        <f ca="1"/>
        <v>SIN FECHA</v>
      </c>
    </row>
    <row r="455" spans="1:7" x14ac:dyDescent="0.3">
      <c r="A455" s="89" t="str">
        <f ca="1"/>
        <v>HERNANDEZ, PABLO SEBASTIAN</v>
      </c>
      <c r="B455" s="89" t="str">
        <f ca="1"/>
        <v>Seguridad para Trabajos en Caliente</v>
      </c>
      <c r="C455" s="93">
        <f ca="1"/>
        <v>45770</v>
      </c>
      <c r="D455" s="89" t="str">
        <f ca="1"/>
        <v>Periódica</v>
      </c>
      <c r="E455" s="89">
        <f ca="1"/>
        <v>365</v>
      </c>
      <c r="F455" s="89">
        <f ca="1"/>
        <v>1</v>
      </c>
      <c r="G455" s="89" t="str">
        <f ca="1"/>
        <v>VENCIDA</v>
      </c>
    </row>
    <row r="456" spans="1:7" x14ac:dyDescent="0.3">
      <c r="A456" s="89" t="str">
        <f ca="1"/>
        <v>HERNANDEZ, PABLO SEBASTIAN</v>
      </c>
      <c r="B456" s="89" t="str">
        <f ca="1"/>
        <v>Seguridad con la Radiacion</v>
      </c>
      <c r="C456" s="93" t="str">
        <f ca="1"/>
        <v/>
      </c>
      <c r="D456" s="89" t="str">
        <f ca="1"/>
        <v>Periódica</v>
      </c>
      <c r="E456" s="89">
        <f ca="1"/>
        <v>365</v>
      </c>
      <c r="F456" s="89">
        <f ca="1"/>
        <v>2</v>
      </c>
      <c r="G456" s="89" t="str">
        <f ca="1"/>
        <v>SIN FECHA</v>
      </c>
    </row>
    <row r="457" spans="1:7" x14ac:dyDescent="0.3">
      <c r="A457" s="89" t="str">
        <f ca="1"/>
        <v>HERNANDEZ, PABLO SEBASTIAN</v>
      </c>
      <c r="B457" s="89" t="str">
        <f ca="1"/>
        <v>Equipo de Proteccion Personal (PPE)</v>
      </c>
      <c r="C457" s="93" t="str">
        <f ca="1"/>
        <v/>
      </c>
      <c r="D457" s="89" t="str">
        <f ca="1"/>
        <v>Periódica</v>
      </c>
      <c r="E457" s="89">
        <f ca="1"/>
        <v>365</v>
      </c>
      <c r="F457" s="89">
        <f ca="1"/>
        <v>1</v>
      </c>
      <c r="G457" s="89" t="str">
        <f ca="1"/>
        <v>SIN FECHA</v>
      </c>
    </row>
    <row r="458" spans="1:7" x14ac:dyDescent="0.3">
      <c r="A458" s="89" t="str">
        <f ca="1"/>
        <v>HERNANDEZ, PABLO SEBASTIAN</v>
      </c>
      <c r="B458" s="89" t="str">
        <f ca="1"/>
        <v>Proteccion Respiratoria</v>
      </c>
      <c r="C458" s="93" t="str">
        <f ca="1"/>
        <v/>
      </c>
      <c r="D458" s="89" t="str">
        <f ca="1"/>
        <v>Periódica</v>
      </c>
      <c r="E458" s="89">
        <f ca="1"/>
        <v>365</v>
      </c>
      <c r="F458" s="89">
        <f ca="1"/>
        <v>1</v>
      </c>
      <c r="G458" s="89" t="str">
        <f ca="1"/>
        <v>SIN FECHA</v>
      </c>
    </row>
    <row r="459" spans="1:7" x14ac:dyDescent="0.3">
      <c r="A459" s="89" t="str">
        <f ca="1"/>
        <v>HERNANDEZ, PABLO SEBASTIAN</v>
      </c>
      <c r="B459" s="89" t="str">
        <f ca="1"/>
        <v xml:space="preserve">Seguridad con Escaleras </v>
      </c>
      <c r="C459" s="93" t="str">
        <f ca="1"/>
        <v/>
      </c>
      <c r="D459" s="89" t="str">
        <f ca="1"/>
        <v>Periódica</v>
      </c>
      <c r="E459" s="89">
        <f ca="1"/>
        <v>365</v>
      </c>
      <c r="F459" s="89">
        <f ca="1"/>
        <v>1</v>
      </c>
      <c r="G459" s="89" t="str">
        <f ca="1"/>
        <v>SIN FECHA</v>
      </c>
    </row>
    <row r="460" spans="1:7" x14ac:dyDescent="0.3">
      <c r="A460" s="89" t="str">
        <f ca="1"/>
        <v>HERNANDEZ, PABLO SEBASTIAN</v>
      </c>
      <c r="B460" s="89" t="str">
        <f ca="1"/>
        <v>Seguridad con Escaleras // Estantes de Almacenamiento</v>
      </c>
      <c r="C460" s="93" t="str">
        <f ca="1"/>
        <v/>
      </c>
      <c r="D460" s="89" t="str">
        <f ca="1"/>
        <v>Periódica</v>
      </c>
      <c r="E460" s="89">
        <f ca="1"/>
        <v>365</v>
      </c>
      <c r="F460" s="89">
        <f ca="1"/>
        <v>1</v>
      </c>
      <c r="G460" s="89" t="str">
        <f ca="1"/>
        <v>SIN FECHA</v>
      </c>
    </row>
    <row r="461" spans="1:7" x14ac:dyDescent="0.3">
      <c r="A461" s="89" t="str">
        <f ca="1"/>
        <v>HERNANDEZ, PABLO SEBASTIAN</v>
      </c>
      <c r="B461" s="89" t="str">
        <f ca="1"/>
        <v>Responsabilidades del Supervisor</v>
      </c>
      <c r="C461" s="93" t="str">
        <f ca="1"/>
        <v/>
      </c>
      <c r="D461" s="89" t="str">
        <f ca="1"/>
        <v>Periódica</v>
      </c>
      <c r="E461" s="89">
        <f ca="1"/>
        <v>365</v>
      </c>
      <c r="F461" s="89">
        <f ca="1"/>
        <v>1</v>
      </c>
      <c r="G461" s="89" t="str">
        <f ca="1"/>
        <v>SIN FECHA</v>
      </c>
    </row>
    <row r="462" spans="1:7" x14ac:dyDescent="0.3">
      <c r="A462" s="89" t="str">
        <f ca="1"/>
        <v>HERNANDEZ, PABLO SEBASTIAN</v>
      </c>
      <c r="B462" s="89" t="str">
        <f ca="1"/>
        <v>Espacios Confinados (Todos)</v>
      </c>
      <c r="C462" s="93" t="str">
        <f ca="1"/>
        <v/>
      </c>
      <c r="D462" s="89" t="str">
        <f ca="1"/>
        <v>Periódica</v>
      </c>
      <c r="E462" s="89">
        <f ca="1"/>
        <v>365</v>
      </c>
      <c r="F462" s="89">
        <f ca="1"/>
        <v>1</v>
      </c>
      <c r="G462" s="89" t="str">
        <f ca="1"/>
        <v>SIN FECHA</v>
      </c>
    </row>
    <row r="463" spans="1:7" x14ac:dyDescent="0.3">
      <c r="A463" s="89" t="str">
        <f ca="1"/>
        <v>HERNANDEZ, PABLO SEBASTIAN</v>
      </c>
      <c r="B463" s="89" t="str">
        <f ca="1"/>
        <v>HSMS.017 / Espacios Confinados (Entrantes)</v>
      </c>
      <c r="C463" s="93" t="str">
        <f ca="1"/>
        <v/>
      </c>
      <c r="D463" s="89" t="str">
        <f ca="1"/>
        <v>Evento</v>
      </c>
      <c r="E463" s="89">
        <f ca="1"/>
        <v>0</v>
      </c>
      <c r="F463" s="89">
        <f ca="1"/>
        <v>8</v>
      </c>
      <c r="G463" s="89" t="str">
        <f ca="1"/>
        <v>SIN FECHA</v>
      </c>
    </row>
    <row r="464" spans="1:7" x14ac:dyDescent="0.3">
      <c r="A464" s="89" t="str">
        <f ca="1"/>
        <v>HERNANDEZ, PABLO SEBASTIAN</v>
      </c>
      <c r="B464" s="89" t="str">
        <f ca="1"/>
        <v>Programa de Agua (Todos)</v>
      </c>
      <c r="C464" s="93" t="str">
        <f ca="1"/>
        <v/>
      </c>
      <c r="D464" s="89" t="str">
        <f ca="1"/>
        <v>Evento</v>
      </c>
      <c r="E464" s="89">
        <f ca="1"/>
        <v>0</v>
      </c>
      <c r="F464" s="89">
        <f ca="1"/>
        <v>1</v>
      </c>
      <c r="G464" s="89" t="str">
        <f ca="1"/>
        <v>SIN FECHA</v>
      </c>
    </row>
    <row r="465" spans="1:7" x14ac:dyDescent="0.3">
      <c r="A465" s="89" t="str">
        <f ca="1"/>
        <v>HERNANDEZ, PABLO SEBASTIAN</v>
      </c>
      <c r="B465" s="89" t="str">
        <f ca="1"/>
        <v>Programa de Agua (HSE)</v>
      </c>
      <c r="C465" s="93" t="str">
        <f ca="1"/>
        <v/>
      </c>
      <c r="D465" s="89" t="str">
        <f ca="1"/>
        <v>Evento</v>
      </c>
      <c r="E465" s="89">
        <f ca="1"/>
        <v>0</v>
      </c>
      <c r="F465" s="89">
        <f ca="1"/>
        <v>1</v>
      </c>
      <c r="G465" s="89" t="str">
        <f ca="1"/>
        <v>SIN FECHA</v>
      </c>
    </row>
    <row r="466" spans="1:7" x14ac:dyDescent="0.3">
      <c r="A466" s="89" t="str">
        <f ca="1"/>
        <v>HERNANDEZ, PABLO SEBASTIAN</v>
      </c>
      <c r="B466" s="89" t="str">
        <f ca="1"/>
        <v>HIV/SIDA y otras enfermedades de transmisión sexual (ETS)</v>
      </c>
      <c r="C466" s="93" t="str">
        <f ca="1"/>
        <v/>
      </c>
      <c r="D466" s="89" t="str">
        <f ca="1"/>
        <v>Periódica</v>
      </c>
      <c r="E466" s="89">
        <f ca="1"/>
        <v>365</v>
      </c>
      <c r="F466" s="89">
        <f ca="1"/>
        <v>1</v>
      </c>
      <c r="G466" s="89" t="str">
        <f ca="1"/>
        <v>SIN FECHA</v>
      </c>
    </row>
    <row r="467" spans="1:7" x14ac:dyDescent="0.3">
      <c r="A467" s="89" t="str">
        <f ca="1"/>
        <v>HERNANDEZ, PABLO SEBASTIAN</v>
      </c>
      <c r="B467" s="89" t="str">
        <f ca="1"/>
        <v>Drogas de abuso (concientización y prevención)</v>
      </c>
      <c r="C467" s="93" t="str">
        <f ca="1"/>
        <v/>
      </c>
      <c r="D467" s="89" t="str">
        <f ca="1"/>
        <v>Periódica</v>
      </c>
      <c r="E467" s="89">
        <f ca="1"/>
        <v>365</v>
      </c>
      <c r="F467" s="89">
        <f ca="1"/>
        <v>1</v>
      </c>
      <c r="G467" s="89" t="str">
        <f ca="1"/>
        <v>SIN FECHA</v>
      </c>
    </row>
    <row r="468" spans="1:7" x14ac:dyDescent="0.3">
      <c r="A468" s="89" t="str">
        <f ca="1"/>
        <v>HERNANDEZ, PABLO SEBASTIAN</v>
      </c>
      <c r="B468" s="89" t="str">
        <f ca="1"/>
        <v>Vida saludable (hábitos, autocuidado y bienestar)</v>
      </c>
      <c r="C468" s="93" t="str">
        <f ca="1"/>
        <v/>
      </c>
      <c r="D468" s="89" t="str">
        <f ca="1"/>
        <v>Periódica</v>
      </c>
      <c r="E468" s="89">
        <f ca="1"/>
        <v>365</v>
      </c>
      <c r="F468" s="89">
        <f ca="1"/>
        <v>1</v>
      </c>
      <c r="G468" s="89" t="str">
        <f ca="1"/>
        <v>SIN FECHA</v>
      </c>
    </row>
    <row r="469" spans="1:7" x14ac:dyDescent="0.3">
      <c r="A469" s="89" t="str">
        <f ca="1"/>
        <v>HERNANDEZ, PABLO SEBASTIAN</v>
      </c>
      <c r="B469" s="89" t="str">
        <f ca="1"/>
        <v>Primeros auxilios y Reanimación Cardio Pulmonar (RCP)</v>
      </c>
      <c r="C469" s="93" t="str">
        <f ca="1"/>
        <v/>
      </c>
      <c r="D469" s="89" t="str">
        <f ca="1"/>
        <v>Periódica</v>
      </c>
      <c r="E469" s="89">
        <f ca="1"/>
        <v>365</v>
      </c>
      <c r="F469" s="89">
        <f ca="1"/>
        <v>4</v>
      </c>
      <c r="G469" s="89" t="str">
        <f ca="1"/>
        <v>SIN FECHA</v>
      </c>
    </row>
    <row r="470" spans="1:7" x14ac:dyDescent="0.3">
      <c r="A470" s="89" t="str">
        <f ca="1"/>
        <v>HERNANDEZ, PABLO SEBASTIAN</v>
      </c>
      <c r="B470" s="89" t="str">
        <f ca="1"/>
        <v>Prevención cardiovascular (factores de riesgo y señales de alarma)</v>
      </c>
      <c r="C470" s="93" t="str">
        <f ca="1"/>
        <v/>
      </c>
      <c r="D470" s="89" t="str">
        <f ca="1"/>
        <v>Periódica</v>
      </c>
      <c r="E470" s="89">
        <f ca="1"/>
        <v>365</v>
      </c>
      <c r="F470" s="89">
        <f ca="1"/>
        <v>1</v>
      </c>
      <c r="G470" s="89" t="str">
        <f ca="1"/>
        <v>SIN FECHA</v>
      </c>
    </row>
    <row r="471" spans="1:7" x14ac:dyDescent="0.3">
      <c r="A471" s="89" t="str">
        <f ca="1"/>
        <v>HERNANDEZ, PABLO SEBASTIAN</v>
      </c>
      <c r="B471" s="89" t="str">
        <f ca="1"/>
        <v>Efectos del tabaco sobre la salud</v>
      </c>
      <c r="C471" s="93" t="str">
        <f ca="1"/>
        <v/>
      </c>
      <c r="D471" s="89" t="str">
        <f ca="1"/>
        <v>Periódica</v>
      </c>
      <c r="E471" s="89">
        <f ca="1"/>
        <v>365</v>
      </c>
      <c r="F471" s="89">
        <f ca="1"/>
        <v>1</v>
      </c>
      <c r="G471" s="89" t="str">
        <f ca="1"/>
        <v>SIN FECHA</v>
      </c>
    </row>
    <row r="472" spans="1:7" x14ac:dyDescent="0.3">
      <c r="A472" s="89" t="str">
        <f ca="1"/>
        <v>HERNANDEZ, PABLO SEBASTIAN</v>
      </c>
      <c r="B472" s="89" t="str">
        <f ca="1"/>
        <v>Cargadora (Op. Montacargas)</v>
      </c>
      <c r="C472" s="93" t="str">
        <f ca="1"/>
        <v/>
      </c>
      <c r="D472" s="89" t="str">
        <f ca="1"/>
        <v>Periódica</v>
      </c>
      <c r="E472" s="89">
        <f ca="1"/>
        <v>365</v>
      </c>
      <c r="F472" s="89">
        <f ca="1"/>
        <v>8</v>
      </c>
      <c r="G472" s="89" t="str">
        <f ca="1"/>
        <v>SIN FECHA</v>
      </c>
    </row>
    <row r="473" spans="1:7" x14ac:dyDescent="0.3">
      <c r="A473" s="89" t="str">
        <f ca="1"/>
        <v>HERNANDEZ, PABLO SEBASTIAN</v>
      </c>
      <c r="B473" s="89">
        <f ca="1"/>
        <v>0</v>
      </c>
      <c r="C473" s="93" t="str">
        <f ca="1"/>
        <v/>
      </c>
      <c r="D473" s="89" t="str">
        <f ca="1"/>
        <v/>
      </c>
      <c r="E473" s="89" t="str">
        <f ca="1"/>
        <v/>
      </c>
      <c r="F473" s="89" t="str">
        <f ca="1"/>
        <v/>
      </c>
      <c r="G473" s="89" t="str">
        <f ca="1"/>
        <v>SIN FECHA</v>
      </c>
    </row>
    <row r="474" spans="1:7" x14ac:dyDescent="0.3">
      <c r="A474" s="89" t="str">
        <f ca="1"/>
        <v>HERNANDEZ, PABLO SEBASTIAN</v>
      </c>
      <c r="B474" s="89">
        <f ca="1"/>
        <v>0</v>
      </c>
      <c r="C474" s="93" t="str">
        <f ca="1"/>
        <v/>
      </c>
      <c r="D474" s="89" t="str">
        <f ca="1"/>
        <v/>
      </c>
      <c r="E474" s="89" t="str">
        <f ca="1"/>
        <v/>
      </c>
      <c r="F474" s="89" t="str">
        <f ca="1"/>
        <v/>
      </c>
      <c r="G474" s="89" t="str">
        <f ca="1"/>
        <v>SIN FECHA</v>
      </c>
    </row>
    <row r="475" spans="1:7" x14ac:dyDescent="0.3">
      <c r="A475" s="89" t="str">
        <f ca="1"/>
        <v>HERNANDEZ, PABLO SEBASTIAN</v>
      </c>
      <c r="B475" s="89">
        <f ca="1"/>
        <v>0</v>
      </c>
      <c r="C475" s="93" t="str">
        <f ca="1"/>
        <v/>
      </c>
      <c r="D475" s="89" t="str">
        <f ca="1"/>
        <v/>
      </c>
      <c r="E475" s="89" t="str">
        <f ca="1"/>
        <v/>
      </c>
      <c r="F475" s="89" t="str">
        <f ca="1"/>
        <v/>
      </c>
      <c r="G475" s="89" t="str">
        <f ca="1"/>
        <v>SIN FECHA</v>
      </c>
    </row>
    <row r="476" spans="1:7" x14ac:dyDescent="0.3">
      <c r="A476" s="89" t="str">
        <f ca="1"/>
        <v>HERNANDEZ, PABLO SEBASTIAN</v>
      </c>
      <c r="B476" s="89">
        <f ca="1"/>
        <v>0</v>
      </c>
      <c r="C476" s="93" t="str">
        <f ca="1"/>
        <v/>
      </c>
      <c r="D476" s="89" t="str">
        <f ca="1"/>
        <v/>
      </c>
      <c r="E476" s="89" t="str">
        <f ca="1"/>
        <v/>
      </c>
      <c r="F476" s="89" t="str">
        <f ca="1"/>
        <v/>
      </c>
      <c r="G476" s="89" t="str">
        <f ca="1"/>
        <v>SIN FECHA</v>
      </c>
    </row>
    <row r="477" spans="1:7" x14ac:dyDescent="0.3">
      <c r="A477" s="89" t="str">
        <f ca="1"/>
        <v>HERNANDEZ, PABLO SEBASTIAN</v>
      </c>
      <c r="B477" s="89">
        <f ca="1"/>
        <v>0</v>
      </c>
      <c r="C477" s="93" t="str">
        <f ca="1"/>
        <v/>
      </c>
      <c r="D477" s="89" t="str">
        <f ca="1"/>
        <v/>
      </c>
      <c r="E477" s="89" t="str">
        <f ca="1"/>
        <v/>
      </c>
      <c r="F477" s="89" t="str">
        <f ca="1"/>
        <v/>
      </c>
      <c r="G477" s="89" t="str">
        <f ca="1"/>
        <v>SIN FECHA</v>
      </c>
    </row>
    <row r="478" spans="1:7" x14ac:dyDescent="0.3">
      <c r="A478" s="89" t="str">
        <f ca="1"/>
        <v>HERNANDEZ, PABLO SEBASTIAN</v>
      </c>
      <c r="B478" s="89">
        <f ca="1"/>
        <v>0</v>
      </c>
      <c r="C478" s="93" t="str">
        <f ca="1"/>
        <v/>
      </c>
      <c r="D478" s="89" t="str">
        <f ca="1"/>
        <v/>
      </c>
      <c r="E478" s="89" t="str">
        <f ca="1"/>
        <v/>
      </c>
      <c r="F478" s="89" t="str">
        <f ca="1"/>
        <v/>
      </c>
      <c r="G478" s="89" t="str">
        <f ca="1"/>
        <v>SIN FECHA</v>
      </c>
    </row>
    <row r="479" spans="1:7" x14ac:dyDescent="0.3">
      <c r="A479" s="89" t="str">
        <f ca="1"/>
        <v>HERNANDEZ, PABLO SEBASTIAN</v>
      </c>
      <c r="B479" s="89">
        <f ca="1"/>
        <v>0</v>
      </c>
      <c r="C479" s="93" t="str">
        <f ca="1"/>
        <v/>
      </c>
      <c r="D479" s="89" t="str">
        <f ca="1"/>
        <v/>
      </c>
      <c r="E479" s="89" t="str">
        <f ca="1"/>
        <v/>
      </c>
      <c r="F479" s="89" t="str">
        <f ca="1"/>
        <v/>
      </c>
      <c r="G479" s="89" t="str">
        <f ca="1"/>
        <v>SIN FECHA</v>
      </c>
    </row>
    <row r="480" spans="1:7" x14ac:dyDescent="0.3">
      <c r="A480" s="89" t="str">
        <f ca="1"/>
        <v>HERNANDEZ, PABLO SEBASTIAN</v>
      </c>
      <c r="B480" s="89">
        <f ca="1"/>
        <v>0</v>
      </c>
      <c r="C480" s="93" t="str">
        <f ca="1"/>
        <v/>
      </c>
      <c r="D480" s="89" t="str">
        <f ca="1"/>
        <v/>
      </c>
      <c r="E480" s="89" t="str">
        <f ca="1"/>
        <v/>
      </c>
      <c r="F480" s="89" t="str">
        <f ca="1"/>
        <v/>
      </c>
      <c r="G480" s="89" t="str">
        <f ca="1"/>
        <v>SIN FECHA</v>
      </c>
    </row>
    <row r="481" spans="1:7" x14ac:dyDescent="0.3">
      <c r="A481" s="89" t="str">
        <f ca="1"/>
        <v>HERNANDEZ, PABLO SEBASTIAN</v>
      </c>
      <c r="B481" s="89">
        <f ca="1"/>
        <v>0</v>
      </c>
      <c r="C481" s="93" t="str">
        <f ca="1"/>
        <v/>
      </c>
      <c r="D481" s="89" t="str">
        <f ca="1"/>
        <v/>
      </c>
      <c r="E481" s="89" t="str">
        <f ca="1"/>
        <v/>
      </c>
      <c r="F481" s="89" t="str">
        <f ca="1"/>
        <v/>
      </c>
      <c r="G481" s="89" t="str">
        <f ca="1"/>
        <v>SIN FECHA</v>
      </c>
    </row>
    <row r="482" spans="1:7" x14ac:dyDescent="0.3">
      <c r="A482" s="89" t="str">
        <f ca="1"/>
        <v>MONTES DE OCA, EZEQUIEL NICOLAS</v>
      </c>
      <c r="B482" s="89" t="str">
        <f ca="1"/>
        <v>Programa de Aire</v>
      </c>
      <c r="C482" s="93" t="str">
        <f ca="1"/>
        <v/>
      </c>
      <c r="D482" s="89" t="str">
        <f ca="1"/>
        <v>Evento</v>
      </c>
      <c r="E482" s="89">
        <f ca="1"/>
        <v>0</v>
      </c>
      <c r="F482" s="89">
        <f ca="1"/>
        <v>1</v>
      </c>
      <c r="G482" s="89" t="str">
        <f ca="1"/>
        <v>SIN FECHA</v>
      </c>
    </row>
    <row r="483" spans="1:7" x14ac:dyDescent="0.3">
      <c r="A483" s="89" t="str">
        <f ca="1"/>
        <v>MONTES DE OCA, EZEQUIEL NICOLAS</v>
      </c>
      <c r="B483" s="89" t="str">
        <f ca="1"/>
        <v>Conciencia Ambiental</v>
      </c>
      <c r="C483" s="93">
        <f ca="1"/>
        <v>46134</v>
      </c>
      <c r="D483" s="89" t="str">
        <f ca="1"/>
        <v>Periódica</v>
      </c>
      <c r="E483" s="89">
        <f ca="1"/>
        <v>365</v>
      </c>
      <c r="F483" s="89">
        <f ca="1"/>
        <v>1</v>
      </c>
      <c r="G483" s="89" t="str">
        <f ca="1"/>
        <v>VIGENTE</v>
      </c>
    </row>
    <row r="484" spans="1:7" x14ac:dyDescent="0.3">
      <c r="A484" s="89" t="str">
        <f ca="1"/>
        <v>MONTES DE OCA, EZEQUIEL NICOLAS</v>
      </c>
      <c r="B484" s="89" t="str">
        <f ca="1"/>
        <v xml:space="preserve">Control de Documentos e Informacion de HSE </v>
      </c>
      <c r="C484" s="93" t="str">
        <f ca="1"/>
        <v/>
      </c>
      <c r="D484" s="89" t="str">
        <f ca="1"/>
        <v>Evento</v>
      </c>
      <c r="E484" s="89">
        <f ca="1"/>
        <v>0</v>
      </c>
      <c r="F484" s="89">
        <f ca="1"/>
        <v>1</v>
      </c>
      <c r="G484" s="89" t="str">
        <f ca="1"/>
        <v>SIN FECHA</v>
      </c>
    </row>
    <row r="485" spans="1:7" x14ac:dyDescent="0.3">
      <c r="A485" s="89" t="str">
        <f ca="1"/>
        <v>MONTES DE OCA, EZEQUIEL NICOLAS</v>
      </c>
      <c r="B485" s="89" t="str">
        <f ca="1"/>
        <v xml:space="preserve"> Acciones Correctivas y Preventivas (CAPA)</v>
      </c>
      <c r="C485" s="93" t="str">
        <f ca="1"/>
        <v/>
      </c>
      <c r="D485" s="89" t="str">
        <f ca="1"/>
        <v>Evento</v>
      </c>
      <c r="E485" s="89">
        <f ca="1"/>
        <v>0</v>
      </c>
      <c r="F485" s="89">
        <f ca="1"/>
        <v>1</v>
      </c>
      <c r="G485" s="89" t="str">
        <f ca="1"/>
        <v>SIN FECHA</v>
      </c>
    </row>
    <row r="486" spans="1:7" x14ac:dyDescent="0.3">
      <c r="A486" s="89" t="str">
        <f ca="1"/>
        <v>MONTES DE OCA, EZEQUIEL NICOLAS</v>
      </c>
      <c r="B486" s="89" t="str">
        <f ca="1"/>
        <v>Seguridad Basada en el Comportamiento (Observation Program) // HSMS.043 / Autoridad de Detener el Trabajo</v>
      </c>
      <c r="C486" s="93">
        <f ca="1"/>
        <v>45827</v>
      </c>
      <c r="D486" s="89" t="str">
        <f ca="1"/>
        <v>Periódica</v>
      </c>
      <c r="E486" s="89">
        <f ca="1"/>
        <v>365</v>
      </c>
      <c r="F486" s="89">
        <f ca="1"/>
        <v>1</v>
      </c>
      <c r="G486" s="89" t="str">
        <f ca="1"/>
        <v>VENCIDA</v>
      </c>
    </row>
    <row r="487" spans="1:7" x14ac:dyDescent="0.3">
      <c r="A487" s="89" t="str">
        <f ca="1"/>
        <v>MONTES DE OCA, EZEQUIEL NICOLAS</v>
      </c>
      <c r="B487" s="89" t="str">
        <f ca="1"/>
        <v>Identificacion de Peligros y Evaluacion de Riesgos</v>
      </c>
      <c r="C487" s="93">
        <f ca="1"/>
        <v>46017</v>
      </c>
      <c r="D487" s="89" t="str">
        <f ca="1"/>
        <v>Evento</v>
      </c>
      <c r="E487" s="89">
        <f ca="1"/>
        <v>0</v>
      </c>
      <c r="F487" s="89">
        <f ca="1"/>
        <v>1</v>
      </c>
      <c r="G487" s="89" t="str">
        <f ca="1"/>
        <v>VIGENTE</v>
      </c>
    </row>
    <row r="488" spans="1:7" x14ac:dyDescent="0.3">
      <c r="A488" s="89" t="str">
        <f ca="1"/>
        <v>MONTES DE OCA, EZEQUIEL NICOLAS</v>
      </c>
      <c r="B488" s="89" t="str">
        <f ca="1"/>
        <v xml:space="preserve"> Plan de Respuesta ante Eemergencias / HSMS.010 /Primeros Axulios &amp; RCP/DEA / HSMSWT-002 / Patogenos Trasnmitidos por la Sangre</v>
      </c>
      <c r="C488" s="93" t="str">
        <f ca="1"/>
        <v/>
      </c>
      <c r="D488" s="89" t="str">
        <f ca="1"/>
        <v>Periódica</v>
      </c>
      <c r="E488" s="89">
        <f ca="1"/>
        <v>365</v>
      </c>
      <c r="F488" s="89">
        <f ca="1"/>
        <v>1</v>
      </c>
      <c r="G488" s="89" t="str">
        <f ca="1"/>
        <v>SIN FECHA</v>
      </c>
    </row>
    <row r="489" spans="1:7" x14ac:dyDescent="0.3">
      <c r="A489" s="89" t="str">
        <f ca="1"/>
        <v>MONTES DE OCA, EZEQUIEL NICOLAS</v>
      </c>
      <c r="B489" s="89" t="str">
        <f ca="1"/>
        <v>Reporte y Gestion de Incidentes HSE (Todos)</v>
      </c>
      <c r="C489" s="93">
        <f ca="1"/>
        <v>46008</v>
      </c>
      <c r="D489" s="89" t="str">
        <f ca="1"/>
        <v>Periódica</v>
      </c>
      <c r="E489" s="89">
        <f ca="1"/>
        <v>365</v>
      </c>
      <c r="F489" s="89">
        <f ca="1"/>
        <v>1</v>
      </c>
      <c r="G489" s="89" t="str">
        <f ca="1"/>
        <v>VIGENTE</v>
      </c>
    </row>
    <row r="490" spans="1:7" x14ac:dyDescent="0.3">
      <c r="A490" s="89" t="str">
        <f ca="1"/>
        <v>MONTES DE OCA, EZEQUIEL NICOLAS</v>
      </c>
      <c r="B490" s="89" t="str">
        <f ca="1"/>
        <v>Reporte, Gestion e Investigacion de Incidentes HSE (supervisores / investigadores (rol))</v>
      </c>
      <c r="C490" s="93" t="str">
        <f ca="1"/>
        <v/>
      </c>
      <c r="D490" s="89" t="str">
        <f ca="1"/>
        <v>Periódica</v>
      </c>
      <c r="E490" s="89">
        <f ca="1"/>
        <v>1095</v>
      </c>
      <c r="F490" s="89">
        <f ca="1"/>
        <v>2</v>
      </c>
      <c r="G490" s="89" t="str">
        <f ca="1"/>
        <v>SIN FECHA</v>
      </c>
    </row>
    <row r="491" spans="1:7" x14ac:dyDescent="0.3">
      <c r="A491" s="89" t="str">
        <f ca="1"/>
        <v>MONTES DE OCA, EZEQUIEL NICOLAS</v>
      </c>
      <c r="B491" s="89" t="str">
        <f ca="1"/>
        <v>Gruas y Equipos de Izaje (Todos)</v>
      </c>
      <c r="C491" s="93" t="str">
        <f ca="1"/>
        <v/>
      </c>
      <c r="D491" s="89" t="str">
        <f ca="1"/>
        <v>Periódica</v>
      </c>
      <c r="E491" s="89">
        <f ca="1"/>
        <v>365</v>
      </c>
      <c r="F491" s="89">
        <f ca="1"/>
        <v>2</v>
      </c>
      <c r="G491" s="89" t="str">
        <f ca="1"/>
        <v>SIN FECHA</v>
      </c>
    </row>
    <row r="492" spans="1:7" x14ac:dyDescent="0.3">
      <c r="A492" s="89" t="str">
        <f ca="1"/>
        <v>MONTES DE OCA, EZEQUIEL NICOLAS</v>
      </c>
      <c r="B492" s="89" t="str">
        <f ca="1"/>
        <v>HSMS.007 / Gruas y Equipos de Izaje (Operadores)</v>
      </c>
      <c r="C492" s="93">
        <f ca="1"/>
        <v>45776</v>
      </c>
      <c r="D492" s="89" t="str">
        <f ca="1"/>
        <v>Periódica</v>
      </c>
      <c r="E492" s="89">
        <f ca="1"/>
        <v>365</v>
      </c>
      <c r="F492" s="89">
        <f ca="1"/>
        <v>8</v>
      </c>
      <c r="G492" s="89" t="str">
        <f ca="1"/>
        <v>VENCIDA</v>
      </c>
    </row>
    <row r="493" spans="1:7" x14ac:dyDescent="0.3">
      <c r="A493" s="89" t="str">
        <f ca="1"/>
        <v>MONTES DE OCA, EZEQUIEL NICOLAS</v>
      </c>
      <c r="B493" s="89" t="str">
        <f ca="1"/>
        <v>Proteccion Contra Incendios (Todos)</v>
      </c>
      <c r="C493" s="93">
        <f ca="1"/>
        <v>45835</v>
      </c>
      <c r="D493" s="89" t="str">
        <f ca="1"/>
        <v>Periódica</v>
      </c>
      <c r="E493" s="89">
        <f ca="1"/>
        <v>365</v>
      </c>
      <c r="F493" s="89">
        <f ca="1"/>
        <v>1</v>
      </c>
      <c r="G493" s="89" t="str">
        <f ca="1"/>
        <v>VENCIDA</v>
      </c>
    </row>
    <row r="494" spans="1:7" x14ac:dyDescent="0.3">
      <c r="A494" s="89" t="str">
        <f ca="1"/>
        <v>MONTES DE OCA, EZEQUIEL NICOLAS</v>
      </c>
      <c r="B494" s="89" t="str">
        <f ca="1"/>
        <v>Proteccion Contra Incendios (Brigadistas)</v>
      </c>
      <c r="C494" s="93" t="str">
        <f ca="1"/>
        <v/>
      </c>
      <c r="D494" s="89" t="str">
        <f ca="1"/>
        <v>Periódica</v>
      </c>
      <c r="E494" s="89">
        <f ca="1"/>
        <v>365</v>
      </c>
      <c r="F494" s="89">
        <f ca="1"/>
        <v>2</v>
      </c>
      <c r="G494" s="89" t="str">
        <f ca="1"/>
        <v>SIN FECHA</v>
      </c>
    </row>
    <row r="495" spans="1:7" x14ac:dyDescent="0.3">
      <c r="A495" s="89" t="str">
        <f ca="1"/>
        <v>MONTES DE OCA, EZEQUIEL NICOLAS</v>
      </c>
      <c r="B495" s="89" t="str">
        <f ca="1"/>
        <v>Primeros Auxilios (Brigadistas)</v>
      </c>
      <c r="C495" s="93" t="str">
        <f ca="1"/>
        <v/>
      </c>
      <c r="D495" s="89" t="str">
        <f ca="1"/>
        <v>Periódica</v>
      </c>
      <c r="E495" s="89">
        <f ca="1"/>
        <v>365</v>
      </c>
      <c r="F495" s="89">
        <f ca="1"/>
        <v>2</v>
      </c>
      <c r="G495" s="89" t="str">
        <f ca="1"/>
        <v>SIN FECHA</v>
      </c>
    </row>
    <row r="496" spans="1:7" x14ac:dyDescent="0.3">
      <c r="A496" s="89" t="str">
        <f ca="1"/>
        <v>MONTES DE OCA, EZEQUIEL NICOLAS</v>
      </c>
      <c r="B496" s="89" t="str">
        <f ca="1"/>
        <v>Seguridad Electrica (Todos)</v>
      </c>
      <c r="C496" s="93" t="str">
        <f ca="1"/>
        <v/>
      </c>
      <c r="D496" s="89" t="str">
        <f ca="1"/>
        <v>Periódica</v>
      </c>
      <c r="E496" s="89">
        <f ca="1"/>
        <v>365</v>
      </c>
      <c r="F496" s="89">
        <f ca="1"/>
        <v>1</v>
      </c>
      <c r="G496" s="89" t="str">
        <f ca="1"/>
        <v>SIN FECHA</v>
      </c>
    </row>
    <row r="497" spans="1:7" x14ac:dyDescent="0.3">
      <c r="A497" s="89" t="str">
        <f ca="1"/>
        <v>MONTES DE OCA, EZEQUIEL NICOLAS</v>
      </c>
      <c r="B497" s="89" t="str">
        <f ca="1"/>
        <v>Seguridad Electrica (Personal Autorizado)</v>
      </c>
      <c r="C497" s="93" t="str">
        <f ca="1"/>
        <v/>
      </c>
      <c r="D497" s="89" t="str">
        <f ca="1"/>
        <v>Periódica</v>
      </c>
      <c r="E497" s="89">
        <f ca="1"/>
        <v>1095</v>
      </c>
      <c r="F497" s="89">
        <f ca="1"/>
        <v>4</v>
      </c>
      <c r="G497" s="89" t="str">
        <f ca="1"/>
        <v>SIN FECHA</v>
      </c>
    </row>
    <row r="498" spans="1:7" x14ac:dyDescent="0.3">
      <c r="A498" s="89" t="str">
        <f ca="1"/>
        <v>MONTES DE OCA, EZEQUIEL NICOLAS</v>
      </c>
      <c r="B498" s="89" t="str">
        <f ca="1"/>
        <v>Camiones Industriales Motorizados (PIT) (Todos)</v>
      </c>
      <c r="C498" s="93" t="str">
        <f ca="1"/>
        <v/>
      </c>
      <c r="D498" s="89" t="str">
        <f ca="1"/>
        <v>Periódica</v>
      </c>
      <c r="E498" s="89">
        <f ca="1"/>
        <v>365</v>
      </c>
      <c r="F498" s="89">
        <f ca="1"/>
        <v>1</v>
      </c>
      <c r="G498" s="89" t="str">
        <f ca="1"/>
        <v>SIN FECHA</v>
      </c>
    </row>
    <row r="499" spans="1:7" x14ac:dyDescent="0.3">
      <c r="A499" s="89" t="str">
        <f ca="1"/>
        <v>MONTES DE OCA, EZEQUIEL NICOLAS</v>
      </c>
      <c r="B499" s="89" t="str">
        <f ca="1"/>
        <v>Camiones Industriales Motorizados (PIT) (Op. Montacargas)</v>
      </c>
      <c r="C499" s="93" t="str">
        <f ca="1"/>
        <v/>
      </c>
      <c r="D499" s="89" t="str">
        <f ca="1"/>
        <v>Periódica</v>
      </c>
      <c r="E499" s="89">
        <f ca="1"/>
        <v>365</v>
      </c>
      <c r="F499" s="89">
        <f ca="1"/>
        <v>8</v>
      </c>
      <c r="G499" s="89" t="str">
        <f ca="1"/>
        <v>SIN FECHA</v>
      </c>
    </row>
    <row r="500" spans="1:7" x14ac:dyDescent="0.3">
      <c r="A500" s="89" t="str">
        <f ca="1"/>
        <v>MONTES DE OCA, EZEQUIEL NICOLAS</v>
      </c>
      <c r="B500" s="89" t="str">
        <f ca="1"/>
        <v>Control de Energias Peligrosas (LOTO) (Todos)</v>
      </c>
      <c r="C500" s="93">
        <f ca="1"/>
        <v>45827</v>
      </c>
      <c r="D500" s="89" t="str">
        <f ca="1"/>
        <v>Evento</v>
      </c>
      <c r="E500" s="89">
        <f ca="1"/>
        <v>0</v>
      </c>
      <c r="F500" s="89">
        <f ca="1"/>
        <v>1</v>
      </c>
      <c r="G500" s="89" t="str">
        <f ca="1"/>
        <v>VIGENTE</v>
      </c>
    </row>
    <row r="501" spans="1:7" x14ac:dyDescent="0.3">
      <c r="A501" s="89" t="str">
        <f ca="1"/>
        <v>MONTES DE OCA, EZEQUIEL NICOLAS</v>
      </c>
      <c r="B501" s="89" t="str">
        <f ca="1"/>
        <v>Control de Energias Peligrosas (LOTO) (Empleados Autorizados)</v>
      </c>
      <c r="C501" s="93">
        <f ca="1"/>
        <v>46026</v>
      </c>
      <c r="D501" s="89" t="str">
        <f ca="1"/>
        <v>Periódica</v>
      </c>
      <c r="E501" s="89">
        <f ca="1"/>
        <v>365</v>
      </c>
      <c r="F501" s="89">
        <f ca="1"/>
        <v>2</v>
      </c>
      <c r="G501" s="89" t="str">
        <f ca="1"/>
        <v>VIGENTE</v>
      </c>
    </row>
    <row r="502" spans="1:7" x14ac:dyDescent="0.3">
      <c r="A502" s="89" t="str">
        <f ca="1"/>
        <v>MONTES DE OCA, EZEQUIEL NICOLAS</v>
      </c>
      <c r="B502" s="89" t="str">
        <f ca="1"/>
        <v>Seguridad aplicada al Pozo &amp; Yacimiento</v>
      </c>
      <c r="C502" s="93" t="str">
        <f ca="1"/>
        <v/>
      </c>
      <c r="D502" s="89" t="str">
        <f ca="1"/>
        <v>Periódica</v>
      </c>
      <c r="E502" s="89">
        <f ca="1"/>
        <v>365</v>
      </c>
      <c r="F502" s="89">
        <f ca="1"/>
        <v>1</v>
      </c>
      <c r="G502" s="89" t="str">
        <f ca="1"/>
        <v>SIN FECHA</v>
      </c>
    </row>
    <row r="503" spans="1:7" x14ac:dyDescent="0.3">
      <c r="A503" s="89" t="str">
        <f ca="1"/>
        <v>MONTES DE OCA, EZEQUIEL NICOLAS</v>
      </c>
      <c r="B503" s="89" t="str">
        <f ca="1"/>
        <v>Las Reglas que Salvan Vidas</v>
      </c>
      <c r="C503" s="93" t="str">
        <f ca="1"/>
        <v/>
      </c>
      <c r="D503" s="89" t="str">
        <f ca="1"/>
        <v>Periódica</v>
      </c>
      <c r="E503" s="89">
        <f ca="1"/>
        <v>365</v>
      </c>
      <c r="F503" s="89">
        <f ca="1"/>
        <v>1</v>
      </c>
      <c r="G503" s="89" t="str">
        <f ca="1"/>
        <v>SIN FECHA</v>
      </c>
    </row>
    <row r="504" spans="1:7" x14ac:dyDescent="0.3">
      <c r="A504" s="89" t="str">
        <f ca="1"/>
        <v>MONTES DE OCA, EZEQUIEL NICOLAS</v>
      </c>
      <c r="B504" s="89" t="str">
        <f ca="1"/>
        <v xml:space="preserve">Resguardo de Maquinas &amp; Equipos </v>
      </c>
      <c r="C504" s="93" t="str">
        <f ca="1"/>
        <v/>
      </c>
      <c r="D504" s="89" t="str">
        <f ca="1"/>
        <v>Periódica</v>
      </c>
      <c r="E504" s="89">
        <f ca="1"/>
        <v>365</v>
      </c>
      <c r="F504" s="89">
        <f ca="1"/>
        <v>1</v>
      </c>
      <c r="G504" s="89" t="str">
        <f ca="1"/>
        <v>SIN FECHA</v>
      </c>
    </row>
    <row r="505" spans="1:7" x14ac:dyDescent="0.3">
      <c r="A505" s="89" t="str">
        <f ca="1"/>
        <v>MONTES DE OCA, EZEQUIEL NICOLAS</v>
      </c>
      <c r="B505" s="89" t="str">
        <f ca="1"/>
        <v>Conduccion y Gestion de Viajes (Todos)</v>
      </c>
      <c r="C505" s="93">
        <f ca="1"/>
        <v>45770</v>
      </c>
      <c r="D505" s="89" t="str">
        <f ca="1"/>
        <v>Periódica</v>
      </c>
      <c r="E505" s="89">
        <f ca="1"/>
        <v>730</v>
      </c>
      <c r="F505" s="89">
        <f ca="1"/>
        <v>1</v>
      </c>
      <c r="G505" s="89" t="str">
        <f ca="1"/>
        <v>VIGENTE</v>
      </c>
    </row>
    <row r="506" spans="1:7" x14ac:dyDescent="0.3">
      <c r="A506" s="89" t="str">
        <f ca="1"/>
        <v>MONTES DE OCA, EZEQUIEL NICOLAS</v>
      </c>
      <c r="B506" s="89" t="str">
        <f ca="1"/>
        <v>Conduccion y Gestion de Viajes (Conductores)</v>
      </c>
      <c r="C506" s="93">
        <f ca="1"/>
        <v>46361</v>
      </c>
      <c r="D506" s="89" t="str">
        <f ca="1"/>
        <v>Periódica</v>
      </c>
      <c r="E506" s="89">
        <f ca="1"/>
        <v>1095</v>
      </c>
      <c r="F506" s="89">
        <f ca="1"/>
        <v>5</v>
      </c>
      <c r="G506" s="89" t="str">
        <f ca="1"/>
        <v>VIGENTE</v>
      </c>
    </row>
    <row r="507" spans="1:7" x14ac:dyDescent="0.3">
      <c r="A507" s="89" t="str">
        <f ca="1"/>
        <v>MONTES DE OCA, EZEQUIEL NICOLAS</v>
      </c>
      <c r="B507" s="89" t="str">
        <f ca="1"/>
        <v>Patogenos Transmitidos por la Sangre</v>
      </c>
      <c r="C507" s="93" t="str">
        <f ca="1"/>
        <v/>
      </c>
      <c r="D507" s="89" t="str">
        <f ca="1"/>
        <v>Periódica</v>
      </c>
      <c r="E507" s="89">
        <f ca="1"/>
        <v>365</v>
      </c>
      <c r="F507" s="89">
        <f ca="1"/>
        <v>1</v>
      </c>
      <c r="G507" s="89" t="str">
        <f ca="1"/>
        <v>SIN FECHA</v>
      </c>
    </row>
    <row r="508" spans="1:7" x14ac:dyDescent="0.3">
      <c r="A508" s="89" t="str">
        <f ca="1"/>
        <v>MONTES DE OCA, EZEQUIEL NICOLAS</v>
      </c>
      <c r="B508" s="89" t="str">
        <f ca="1"/>
        <v>Conservacion Auditiva</v>
      </c>
      <c r="C508" s="93" t="str">
        <f ca="1"/>
        <v/>
      </c>
      <c r="D508" s="89" t="str">
        <f ca="1"/>
        <v>Periódica</v>
      </c>
      <c r="E508" s="89">
        <f ca="1"/>
        <v>365</v>
      </c>
      <c r="F508" s="89">
        <f ca="1"/>
        <v>1</v>
      </c>
      <c r="G508" s="89" t="str">
        <f ca="1"/>
        <v>SIN FECHA</v>
      </c>
    </row>
    <row r="509" spans="1:7" x14ac:dyDescent="0.3">
      <c r="A509" s="89" t="str">
        <f ca="1"/>
        <v>MONTES DE OCA, EZEQUIEL NICOLAS</v>
      </c>
      <c r="B509" s="89" t="str">
        <f ca="1"/>
        <v xml:space="preserve">Ergonomia //  / Levantamiento &amp; Seguridad en la Espalda </v>
      </c>
      <c r="C509" s="93">
        <f ca="1"/>
        <v>46008</v>
      </c>
      <c r="D509" s="89" t="str">
        <f ca="1"/>
        <v>Periódica</v>
      </c>
      <c r="E509" s="89">
        <f ca="1"/>
        <v>365</v>
      </c>
      <c r="F509" s="89">
        <f ca="1"/>
        <v>1</v>
      </c>
      <c r="G509" s="89" t="str">
        <f ca="1"/>
        <v>VIGENTE</v>
      </c>
    </row>
    <row r="510" spans="1:7" x14ac:dyDescent="0.3">
      <c r="A510" s="89" t="str">
        <f ca="1"/>
        <v>MONTES DE OCA, EZEQUIEL NICOLAS</v>
      </c>
      <c r="B510" s="89" t="str">
        <f ca="1"/>
        <v>Superficies Elevadas (Todos)</v>
      </c>
      <c r="C510" s="93">
        <f ca="1"/>
        <v>46017</v>
      </c>
      <c r="D510" s="89" t="str">
        <f ca="1"/>
        <v>Periódica</v>
      </c>
      <c r="E510" s="89">
        <f ca="1"/>
        <v>365</v>
      </c>
      <c r="F510" s="89">
        <f ca="1"/>
        <v>1</v>
      </c>
      <c r="G510" s="89" t="str">
        <f ca="1"/>
        <v>VIGENTE</v>
      </c>
    </row>
    <row r="511" spans="1:7" x14ac:dyDescent="0.3">
      <c r="A511" s="89" t="str">
        <f ca="1"/>
        <v>MONTES DE OCA, EZEQUIEL NICOLAS</v>
      </c>
      <c r="B511" s="89" t="str">
        <f ca="1"/>
        <v>Superficies Elevadas (Personal Habilitado)</v>
      </c>
      <c r="C511" s="93" t="str">
        <f ca="1"/>
        <v/>
      </c>
      <c r="D511" s="89" t="str">
        <f ca="1"/>
        <v>Periódica</v>
      </c>
      <c r="E511" s="89">
        <f ca="1"/>
        <v>365</v>
      </c>
      <c r="F511" s="89">
        <f ca="1"/>
        <v>8</v>
      </c>
      <c r="G511" s="89" t="str">
        <f ca="1"/>
        <v>SIN FECHA</v>
      </c>
    </row>
    <row r="512" spans="1:7" x14ac:dyDescent="0.3">
      <c r="A512" s="89" t="str">
        <f ca="1"/>
        <v>MONTES DE OCA, EZEQUIEL NICOLAS</v>
      </c>
      <c r="B512" s="89" t="str">
        <f ca="1"/>
        <v>Seguridad Quimica (Todos)</v>
      </c>
      <c r="C512" s="93">
        <f ca="1"/>
        <v>46017</v>
      </c>
      <c r="D512" s="89" t="str">
        <f ca="1"/>
        <v>Periódica</v>
      </c>
      <c r="E512" s="89">
        <f ca="1"/>
        <v>730</v>
      </c>
      <c r="F512" s="89">
        <f ca="1"/>
        <v>1</v>
      </c>
      <c r="G512" s="89" t="str">
        <f ca="1"/>
        <v>VIGENTE</v>
      </c>
    </row>
    <row r="513" spans="1:7" x14ac:dyDescent="0.3">
      <c r="A513" s="89" t="str">
        <f ca="1"/>
        <v>MONTES DE OCA, EZEQUIEL NICOLAS</v>
      </c>
      <c r="B513" s="89" t="str">
        <f ca="1"/>
        <v>Seguridad Quimica (Mantenimiento)</v>
      </c>
      <c r="C513" s="93" t="str">
        <f ca="1"/>
        <v/>
      </c>
      <c r="D513" s="89" t="str">
        <f ca="1"/>
        <v>Periódica</v>
      </c>
      <c r="E513" s="89">
        <f ca="1"/>
        <v>365</v>
      </c>
      <c r="F513" s="89">
        <f ca="1"/>
        <v>1</v>
      </c>
      <c r="G513" s="89" t="str">
        <f ca="1"/>
        <v>SIN FECHA</v>
      </c>
    </row>
    <row r="514" spans="1:7" x14ac:dyDescent="0.3">
      <c r="A514" s="89" t="str">
        <f ca="1"/>
        <v>MONTES DE OCA, EZEQUIEL NICOLAS</v>
      </c>
      <c r="B514" s="89" t="str">
        <f ca="1"/>
        <v>Seguridad Quimica (Contratistas)</v>
      </c>
      <c r="C514" s="93" t="str">
        <f ca="1"/>
        <v/>
      </c>
      <c r="D514" s="89" t="str">
        <f ca="1"/>
        <v>Periódica</v>
      </c>
      <c r="E514" s="89">
        <f ca="1"/>
        <v>365</v>
      </c>
      <c r="F514" s="89">
        <f ca="1"/>
        <v>1</v>
      </c>
      <c r="G514" s="89" t="str">
        <f ca="1"/>
        <v>SIN FECHA</v>
      </c>
    </row>
    <row r="515" spans="1:7" x14ac:dyDescent="0.3">
      <c r="A515" s="89" t="str">
        <f ca="1"/>
        <v>MONTES DE OCA, EZEQUIEL NICOLAS</v>
      </c>
      <c r="B515" s="89" t="str">
        <f ca="1"/>
        <v>Seguridad para Trabajos en Caliente</v>
      </c>
      <c r="C515" s="93">
        <f ca="1"/>
        <v>45835</v>
      </c>
      <c r="D515" s="89" t="str">
        <f ca="1"/>
        <v>Periódica</v>
      </c>
      <c r="E515" s="89">
        <f ca="1"/>
        <v>365</v>
      </c>
      <c r="F515" s="89">
        <f ca="1"/>
        <v>1</v>
      </c>
      <c r="G515" s="89" t="str">
        <f ca="1"/>
        <v>VENCIDA</v>
      </c>
    </row>
    <row r="516" spans="1:7" x14ac:dyDescent="0.3">
      <c r="A516" s="89" t="str">
        <f ca="1"/>
        <v>MONTES DE OCA, EZEQUIEL NICOLAS</v>
      </c>
      <c r="B516" s="89" t="str">
        <f ca="1"/>
        <v>Seguridad con la Radiacion</v>
      </c>
      <c r="C516" s="93">
        <f ca="1"/>
        <v>46026</v>
      </c>
      <c r="D516" s="89" t="str">
        <f ca="1"/>
        <v>Periódica</v>
      </c>
      <c r="E516" s="89">
        <f ca="1"/>
        <v>365</v>
      </c>
      <c r="F516" s="89">
        <f ca="1"/>
        <v>2</v>
      </c>
      <c r="G516" s="89" t="str">
        <f ca="1"/>
        <v>VIGENTE</v>
      </c>
    </row>
    <row r="517" spans="1:7" x14ac:dyDescent="0.3">
      <c r="A517" s="89" t="str">
        <f ca="1"/>
        <v>MONTES DE OCA, EZEQUIEL NICOLAS</v>
      </c>
      <c r="B517" s="89" t="str">
        <f ca="1"/>
        <v>Equipo de Proteccion Personal (PPE)</v>
      </c>
      <c r="C517" s="93">
        <f ca="1"/>
        <v>46017</v>
      </c>
      <c r="D517" s="89" t="str">
        <f ca="1"/>
        <v>Periódica</v>
      </c>
      <c r="E517" s="89">
        <f ca="1"/>
        <v>365</v>
      </c>
      <c r="F517" s="89">
        <f ca="1"/>
        <v>1</v>
      </c>
      <c r="G517" s="89" t="str">
        <f ca="1"/>
        <v>VIGENTE</v>
      </c>
    </row>
    <row r="518" spans="1:7" x14ac:dyDescent="0.3">
      <c r="A518" s="89" t="str">
        <f ca="1"/>
        <v>MONTES DE OCA, EZEQUIEL NICOLAS</v>
      </c>
      <c r="B518" s="89" t="str">
        <f ca="1"/>
        <v>Proteccion Respiratoria</v>
      </c>
      <c r="C518" s="93" t="str">
        <f ca="1"/>
        <v/>
      </c>
      <c r="D518" s="89" t="str">
        <f ca="1"/>
        <v>Periódica</v>
      </c>
      <c r="E518" s="89">
        <f ca="1"/>
        <v>365</v>
      </c>
      <c r="F518" s="89">
        <f ca="1"/>
        <v>1</v>
      </c>
      <c r="G518" s="89" t="str">
        <f ca="1"/>
        <v>SIN FECHA</v>
      </c>
    </row>
    <row r="519" spans="1:7" x14ac:dyDescent="0.3">
      <c r="A519" s="89" t="str">
        <f ca="1"/>
        <v>MONTES DE OCA, EZEQUIEL NICOLAS</v>
      </c>
      <c r="B519" s="89" t="str">
        <f ca="1"/>
        <v xml:space="preserve">Seguridad con Escaleras </v>
      </c>
      <c r="C519" s="93">
        <f ca="1"/>
        <v>46017</v>
      </c>
      <c r="D519" s="89" t="str">
        <f ca="1"/>
        <v>Periódica</v>
      </c>
      <c r="E519" s="89">
        <f ca="1"/>
        <v>365</v>
      </c>
      <c r="F519" s="89">
        <f ca="1"/>
        <v>1</v>
      </c>
      <c r="G519" s="89" t="str">
        <f ca="1"/>
        <v>VIGENTE</v>
      </c>
    </row>
    <row r="520" spans="1:7" x14ac:dyDescent="0.3">
      <c r="A520" s="89" t="str">
        <f ca="1"/>
        <v>MONTES DE OCA, EZEQUIEL NICOLAS</v>
      </c>
      <c r="B520" s="89" t="str">
        <f ca="1"/>
        <v>Seguridad con Escaleras // Estantes de Almacenamiento</v>
      </c>
      <c r="C520" s="93" t="str">
        <f ca="1"/>
        <v/>
      </c>
      <c r="D520" s="89" t="str">
        <f ca="1"/>
        <v>Periódica</v>
      </c>
      <c r="E520" s="89">
        <f ca="1"/>
        <v>365</v>
      </c>
      <c r="F520" s="89">
        <f ca="1"/>
        <v>1</v>
      </c>
      <c r="G520" s="89" t="str">
        <f ca="1"/>
        <v>SIN FECHA</v>
      </c>
    </row>
    <row r="521" spans="1:7" x14ac:dyDescent="0.3">
      <c r="A521" s="89" t="str">
        <f ca="1"/>
        <v>MONTES DE OCA, EZEQUIEL NICOLAS</v>
      </c>
      <c r="B521" s="89" t="str">
        <f ca="1"/>
        <v>Responsabilidades del Supervisor</v>
      </c>
      <c r="C521" s="93" t="str">
        <f ca="1"/>
        <v/>
      </c>
      <c r="D521" s="89" t="str">
        <f ca="1"/>
        <v>Periódica</v>
      </c>
      <c r="E521" s="89">
        <f ca="1"/>
        <v>365</v>
      </c>
      <c r="F521" s="89">
        <f ca="1"/>
        <v>1</v>
      </c>
      <c r="G521" s="89" t="str">
        <f ca="1"/>
        <v>SIN FECHA</v>
      </c>
    </row>
    <row r="522" spans="1:7" x14ac:dyDescent="0.3">
      <c r="A522" s="89" t="str">
        <f ca="1"/>
        <v>MONTES DE OCA, EZEQUIEL NICOLAS</v>
      </c>
      <c r="B522" s="89" t="str">
        <f ca="1"/>
        <v>Espacios Confinados (Todos)</v>
      </c>
      <c r="C522" s="93" t="str">
        <f ca="1"/>
        <v/>
      </c>
      <c r="D522" s="89" t="str">
        <f ca="1"/>
        <v>Periódica</v>
      </c>
      <c r="E522" s="89">
        <f ca="1"/>
        <v>365</v>
      </c>
      <c r="F522" s="89">
        <f ca="1"/>
        <v>1</v>
      </c>
      <c r="G522" s="89" t="str">
        <f ca="1"/>
        <v>SIN FECHA</v>
      </c>
    </row>
    <row r="523" spans="1:7" x14ac:dyDescent="0.3">
      <c r="A523" s="89" t="str">
        <f ca="1"/>
        <v>MONTES DE OCA, EZEQUIEL NICOLAS</v>
      </c>
      <c r="B523" s="89" t="str">
        <f ca="1"/>
        <v>HSMS.017 / Espacios Confinados (Entrantes)</v>
      </c>
      <c r="C523" s="93" t="str">
        <f ca="1"/>
        <v/>
      </c>
      <c r="D523" s="89" t="str">
        <f ca="1"/>
        <v>Evento</v>
      </c>
      <c r="E523" s="89">
        <f ca="1"/>
        <v>0</v>
      </c>
      <c r="F523" s="89">
        <f ca="1"/>
        <v>8</v>
      </c>
      <c r="G523" s="89" t="str">
        <f ca="1"/>
        <v>SIN FECHA</v>
      </c>
    </row>
    <row r="524" spans="1:7" x14ac:dyDescent="0.3">
      <c r="A524" s="89" t="str">
        <f ca="1"/>
        <v>MONTES DE OCA, EZEQUIEL NICOLAS</v>
      </c>
      <c r="B524" s="89" t="str">
        <f ca="1"/>
        <v>Programa de Agua (Todos)</v>
      </c>
      <c r="C524" s="93">
        <f ca="1"/>
        <v>46134</v>
      </c>
      <c r="D524" s="89" t="str">
        <f ca="1"/>
        <v>Evento</v>
      </c>
      <c r="E524" s="89">
        <f ca="1"/>
        <v>0</v>
      </c>
      <c r="F524" s="89">
        <f ca="1"/>
        <v>1</v>
      </c>
      <c r="G524" s="89" t="str">
        <f ca="1"/>
        <v>VIGENTE</v>
      </c>
    </row>
    <row r="525" spans="1:7" x14ac:dyDescent="0.3">
      <c r="A525" s="89" t="str">
        <f ca="1"/>
        <v>MONTES DE OCA, EZEQUIEL NICOLAS</v>
      </c>
      <c r="B525" s="89" t="str">
        <f ca="1"/>
        <v>Programa de Agua (HSE)</v>
      </c>
      <c r="C525" s="93" t="str">
        <f ca="1"/>
        <v/>
      </c>
      <c r="D525" s="89" t="str">
        <f ca="1"/>
        <v>Evento</v>
      </c>
      <c r="E525" s="89">
        <f ca="1"/>
        <v>0</v>
      </c>
      <c r="F525" s="89">
        <f ca="1"/>
        <v>1</v>
      </c>
      <c r="G525" s="89" t="str">
        <f ca="1"/>
        <v>SIN FECHA</v>
      </c>
    </row>
    <row r="526" spans="1:7" x14ac:dyDescent="0.3">
      <c r="A526" s="89" t="str">
        <f ca="1"/>
        <v>MONTES DE OCA, EZEQUIEL NICOLAS</v>
      </c>
      <c r="B526" s="89" t="str">
        <f ca="1"/>
        <v>HIV/SIDA y otras enfermedades de transmisión sexual (ETS)</v>
      </c>
      <c r="C526" s="93" t="str">
        <f ca="1"/>
        <v/>
      </c>
      <c r="D526" s="89" t="str">
        <f ca="1"/>
        <v>Periódica</v>
      </c>
      <c r="E526" s="89">
        <f ca="1"/>
        <v>365</v>
      </c>
      <c r="F526" s="89">
        <f ca="1"/>
        <v>1</v>
      </c>
      <c r="G526" s="89" t="str">
        <f ca="1"/>
        <v>SIN FECHA</v>
      </c>
    </row>
    <row r="527" spans="1:7" x14ac:dyDescent="0.3">
      <c r="A527" s="89" t="str">
        <f ca="1"/>
        <v>MONTES DE OCA, EZEQUIEL NICOLAS</v>
      </c>
      <c r="B527" s="89" t="str">
        <f ca="1"/>
        <v>Drogas de abuso (concientización y prevención)</v>
      </c>
      <c r="C527" s="93" t="str">
        <f ca="1"/>
        <v/>
      </c>
      <c r="D527" s="89" t="str">
        <f ca="1"/>
        <v>Periódica</v>
      </c>
      <c r="E527" s="89">
        <f ca="1"/>
        <v>365</v>
      </c>
      <c r="F527" s="89">
        <f ca="1"/>
        <v>1</v>
      </c>
      <c r="G527" s="89" t="str">
        <f ca="1"/>
        <v>SIN FECHA</v>
      </c>
    </row>
    <row r="528" spans="1:7" x14ac:dyDescent="0.3">
      <c r="A528" s="89" t="str">
        <f ca="1"/>
        <v>MONTES DE OCA, EZEQUIEL NICOLAS</v>
      </c>
      <c r="B528" s="89" t="str">
        <f ca="1"/>
        <v>Vida saludable (hábitos, autocuidado y bienestar)</v>
      </c>
      <c r="C528" s="93" t="str">
        <f ca="1"/>
        <v/>
      </c>
      <c r="D528" s="89" t="str">
        <f ca="1"/>
        <v>Periódica</v>
      </c>
      <c r="E528" s="89">
        <f ca="1"/>
        <v>365</v>
      </c>
      <c r="F528" s="89">
        <f ca="1"/>
        <v>1</v>
      </c>
      <c r="G528" s="89" t="str">
        <f ca="1"/>
        <v>SIN FECHA</v>
      </c>
    </row>
    <row r="529" spans="1:7" x14ac:dyDescent="0.3">
      <c r="A529" s="89" t="str">
        <f ca="1"/>
        <v>MONTES DE OCA, EZEQUIEL NICOLAS</v>
      </c>
      <c r="B529" s="89" t="str">
        <f ca="1"/>
        <v>Primeros auxilios y Reanimación Cardio Pulmonar (RCP)</v>
      </c>
      <c r="C529" s="93" t="str">
        <f ca="1"/>
        <v/>
      </c>
      <c r="D529" s="89" t="str">
        <f ca="1"/>
        <v>Periódica</v>
      </c>
      <c r="E529" s="89">
        <f ca="1"/>
        <v>365</v>
      </c>
      <c r="F529" s="89">
        <f ca="1"/>
        <v>4</v>
      </c>
      <c r="G529" s="89" t="str">
        <f ca="1"/>
        <v>SIN FECHA</v>
      </c>
    </row>
    <row r="530" spans="1:7" x14ac:dyDescent="0.3">
      <c r="A530" s="89" t="str">
        <f ca="1"/>
        <v>MONTES DE OCA, EZEQUIEL NICOLAS</v>
      </c>
      <c r="B530" s="89" t="str">
        <f ca="1"/>
        <v>Prevención cardiovascular (factores de riesgo y señales de alarma)</v>
      </c>
      <c r="C530" s="93" t="str">
        <f ca="1"/>
        <v/>
      </c>
      <c r="D530" s="89" t="str">
        <f ca="1"/>
        <v>Periódica</v>
      </c>
      <c r="E530" s="89">
        <f ca="1"/>
        <v>365</v>
      </c>
      <c r="F530" s="89">
        <f ca="1"/>
        <v>1</v>
      </c>
      <c r="G530" s="89" t="str">
        <f ca="1"/>
        <v>SIN FECHA</v>
      </c>
    </row>
    <row r="531" spans="1:7" x14ac:dyDescent="0.3">
      <c r="A531" s="89" t="str">
        <f ca="1"/>
        <v>MONTES DE OCA, EZEQUIEL NICOLAS</v>
      </c>
      <c r="B531" s="89" t="str">
        <f ca="1"/>
        <v>Efectos del tabaco sobre la salud</v>
      </c>
      <c r="C531" s="93" t="str">
        <f ca="1"/>
        <v/>
      </c>
      <c r="D531" s="89" t="str">
        <f ca="1"/>
        <v>Periódica</v>
      </c>
      <c r="E531" s="89">
        <f ca="1"/>
        <v>365</v>
      </c>
      <c r="F531" s="89">
        <f ca="1"/>
        <v>1</v>
      </c>
      <c r="G531" s="89" t="str">
        <f ca="1"/>
        <v>SIN FECHA</v>
      </c>
    </row>
    <row r="532" spans="1:7" x14ac:dyDescent="0.3">
      <c r="A532" s="89" t="str">
        <f ca="1"/>
        <v>MONTES DE OCA, EZEQUIEL NICOLAS</v>
      </c>
      <c r="B532" s="89" t="str">
        <f ca="1"/>
        <v>Cargadora (Op. Montacargas)</v>
      </c>
      <c r="C532" s="93" t="str">
        <f ca="1"/>
        <v/>
      </c>
      <c r="D532" s="89" t="str">
        <f ca="1"/>
        <v>Periódica</v>
      </c>
      <c r="E532" s="89">
        <f ca="1"/>
        <v>365</v>
      </c>
      <c r="F532" s="89">
        <f ca="1"/>
        <v>8</v>
      </c>
      <c r="G532" s="89" t="str">
        <f ca="1"/>
        <v>SIN FECHA</v>
      </c>
    </row>
    <row r="533" spans="1:7" x14ac:dyDescent="0.3">
      <c r="A533" s="89" t="str">
        <f ca="1"/>
        <v>MONTES DE OCA, EZEQUIEL NICOLAS</v>
      </c>
      <c r="B533" s="89">
        <f ca="1"/>
        <v>0</v>
      </c>
      <c r="C533" s="93" t="str">
        <f ca="1"/>
        <v/>
      </c>
      <c r="D533" s="89" t="str">
        <f ca="1"/>
        <v/>
      </c>
      <c r="E533" s="89" t="str">
        <f ca="1"/>
        <v/>
      </c>
      <c r="F533" s="89" t="str">
        <f ca="1"/>
        <v/>
      </c>
      <c r="G533" s="89" t="str">
        <f ca="1"/>
        <v>SIN FECHA</v>
      </c>
    </row>
    <row r="534" spans="1:7" x14ac:dyDescent="0.3">
      <c r="A534" s="89" t="str">
        <f ca="1"/>
        <v>MONTES DE OCA, EZEQUIEL NICOLAS</v>
      </c>
      <c r="B534" s="89">
        <f ca="1"/>
        <v>0</v>
      </c>
      <c r="C534" s="93" t="str">
        <f ca="1"/>
        <v/>
      </c>
      <c r="D534" s="89" t="str">
        <f ca="1"/>
        <v/>
      </c>
      <c r="E534" s="89" t="str">
        <f ca="1"/>
        <v/>
      </c>
      <c r="F534" s="89" t="str">
        <f ca="1"/>
        <v/>
      </c>
      <c r="G534" s="89" t="str">
        <f ca="1"/>
        <v>SIN FECHA</v>
      </c>
    </row>
    <row r="535" spans="1:7" x14ac:dyDescent="0.3">
      <c r="A535" s="89" t="str">
        <f ca="1"/>
        <v>MONTES DE OCA, EZEQUIEL NICOLAS</v>
      </c>
      <c r="B535" s="89">
        <f ca="1"/>
        <v>0</v>
      </c>
      <c r="C535" s="93" t="str">
        <f ca="1"/>
        <v/>
      </c>
      <c r="D535" s="89" t="str">
        <f ca="1"/>
        <v/>
      </c>
      <c r="E535" s="89" t="str">
        <f ca="1"/>
        <v/>
      </c>
      <c r="F535" s="89" t="str">
        <f ca="1"/>
        <v/>
      </c>
      <c r="G535" s="89" t="str">
        <f ca="1"/>
        <v>SIN FECHA</v>
      </c>
    </row>
    <row r="536" spans="1:7" x14ac:dyDescent="0.3">
      <c r="A536" s="89" t="str">
        <f ca="1"/>
        <v>MONTES DE OCA, EZEQUIEL NICOLAS</v>
      </c>
      <c r="B536" s="89">
        <f ca="1"/>
        <v>0</v>
      </c>
      <c r="C536" s="93" t="str">
        <f ca="1"/>
        <v/>
      </c>
      <c r="D536" s="89" t="str">
        <f ca="1"/>
        <v/>
      </c>
      <c r="E536" s="89" t="str">
        <f ca="1"/>
        <v/>
      </c>
      <c r="F536" s="89" t="str">
        <f ca="1"/>
        <v/>
      </c>
      <c r="G536" s="89" t="str">
        <f ca="1"/>
        <v>SIN FECHA</v>
      </c>
    </row>
    <row r="537" spans="1:7" x14ac:dyDescent="0.3">
      <c r="A537" s="89" t="str">
        <f ca="1"/>
        <v>MONTES DE OCA, EZEQUIEL NICOLAS</v>
      </c>
      <c r="B537" s="89">
        <f ca="1"/>
        <v>0</v>
      </c>
      <c r="C537" s="93" t="str">
        <f ca="1"/>
        <v/>
      </c>
      <c r="D537" s="89" t="str">
        <f ca="1"/>
        <v/>
      </c>
      <c r="E537" s="89" t="str">
        <f ca="1"/>
        <v/>
      </c>
      <c r="F537" s="89" t="str">
        <f ca="1"/>
        <v/>
      </c>
      <c r="G537" s="89" t="str">
        <f ca="1"/>
        <v>SIN FECHA</v>
      </c>
    </row>
    <row r="538" spans="1:7" x14ac:dyDescent="0.3">
      <c r="A538" s="89" t="str">
        <f ca="1"/>
        <v>MONTES DE OCA, EZEQUIEL NICOLAS</v>
      </c>
      <c r="B538" s="89">
        <f ca="1"/>
        <v>0</v>
      </c>
      <c r="C538" s="93" t="str">
        <f ca="1"/>
        <v/>
      </c>
      <c r="D538" s="89" t="str">
        <f ca="1"/>
        <v/>
      </c>
      <c r="E538" s="89" t="str">
        <f ca="1"/>
        <v/>
      </c>
      <c r="F538" s="89" t="str">
        <f ca="1"/>
        <v/>
      </c>
      <c r="G538" s="89" t="str">
        <f ca="1"/>
        <v>SIN FECHA</v>
      </c>
    </row>
    <row r="539" spans="1:7" x14ac:dyDescent="0.3">
      <c r="A539" s="89" t="str">
        <f ca="1"/>
        <v>MONTES DE OCA, EZEQUIEL NICOLAS</v>
      </c>
      <c r="B539" s="89">
        <f ca="1"/>
        <v>0</v>
      </c>
      <c r="C539" s="93" t="str">
        <f ca="1"/>
        <v/>
      </c>
      <c r="D539" s="89" t="str">
        <f ca="1"/>
        <v/>
      </c>
      <c r="E539" s="89" t="str">
        <f ca="1"/>
        <v/>
      </c>
      <c r="F539" s="89" t="str">
        <f ca="1"/>
        <v/>
      </c>
      <c r="G539" s="89" t="str">
        <f ca="1"/>
        <v>SIN FECHA</v>
      </c>
    </row>
    <row r="540" spans="1:7" x14ac:dyDescent="0.3">
      <c r="A540" s="89" t="str">
        <f ca="1"/>
        <v>MONTES DE OCA, EZEQUIEL NICOLAS</v>
      </c>
      <c r="B540" s="89">
        <f ca="1"/>
        <v>0</v>
      </c>
      <c r="C540" s="93" t="str">
        <f ca="1"/>
        <v/>
      </c>
      <c r="D540" s="89" t="str">
        <f ca="1"/>
        <v/>
      </c>
      <c r="E540" s="89" t="str">
        <f ca="1"/>
        <v/>
      </c>
      <c r="F540" s="89" t="str">
        <f ca="1"/>
        <v/>
      </c>
      <c r="G540" s="89" t="str">
        <f ca="1"/>
        <v>SIN FECHA</v>
      </c>
    </row>
    <row r="541" spans="1:7" x14ac:dyDescent="0.3">
      <c r="A541" s="89" t="str">
        <f ca="1"/>
        <v>MONTES DE OCA, EZEQUIEL NICOLAS</v>
      </c>
      <c r="B541" s="89">
        <f ca="1"/>
        <v>0</v>
      </c>
      <c r="C541" s="93" t="str">
        <f ca="1"/>
        <v/>
      </c>
      <c r="D541" s="89" t="str">
        <f ca="1"/>
        <v/>
      </c>
      <c r="E541" s="89" t="str">
        <f ca="1"/>
        <v/>
      </c>
      <c r="F541" s="89" t="str">
        <f ca="1"/>
        <v/>
      </c>
      <c r="G541" s="89" t="str">
        <f ca="1"/>
        <v>SIN FECHA</v>
      </c>
    </row>
    <row r="542" spans="1:7" x14ac:dyDescent="0.3">
      <c r="A542" s="89" t="str">
        <f ca="1"/>
        <v>NICKELS, BRAIAN MICHEL</v>
      </c>
      <c r="B542" s="89" t="str">
        <f ca="1"/>
        <v>Programa de Aire</v>
      </c>
      <c r="C542" s="93" t="str">
        <f ca="1"/>
        <v/>
      </c>
      <c r="D542" s="89" t="str">
        <f ca="1"/>
        <v>Evento</v>
      </c>
      <c r="E542" s="89">
        <f ca="1"/>
        <v>0</v>
      </c>
      <c r="F542" s="89">
        <f ca="1"/>
        <v>1</v>
      </c>
      <c r="G542" s="89" t="str">
        <f ca="1"/>
        <v>SIN FECHA</v>
      </c>
    </row>
    <row r="543" spans="1:7" x14ac:dyDescent="0.3">
      <c r="A543" s="89" t="str">
        <f ca="1"/>
        <v>NICKELS, BRAIAN MICHEL</v>
      </c>
      <c r="B543" s="89" t="str">
        <f ca="1"/>
        <v>Conciencia Ambiental</v>
      </c>
      <c r="C543" s="93">
        <f ca="1"/>
        <v>46163</v>
      </c>
      <c r="D543" s="89" t="str">
        <f ca="1"/>
        <v>Periódica</v>
      </c>
      <c r="E543" s="89">
        <f ca="1"/>
        <v>365</v>
      </c>
      <c r="F543" s="89">
        <f ca="1"/>
        <v>1</v>
      </c>
      <c r="G543" s="89" t="str">
        <f ca="1"/>
        <v>VIGENTE</v>
      </c>
    </row>
    <row r="544" spans="1:7" x14ac:dyDescent="0.3">
      <c r="A544" s="89" t="str">
        <f ca="1"/>
        <v>NICKELS, BRAIAN MICHEL</v>
      </c>
      <c r="B544" s="89" t="str">
        <f ca="1"/>
        <v xml:space="preserve">Control de Documentos e Informacion de HSE </v>
      </c>
      <c r="C544" s="93" t="str">
        <f ca="1"/>
        <v/>
      </c>
      <c r="D544" s="89" t="str">
        <f ca="1"/>
        <v>Evento</v>
      </c>
      <c r="E544" s="89">
        <f ca="1"/>
        <v>0</v>
      </c>
      <c r="F544" s="89">
        <f ca="1"/>
        <v>1</v>
      </c>
      <c r="G544" s="89" t="str">
        <f ca="1"/>
        <v>SIN FECHA</v>
      </c>
    </row>
    <row r="545" spans="1:7" x14ac:dyDescent="0.3">
      <c r="A545" s="89" t="str">
        <f ca="1"/>
        <v>NICKELS, BRAIAN MICHEL</v>
      </c>
      <c r="B545" s="89" t="str">
        <f ca="1"/>
        <v xml:space="preserve"> Acciones Correctivas y Preventivas (CAPA)</v>
      </c>
      <c r="C545" s="93" t="str">
        <f ca="1"/>
        <v/>
      </c>
      <c r="D545" s="89" t="str">
        <f ca="1"/>
        <v>Evento</v>
      </c>
      <c r="E545" s="89">
        <f ca="1"/>
        <v>0</v>
      </c>
      <c r="F545" s="89">
        <f ca="1"/>
        <v>1</v>
      </c>
      <c r="G545" s="89" t="str">
        <f ca="1"/>
        <v>SIN FECHA</v>
      </c>
    </row>
    <row r="546" spans="1:7" x14ac:dyDescent="0.3">
      <c r="A546" s="89" t="str">
        <f ca="1"/>
        <v>NICKELS, BRAIAN MICHEL</v>
      </c>
      <c r="B546" s="89" t="str">
        <f ca="1"/>
        <v>Seguridad Basada en el Comportamiento (Observation Program) // HSMS.043 / Autoridad de Detener el Trabajo</v>
      </c>
      <c r="C546" s="93">
        <f ca="1"/>
        <v>45664</v>
      </c>
      <c r="D546" s="89" t="str">
        <f ca="1"/>
        <v>Periódica</v>
      </c>
      <c r="E546" s="89">
        <f ca="1"/>
        <v>365</v>
      </c>
      <c r="F546" s="89">
        <f ca="1"/>
        <v>1</v>
      </c>
      <c r="G546" s="89" t="str">
        <f ca="1"/>
        <v>VENCIDA</v>
      </c>
    </row>
    <row r="547" spans="1:7" x14ac:dyDescent="0.3">
      <c r="A547" s="89" t="str">
        <f ca="1"/>
        <v>NICKELS, BRAIAN MICHEL</v>
      </c>
      <c r="B547" s="89" t="str">
        <f ca="1"/>
        <v>Identificacion de Peligros y Evaluacion de Riesgos</v>
      </c>
      <c r="C547" s="93">
        <f ca="1"/>
        <v>45967</v>
      </c>
      <c r="D547" s="89" t="str">
        <f ca="1"/>
        <v>Evento</v>
      </c>
      <c r="E547" s="89">
        <f ca="1"/>
        <v>0</v>
      </c>
      <c r="F547" s="89">
        <f ca="1"/>
        <v>1</v>
      </c>
      <c r="G547" s="89" t="str">
        <f ca="1"/>
        <v>VIGENTE</v>
      </c>
    </row>
    <row r="548" spans="1:7" x14ac:dyDescent="0.3">
      <c r="A548" s="89" t="str">
        <f ca="1"/>
        <v>NICKELS, BRAIAN MICHEL</v>
      </c>
      <c r="B548" s="89" t="str">
        <f ca="1"/>
        <v xml:space="preserve"> Plan de Respuesta ante Eemergencias / HSMS.010 /Primeros Axulios &amp; RCP/DEA / HSMSWT-002 / Patogenos Trasnmitidos por la Sangre</v>
      </c>
      <c r="C548" s="93" t="str">
        <f ca="1"/>
        <v/>
      </c>
      <c r="D548" s="89" t="str">
        <f ca="1"/>
        <v>Periódica</v>
      </c>
      <c r="E548" s="89">
        <f ca="1"/>
        <v>365</v>
      </c>
      <c r="F548" s="89">
        <f ca="1"/>
        <v>1</v>
      </c>
      <c r="G548" s="89" t="str">
        <f ca="1"/>
        <v>SIN FECHA</v>
      </c>
    </row>
    <row r="549" spans="1:7" x14ac:dyDescent="0.3">
      <c r="A549" s="89" t="str">
        <f ca="1"/>
        <v>NICKELS, BRAIAN MICHEL</v>
      </c>
      <c r="B549" s="89" t="str">
        <f ca="1"/>
        <v>Reporte y Gestion de Incidentes HSE (Todos)</v>
      </c>
      <c r="C549" s="93">
        <f ca="1"/>
        <v>46000</v>
      </c>
      <c r="D549" s="89" t="str">
        <f ca="1"/>
        <v>Periódica</v>
      </c>
      <c r="E549" s="89">
        <f ca="1"/>
        <v>365</v>
      </c>
      <c r="F549" s="89">
        <f ca="1"/>
        <v>1</v>
      </c>
      <c r="G549" s="89" t="str">
        <f ca="1"/>
        <v>VIGENTE</v>
      </c>
    </row>
    <row r="550" spans="1:7" x14ac:dyDescent="0.3">
      <c r="A550" s="89" t="str">
        <f ca="1"/>
        <v>NICKELS, BRAIAN MICHEL</v>
      </c>
      <c r="B550" s="89" t="str">
        <f ca="1"/>
        <v>Reporte, Gestion e Investigacion de Incidentes HSE (supervisores / investigadores (rol))</v>
      </c>
      <c r="C550" s="93" t="str">
        <f ca="1"/>
        <v/>
      </c>
      <c r="D550" s="89" t="str">
        <f ca="1"/>
        <v>Periódica</v>
      </c>
      <c r="E550" s="89">
        <f ca="1"/>
        <v>1095</v>
      </c>
      <c r="F550" s="89">
        <f ca="1"/>
        <v>2</v>
      </c>
      <c r="G550" s="89" t="str">
        <f ca="1"/>
        <v>SIN FECHA</v>
      </c>
    </row>
    <row r="551" spans="1:7" x14ac:dyDescent="0.3">
      <c r="A551" s="89" t="str">
        <f ca="1"/>
        <v>NICKELS, BRAIAN MICHEL</v>
      </c>
      <c r="B551" s="89" t="str">
        <f ca="1"/>
        <v>Gruas y Equipos de Izaje (Todos)</v>
      </c>
      <c r="C551" s="93" t="str">
        <f ca="1"/>
        <v/>
      </c>
      <c r="D551" s="89" t="str">
        <f ca="1"/>
        <v>Periódica</v>
      </c>
      <c r="E551" s="89">
        <f ca="1"/>
        <v>365</v>
      </c>
      <c r="F551" s="89">
        <f ca="1"/>
        <v>2</v>
      </c>
      <c r="G551" s="89" t="str">
        <f ca="1"/>
        <v>SIN FECHA</v>
      </c>
    </row>
    <row r="552" spans="1:7" x14ac:dyDescent="0.3">
      <c r="A552" s="89" t="str">
        <f ca="1"/>
        <v>NICKELS, BRAIAN MICHEL</v>
      </c>
      <c r="B552" s="89" t="str">
        <f ca="1"/>
        <v>HSMS.007 / Gruas y Equipos de Izaje (Operadores)</v>
      </c>
      <c r="C552" s="93" t="str">
        <f ca="1"/>
        <v/>
      </c>
      <c r="D552" s="89" t="str">
        <f ca="1"/>
        <v>Periódica</v>
      </c>
      <c r="E552" s="89">
        <f ca="1"/>
        <v>365</v>
      </c>
      <c r="F552" s="89">
        <f ca="1"/>
        <v>8</v>
      </c>
      <c r="G552" s="89" t="str">
        <f ca="1"/>
        <v>SIN FECHA</v>
      </c>
    </row>
    <row r="553" spans="1:7" x14ac:dyDescent="0.3">
      <c r="A553" s="89" t="str">
        <f ca="1"/>
        <v>NICKELS, BRAIAN MICHEL</v>
      </c>
      <c r="B553" s="89" t="str">
        <f ca="1"/>
        <v>Proteccion Contra Incendios (Todos)</v>
      </c>
      <c r="C553" s="93">
        <f ca="1"/>
        <v>45793</v>
      </c>
      <c r="D553" s="89" t="str">
        <f ca="1"/>
        <v>Periódica</v>
      </c>
      <c r="E553" s="89">
        <f ca="1"/>
        <v>365</v>
      </c>
      <c r="F553" s="89">
        <f ca="1"/>
        <v>1</v>
      </c>
      <c r="G553" s="89" t="str">
        <f ca="1"/>
        <v>VENCIDA</v>
      </c>
    </row>
    <row r="554" spans="1:7" x14ac:dyDescent="0.3">
      <c r="A554" s="89" t="str">
        <f ca="1"/>
        <v>NICKELS, BRAIAN MICHEL</v>
      </c>
      <c r="B554" s="89" t="str">
        <f ca="1"/>
        <v>Proteccion Contra Incendios (Brigadistas)</v>
      </c>
      <c r="C554" s="93" t="str">
        <f ca="1"/>
        <v/>
      </c>
      <c r="D554" s="89" t="str">
        <f ca="1"/>
        <v>Periódica</v>
      </c>
      <c r="E554" s="89">
        <f ca="1"/>
        <v>365</v>
      </c>
      <c r="F554" s="89">
        <f ca="1"/>
        <v>2</v>
      </c>
      <c r="G554" s="89" t="str">
        <f ca="1"/>
        <v>SIN FECHA</v>
      </c>
    </row>
    <row r="555" spans="1:7" x14ac:dyDescent="0.3">
      <c r="A555" s="89" t="str">
        <f ca="1"/>
        <v>NICKELS, BRAIAN MICHEL</v>
      </c>
      <c r="B555" s="89" t="str">
        <f ca="1"/>
        <v>Primeros Auxilios (Brigadistas)</v>
      </c>
      <c r="C555" s="93" t="str">
        <f ca="1"/>
        <v/>
      </c>
      <c r="D555" s="89" t="str">
        <f ca="1"/>
        <v>Periódica</v>
      </c>
      <c r="E555" s="89">
        <f ca="1"/>
        <v>365</v>
      </c>
      <c r="F555" s="89">
        <f ca="1"/>
        <v>2</v>
      </c>
      <c r="G555" s="89" t="str">
        <f ca="1"/>
        <v>SIN FECHA</v>
      </c>
    </row>
    <row r="556" spans="1:7" x14ac:dyDescent="0.3">
      <c r="A556" s="89" t="str">
        <f ca="1"/>
        <v>NICKELS, BRAIAN MICHEL</v>
      </c>
      <c r="B556" s="89" t="str">
        <f ca="1"/>
        <v>Seguridad Electrica (Todos)</v>
      </c>
      <c r="C556" s="93" t="str">
        <f ca="1"/>
        <v/>
      </c>
      <c r="D556" s="89" t="str">
        <f ca="1"/>
        <v>Periódica</v>
      </c>
      <c r="E556" s="89">
        <f ca="1"/>
        <v>365</v>
      </c>
      <c r="F556" s="89">
        <f ca="1"/>
        <v>1</v>
      </c>
      <c r="G556" s="89" t="str">
        <f ca="1"/>
        <v>SIN FECHA</v>
      </c>
    </row>
    <row r="557" spans="1:7" x14ac:dyDescent="0.3">
      <c r="A557" s="89" t="str">
        <f ca="1"/>
        <v>NICKELS, BRAIAN MICHEL</v>
      </c>
      <c r="B557" s="89" t="str">
        <f ca="1"/>
        <v>Seguridad Electrica (Personal Autorizado)</v>
      </c>
      <c r="C557" s="93" t="str">
        <f ca="1"/>
        <v/>
      </c>
      <c r="D557" s="89" t="str">
        <f ca="1"/>
        <v>Periódica</v>
      </c>
      <c r="E557" s="89">
        <f ca="1"/>
        <v>1095</v>
      </c>
      <c r="F557" s="89">
        <f ca="1"/>
        <v>4</v>
      </c>
      <c r="G557" s="89" t="str">
        <f ca="1"/>
        <v>SIN FECHA</v>
      </c>
    </row>
    <row r="558" spans="1:7" x14ac:dyDescent="0.3">
      <c r="A558" s="89" t="str">
        <f ca="1"/>
        <v>NICKELS, BRAIAN MICHEL</v>
      </c>
      <c r="B558" s="89" t="str">
        <f ca="1"/>
        <v>Camiones Industriales Motorizados (PIT) (Todos)</v>
      </c>
      <c r="C558" s="93" t="str">
        <f ca="1"/>
        <v/>
      </c>
      <c r="D558" s="89" t="str">
        <f ca="1"/>
        <v>Periódica</v>
      </c>
      <c r="E558" s="89">
        <f ca="1"/>
        <v>365</v>
      </c>
      <c r="F558" s="89">
        <f ca="1"/>
        <v>1</v>
      </c>
      <c r="G558" s="89" t="str">
        <f ca="1"/>
        <v>SIN FECHA</v>
      </c>
    </row>
    <row r="559" spans="1:7" x14ac:dyDescent="0.3">
      <c r="A559" s="89" t="str">
        <f ca="1"/>
        <v>NICKELS, BRAIAN MICHEL</v>
      </c>
      <c r="B559" s="89" t="str">
        <f ca="1"/>
        <v>Camiones Industriales Motorizados (PIT) (Op. Montacargas)</v>
      </c>
      <c r="C559" s="93" t="str">
        <f ca="1"/>
        <v/>
      </c>
      <c r="D559" s="89" t="str">
        <f ca="1"/>
        <v>Periódica</v>
      </c>
      <c r="E559" s="89">
        <f ca="1"/>
        <v>365</v>
      </c>
      <c r="F559" s="89">
        <f ca="1"/>
        <v>8</v>
      </c>
      <c r="G559" s="89" t="str">
        <f ca="1"/>
        <v>SIN FECHA</v>
      </c>
    </row>
    <row r="560" spans="1:7" x14ac:dyDescent="0.3">
      <c r="A560" s="89" t="str">
        <f ca="1"/>
        <v>NICKELS, BRAIAN MICHEL</v>
      </c>
      <c r="B560" s="89" t="str">
        <f ca="1"/>
        <v>Control de Energias Peligrosas (LOTO) (Todos)</v>
      </c>
      <c r="C560" s="93">
        <f ca="1"/>
        <v>45707</v>
      </c>
      <c r="D560" s="89" t="str">
        <f ca="1"/>
        <v>Evento</v>
      </c>
      <c r="E560" s="89">
        <f ca="1"/>
        <v>0</v>
      </c>
      <c r="F560" s="89">
        <f ca="1"/>
        <v>1</v>
      </c>
      <c r="G560" s="89" t="str">
        <f ca="1"/>
        <v>VIGENTE</v>
      </c>
    </row>
    <row r="561" spans="1:7" x14ac:dyDescent="0.3">
      <c r="A561" s="89" t="str">
        <f ca="1"/>
        <v>NICKELS, BRAIAN MICHEL</v>
      </c>
      <c r="B561" s="89" t="str">
        <f ca="1"/>
        <v>Control de Energias Peligrosas (LOTO) (Empleados Autorizados)</v>
      </c>
      <c r="C561" s="93">
        <f ca="1"/>
        <v>46026</v>
      </c>
      <c r="D561" s="89" t="str">
        <f ca="1"/>
        <v>Periódica</v>
      </c>
      <c r="E561" s="89">
        <f ca="1"/>
        <v>365</v>
      </c>
      <c r="F561" s="89">
        <f ca="1"/>
        <v>2</v>
      </c>
      <c r="G561" s="89" t="str">
        <f ca="1"/>
        <v>VIGENTE</v>
      </c>
    </row>
    <row r="562" spans="1:7" x14ac:dyDescent="0.3">
      <c r="A562" s="89" t="str">
        <f ca="1"/>
        <v>NICKELS, BRAIAN MICHEL</v>
      </c>
      <c r="B562" s="89" t="str">
        <f ca="1"/>
        <v>Seguridad aplicada al Pozo &amp; Yacimiento</v>
      </c>
      <c r="C562" s="93" t="str">
        <f ca="1"/>
        <v/>
      </c>
      <c r="D562" s="89" t="str">
        <f ca="1"/>
        <v>Periódica</v>
      </c>
      <c r="E562" s="89">
        <f ca="1"/>
        <v>365</v>
      </c>
      <c r="F562" s="89">
        <f ca="1"/>
        <v>1</v>
      </c>
      <c r="G562" s="89" t="str">
        <f ca="1"/>
        <v>SIN FECHA</v>
      </c>
    </row>
    <row r="563" spans="1:7" x14ac:dyDescent="0.3">
      <c r="A563" s="89" t="str">
        <f ca="1"/>
        <v>NICKELS, BRAIAN MICHEL</v>
      </c>
      <c r="B563" s="89" t="str">
        <f ca="1"/>
        <v>Las Reglas que Salvan Vidas</v>
      </c>
      <c r="C563" s="93" t="str">
        <f ca="1"/>
        <v/>
      </c>
      <c r="D563" s="89" t="str">
        <f ca="1"/>
        <v>Periódica</v>
      </c>
      <c r="E563" s="89">
        <f ca="1"/>
        <v>365</v>
      </c>
      <c r="F563" s="89">
        <f ca="1"/>
        <v>1</v>
      </c>
      <c r="G563" s="89" t="str">
        <f ca="1"/>
        <v>SIN FECHA</v>
      </c>
    </row>
    <row r="564" spans="1:7" x14ac:dyDescent="0.3">
      <c r="A564" s="89" t="str">
        <f ca="1"/>
        <v>NICKELS, BRAIAN MICHEL</v>
      </c>
      <c r="B564" s="89" t="str">
        <f ca="1"/>
        <v xml:space="preserve">Resguardo de Maquinas &amp; Equipos </v>
      </c>
      <c r="C564" s="93" t="str">
        <f ca="1"/>
        <v/>
      </c>
      <c r="D564" s="89" t="str">
        <f ca="1"/>
        <v>Periódica</v>
      </c>
      <c r="E564" s="89">
        <f ca="1"/>
        <v>365</v>
      </c>
      <c r="F564" s="89">
        <f ca="1"/>
        <v>1</v>
      </c>
      <c r="G564" s="89" t="str">
        <f ca="1"/>
        <v>SIN FECHA</v>
      </c>
    </row>
    <row r="565" spans="1:7" x14ac:dyDescent="0.3">
      <c r="A565" s="89" t="str">
        <f ca="1"/>
        <v>NICKELS, BRAIAN MICHEL</v>
      </c>
      <c r="B565" s="89" t="str">
        <f ca="1"/>
        <v>Conduccion y Gestion de Viajes (Todos)</v>
      </c>
      <c r="C565" s="93">
        <f ca="1"/>
        <v>45777</v>
      </c>
      <c r="D565" s="89" t="str">
        <f ca="1"/>
        <v>Periódica</v>
      </c>
      <c r="E565" s="89">
        <f ca="1"/>
        <v>730</v>
      </c>
      <c r="F565" s="89">
        <f ca="1"/>
        <v>1</v>
      </c>
      <c r="G565" s="89" t="str">
        <f ca="1"/>
        <v>VIGENTE</v>
      </c>
    </row>
    <row r="566" spans="1:7" x14ac:dyDescent="0.3">
      <c r="A566" s="89" t="str">
        <f ca="1"/>
        <v>NICKELS, BRAIAN MICHEL</v>
      </c>
      <c r="B566" s="89" t="str">
        <f ca="1"/>
        <v>Conduccion y Gestion de Viajes (Conductores)</v>
      </c>
      <c r="C566" s="93">
        <f ca="1"/>
        <v>45483</v>
      </c>
      <c r="D566" s="89" t="str">
        <f ca="1"/>
        <v>Periódica</v>
      </c>
      <c r="E566" s="89">
        <f ca="1"/>
        <v>1095</v>
      </c>
      <c r="F566" s="89">
        <f ca="1"/>
        <v>5</v>
      </c>
      <c r="G566" s="89" t="str">
        <f ca="1"/>
        <v>VIGENTE</v>
      </c>
    </row>
    <row r="567" spans="1:7" x14ac:dyDescent="0.3">
      <c r="A567" s="89" t="str">
        <f ca="1"/>
        <v>NICKELS, BRAIAN MICHEL</v>
      </c>
      <c r="B567" s="89" t="str">
        <f ca="1"/>
        <v>Patogenos Transmitidos por la Sangre</v>
      </c>
      <c r="C567" s="93" t="str">
        <f ca="1"/>
        <v/>
      </c>
      <c r="D567" s="89" t="str">
        <f ca="1"/>
        <v>Periódica</v>
      </c>
      <c r="E567" s="89">
        <f ca="1"/>
        <v>365</v>
      </c>
      <c r="F567" s="89">
        <f ca="1"/>
        <v>1</v>
      </c>
      <c r="G567" s="89" t="str">
        <f ca="1"/>
        <v>SIN FECHA</v>
      </c>
    </row>
    <row r="568" spans="1:7" x14ac:dyDescent="0.3">
      <c r="A568" s="89" t="str">
        <f ca="1"/>
        <v>NICKELS, BRAIAN MICHEL</v>
      </c>
      <c r="B568" s="89" t="str">
        <f ca="1"/>
        <v>Conservacion Auditiva</v>
      </c>
      <c r="C568" s="93" t="str">
        <f ca="1"/>
        <v/>
      </c>
      <c r="D568" s="89" t="str">
        <f ca="1"/>
        <v>Periódica</v>
      </c>
      <c r="E568" s="89">
        <f ca="1"/>
        <v>365</v>
      </c>
      <c r="F568" s="89">
        <f ca="1"/>
        <v>1</v>
      </c>
      <c r="G568" s="89" t="str">
        <f ca="1"/>
        <v>SIN FECHA</v>
      </c>
    </row>
    <row r="569" spans="1:7" x14ac:dyDescent="0.3">
      <c r="A569" s="89" t="str">
        <f ca="1"/>
        <v>NICKELS, BRAIAN MICHEL</v>
      </c>
      <c r="B569" s="89" t="str">
        <f ca="1"/>
        <v xml:space="preserve">Ergonomia //  / Levantamiento &amp; Seguridad en la Espalda </v>
      </c>
      <c r="C569" s="93">
        <f ca="1"/>
        <v>46000</v>
      </c>
      <c r="D569" s="89" t="str">
        <f ca="1"/>
        <v>Periódica</v>
      </c>
      <c r="E569" s="89">
        <f ca="1"/>
        <v>365</v>
      </c>
      <c r="F569" s="89">
        <f ca="1"/>
        <v>1</v>
      </c>
      <c r="G569" s="89" t="str">
        <f ca="1"/>
        <v>VIGENTE</v>
      </c>
    </row>
    <row r="570" spans="1:7" x14ac:dyDescent="0.3">
      <c r="A570" s="89" t="str">
        <f ca="1"/>
        <v>NICKELS, BRAIAN MICHEL</v>
      </c>
      <c r="B570" s="89" t="str">
        <f ca="1"/>
        <v>Superficies Elevadas (Todos)</v>
      </c>
      <c r="C570" s="93">
        <f ca="1"/>
        <v>45838</v>
      </c>
      <c r="D570" s="89" t="str">
        <f ca="1"/>
        <v>Periódica</v>
      </c>
      <c r="E570" s="89">
        <f ca="1"/>
        <v>365</v>
      </c>
      <c r="F570" s="89">
        <f ca="1"/>
        <v>1</v>
      </c>
      <c r="G570" s="89" t="str">
        <f ca="1"/>
        <v>VENCIDA</v>
      </c>
    </row>
    <row r="571" spans="1:7" x14ac:dyDescent="0.3">
      <c r="A571" s="89" t="str">
        <f ca="1"/>
        <v>NICKELS, BRAIAN MICHEL</v>
      </c>
      <c r="B571" s="89" t="str">
        <f ca="1"/>
        <v>Superficies Elevadas (Personal Habilitado)</v>
      </c>
      <c r="C571" s="93">
        <f ca="1"/>
        <v>45503</v>
      </c>
      <c r="D571" s="89" t="str">
        <f ca="1"/>
        <v>Periódica</v>
      </c>
      <c r="E571" s="89">
        <f ca="1"/>
        <v>365</v>
      </c>
      <c r="F571" s="89">
        <f ca="1"/>
        <v>8</v>
      </c>
      <c r="G571" s="89" t="str">
        <f ca="1"/>
        <v>VENCIDA</v>
      </c>
    </row>
    <row r="572" spans="1:7" x14ac:dyDescent="0.3">
      <c r="A572" s="89" t="str">
        <f ca="1"/>
        <v>NICKELS, BRAIAN MICHEL</v>
      </c>
      <c r="B572" s="89" t="str">
        <f ca="1"/>
        <v>Seguridad Quimica (Todos)</v>
      </c>
      <c r="C572" s="93">
        <f ca="1"/>
        <v>45916</v>
      </c>
      <c r="D572" s="89" t="str">
        <f ca="1"/>
        <v>Periódica</v>
      </c>
      <c r="E572" s="89">
        <f ca="1"/>
        <v>730</v>
      </c>
      <c r="F572" s="89">
        <f ca="1"/>
        <v>1</v>
      </c>
      <c r="G572" s="89" t="str">
        <f ca="1"/>
        <v>VIGENTE</v>
      </c>
    </row>
    <row r="573" spans="1:7" x14ac:dyDescent="0.3">
      <c r="A573" s="89" t="str">
        <f ca="1"/>
        <v>NICKELS, BRAIAN MICHEL</v>
      </c>
      <c r="B573" s="89" t="str">
        <f ca="1"/>
        <v>Seguridad Quimica (Mantenimiento)</v>
      </c>
      <c r="C573" s="93" t="str">
        <f ca="1"/>
        <v/>
      </c>
      <c r="D573" s="89" t="str">
        <f ca="1"/>
        <v>Periódica</v>
      </c>
      <c r="E573" s="89">
        <f ca="1"/>
        <v>365</v>
      </c>
      <c r="F573" s="89">
        <f ca="1"/>
        <v>1</v>
      </c>
      <c r="G573" s="89" t="str">
        <f ca="1"/>
        <v>SIN FECHA</v>
      </c>
    </row>
    <row r="574" spans="1:7" x14ac:dyDescent="0.3">
      <c r="A574" s="89" t="str">
        <f ca="1"/>
        <v>NICKELS, BRAIAN MICHEL</v>
      </c>
      <c r="B574" s="89" t="str">
        <f ca="1"/>
        <v>Seguridad Quimica (Contratistas)</v>
      </c>
      <c r="C574" s="93" t="str">
        <f ca="1"/>
        <v/>
      </c>
      <c r="D574" s="89" t="str">
        <f ca="1"/>
        <v>Periódica</v>
      </c>
      <c r="E574" s="89">
        <f ca="1"/>
        <v>365</v>
      </c>
      <c r="F574" s="89">
        <f ca="1"/>
        <v>1</v>
      </c>
      <c r="G574" s="89" t="str">
        <f ca="1"/>
        <v>SIN FECHA</v>
      </c>
    </row>
    <row r="575" spans="1:7" x14ac:dyDescent="0.3">
      <c r="A575" s="89" t="str">
        <f ca="1"/>
        <v>NICKELS, BRAIAN MICHEL</v>
      </c>
      <c r="B575" s="89" t="str">
        <f ca="1"/>
        <v>Seguridad para Trabajos en Caliente</v>
      </c>
      <c r="C575" s="93" t="str">
        <f ca="1"/>
        <v/>
      </c>
      <c r="D575" s="89" t="str">
        <f ca="1"/>
        <v>Periódica</v>
      </c>
      <c r="E575" s="89">
        <f ca="1"/>
        <v>365</v>
      </c>
      <c r="F575" s="89">
        <f ca="1"/>
        <v>1</v>
      </c>
      <c r="G575" s="89" t="str">
        <f ca="1"/>
        <v>SIN FECHA</v>
      </c>
    </row>
    <row r="576" spans="1:7" x14ac:dyDescent="0.3">
      <c r="A576" s="89" t="str">
        <f ca="1"/>
        <v>NICKELS, BRAIAN MICHEL</v>
      </c>
      <c r="B576" s="89" t="str">
        <f ca="1"/>
        <v>Seguridad con la Radiacion</v>
      </c>
      <c r="C576" s="93">
        <f ca="1"/>
        <v>46026</v>
      </c>
      <c r="D576" s="89" t="str">
        <f ca="1"/>
        <v>Periódica</v>
      </c>
      <c r="E576" s="89">
        <f ca="1"/>
        <v>365</v>
      </c>
      <c r="F576" s="89">
        <f ca="1"/>
        <v>2</v>
      </c>
      <c r="G576" s="89" t="str">
        <f ca="1"/>
        <v>VIGENTE</v>
      </c>
    </row>
    <row r="577" spans="1:7" x14ac:dyDescent="0.3">
      <c r="A577" s="89" t="str">
        <f ca="1"/>
        <v>NICKELS, BRAIAN MICHEL</v>
      </c>
      <c r="B577" s="89" t="str">
        <f ca="1"/>
        <v>Equipo de Proteccion Personal (PPE)</v>
      </c>
      <c r="C577" s="93">
        <f ca="1"/>
        <v>45897</v>
      </c>
      <c r="D577" s="89" t="str">
        <f ca="1"/>
        <v>Periódica</v>
      </c>
      <c r="E577" s="89">
        <f ca="1"/>
        <v>365</v>
      </c>
      <c r="F577" s="89">
        <f ca="1"/>
        <v>1</v>
      </c>
      <c r="G577" s="89" t="str">
        <f ca="1"/>
        <v>POR VENCER</v>
      </c>
    </row>
    <row r="578" spans="1:7" x14ac:dyDescent="0.3">
      <c r="A578" s="89" t="str">
        <f ca="1"/>
        <v>NICKELS, BRAIAN MICHEL</v>
      </c>
      <c r="B578" s="89" t="str">
        <f ca="1"/>
        <v>Proteccion Respiratoria</v>
      </c>
      <c r="C578" s="93" t="str">
        <f ca="1"/>
        <v/>
      </c>
      <c r="D578" s="89" t="str">
        <f ca="1"/>
        <v>Periódica</v>
      </c>
      <c r="E578" s="89">
        <f ca="1"/>
        <v>365</v>
      </c>
      <c r="F578" s="89">
        <f ca="1"/>
        <v>1</v>
      </c>
      <c r="G578" s="89" t="str">
        <f ca="1"/>
        <v>SIN FECHA</v>
      </c>
    </row>
    <row r="579" spans="1:7" x14ac:dyDescent="0.3">
      <c r="A579" s="89" t="str">
        <f ca="1"/>
        <v>NICKELS, BRAIAN MICHEL</v>
      </c>
      <c r="B579" s="89" t="str">
        <f ca="1"/>
        <v xml:space="preserve">Seguridad con Escaleras </v>
      </c>
      <c r="C579" s="93">
        <f ca="1"/>
        <v>45838</v>
      </c>
      <c r="D579" s="89" t="str">
        <f ca="1"/>
        <v>Periódica</v>
      </c>
      <c r="E579" s="89">
        <f ca="1"/>
        <v>365</v>
      </c>
      <c r="F579" s="89">
        <f ca="1"/>
        <v>1</v>
      </c>
      <c r="G579" s="89" t="str">
        <f ca="1"/>
        <v>VENCIDA</v>
      </c>
    </row>
    <row r="580" spans="1:7" x14ac:dyDescent="0.3">
      <c r="A580" s="89" t="str">
        <f ca="1"/>
        <v>NICKELS, BRAIAN MICHEL</v>
      </c>
      <c r="B580" s="89" t="str">
        <f ca="1"/>
        <v>Seguridad con Escaleras // Estantes de Almacenamiento</v>
      </c>
      <c r="C580" s="93" t="str">
        <f ca="1"/>
        <v/>
      </c>
      <c r="D580" s="89" t="str">
        <f ca="1"/>
        <v>Periódica</v>
      </c>
      <c r="E580" s="89">
        <f ca="1"/>
        <v>365</v>
      </c>
      <c r="F580" s="89">
        <f ca="1"/>
        <v>1</v>
      </c>
      <c r="G580" s="89" t="str">
        <f ca="1"/>
        <v>SIN FECHA</v>
      </c>
    </row>
    <row r="581" spans="1:7" x14ac:dyDescent="0.3">
      <c r="A581" s="89" t="str">
        <f ca="1"/>
        <v>NICKELS, BRAIAN MICHEL</v>
      </c>
      <c r="B581" s="89" t="str">
        <f ca="1"/>
        <v>Responsabilidades del Supervisor</v>
      </c>
      <c r="C581" s="93" t="str">
        <f ca="1"/>
        <v/>
      </c>
      <c r="D581" s="89" t="str">
        <f ca="1"/>
        <v>Periódica</v>
      </c>
      <c r="E581" s="89">
        <f ca="1"/>
        <v>365</v>
      </c>
      <c r="F581" s="89">
        <f ca="1"/>
        <v>1</v>
      </c>
      <c r="G581" s="89" t="str">
        <f ca="1"/>
        <v>SIN FECHA</v>
      </c>
    </row>
    <row r="582" spans="1:7" x14ac:dyDescent="0.3">
      <c r="A582" s="89" t="str">
        <f ca="1"/>
        <v>NICKELS, BRAIAN MICHEL</v>
      </c>
      <c r="B582" s="89" t="str">
        <f ca="1"/>
        <v>Espacios Confinados (Todos)</v>
      </c>
      <c r="C582" s="93" t="str">
        <f ca="1"/>
        <v/>
      </c>
      <c r="D582" s="89" t="str">
        <f ca="1"/>
        <v>Periódica</v>
      </c>
      <c r="E582" s="89">
        <f ca="1"/>
        <v>365</v>
      </c>
      <c r="F582" s="89">
        <f ca="1"/>
        <v>1</v>
      </c>
      <c r="G582" s="89" t="str">
        <f ca="1"/>
        <v>SIN FECHA</v>
      </c>
    </row>
    <row r="583" spans="1:7" x14ac:dyDescent="0.3">
      <c r="A583" s="89" t="str">
        <f ca="1"/>
        <v>NICKELS, BRAIAN MICHEL</v>
      </c>
      <c r="B583" s="89" t="str">
        <f ca="1"/>
        <v>HSMS.017 / Espacios Confinados (Entrantes)</v>
      </c>
      <c r="C583" s="93" t="str">
        <f ca="1"/>
        <v/>
      </c>
      <c r="D583" s="89" t="str">
        <f ca="1"/>
        <v>Evento</v>
      </c>
      <c r="E583" s="89">
        <f ca="1"/>
        <v>0</v>
      </c>
      <c r="F583" s="89">
        <f ca="1"/>
        <v>8</v>
      </c>
      <c r="G583" s="89" t="str">
        <f ca="1"/>
        <v>SIN FECHA</v>
      </c>
    </row>
    <row r="584" spans="1:7" x14ac:dyDescent="0.3">
      <c r="A584" s="89" t="str">
        <f ca="1"/>
        <v>NICKELS, BRAIAN MICHEL</v>
      </c>
      <c r="B584" s="89" t="str">
        <f ca="1"/>
        <v>Programa de Agua (Todos)</v>
      </c>
      <c r="C584" s="93">
        <f ca="1"/>
        <v>46163</v>
      </c>
      <c r="D584" s="89" t="str">
        <f ca="1"/>
        <v>Evento</v>
      </c>
      <c r="E584" s="89">
        <f ca="1"/>
        <v>0</v>
      </c>
      <c r="F584" s="89">
        <f ca="1"/>
        <v>1</v>
      </c>
      <c r="G584" s="89" t="str">
        <f ca="1"/>
        <v>VIGENTE</v>
      </c>
    </row>
    <row r="585" spans="1:7" x14ac:dyDescent="0.3">
      <c r="A585" s="89" t="str">
        <f ca="1"/>
        <v>NICKELS, BRAIAN MICHEL</v>
      </c>
      <c r="B585" s="89" t="str">
        <f ca="1"/>
        <v>Programa de Agua (HSE)</v>
      </c>
      <c r="C585" s="93" t="str">
        <f ca="1"/>
        <v/>
      </c>
      <c r="D585" s="89" t="str">
        <f ca="1"/>
        <v>Evento</v>
      </c>
      <c r="E585" s="89">
        <f ca="1"/>
        <v>0</v>
      </c>
      <c r="F585" s="89">
        <f ca="1"/>
        <v>1</v>
      </c>
      <c r="G585" s="89" t="str">
        <f ca="1"/>
        <v>SIN FECHA</v>
      </c>
    </row>
    <row r="586" spans="1:7" x14ac:dyDescent="0.3">
      <c r="A586" s="89" t="str">
        <f ca="1"/>
        <v>NICKELS, BRAIAN MICHEL</v>
      </c>
      <c r="B586" s="89" t="str">
        <f ca="1"/>
        <v>HIV/SIDA y otras enfermedades de transmisión sexual (ETS)</v>
      </c>
      <c r="C586" s="93" t="str">
        <f ca="1"/>
        <v/>
      </c>
      <c r="D586" s="89" t="str">
        <f ca="1"/>
        <v>Periódica</v>
      </c>
      <c r="E586" s="89">
        <f ca="1"/>
        <v>365</v>
      </c>
      <c r="F586" s="89">
        <f ca="1"/>
        <v>1</v>
      </c>
      <c r="G586" s="89" t="str">
        <f ca="1"/>
        <v>SIN FECHA</v>
      </c>
    </row>
    <row r="587" spans="1:7" x14ac:dyDescent="0.3">
      <c r="A587" s="89" t="str">
        <f ca="1"/>
        <v>NICKELS, BRAIAN MICHEL</v>
      </c>
      <c r="B587" s="89" t="str">
        <f ca="1"/>
        <v>Drogas de abuso (concientización y prevención)</v>
      </c>
      <c r="C587" s="93" t="str">
        <f ca="1"/>
        <v/>
      </c>
      <c r="D587" s="89" t="str">
        <f ca="1"/>
        <v>Periódica</v>
      </c>
      <c r="E587" s="89">
        <f ca="1"/>
        <v>365</v>
      </c>
      <c r="F587" s="89">
        <f ca="1"/>
        <v>1</v>
      </c>
      <c r="G587" s="89" t="str">
        <f ca="1"/>
        <v>SIN FECHA</v>
      </c>
    </row>
    <row r="588" spans="1:7" x14ac:dyDescent="0.3">
      <c r="A588" s="89" t="str">
        <f ca="1"/>
        <v>NICKELS, BRAIAN MICHEL</v>
      </c>
      <c r="B588" s="89" t="str">
        <f ca="1"/>
        <v>Vida saludable (hábitos, autocuidado y bienestar)</v>
      </c>
      <c r="C588" s="93" t="str">
        <f ca="1"/>
        <v/>
      </c>
      <c r="D588" s="89" t="str">
        <f ca="1"/>
        <v>Periódica</v>
      </c>
      <c r="E588" s="89">
        <f ca="1"/>
        <v>365</v>
      </c>
      <c r="F588" s="89">
        <f ca="1"/>
        <v>1</v>
      </c>
      <c r="G588" s="89" t="str">
        <f ca="1"/>
        <v>SIN FECHA</v>
      </c>
    </row>
    <row r="589" spans="1:7" x14ac:dyDescent="0.3">
      <c r="A589" s="89" t="str">
        <f ca="1"/>
        <v>NICKELS, BRAIAN MICHEL</v>
      </c>
      <c r="B589" s="89" t="str">
        <f ca="1"/>
        <v>Primeros auxilios y Reanimación Cardio Pulmonar (RCP)</v>
      </c>
      <c r="C589" s="93" t="str">
        <f ca="1"/>
        <v/>
      </c>
      <c r="D589" s="89" t="str">
        <f ca="1"/>
        <v>Periódica</v>
      </c>
      <c r="E589" s="89">
        <f ca="1"/>
        <v>365</v>
      </c>
      <c r="F589" s="89">
        <f ca="1"/>
        <v>4</v>
      </c>
      <c r="G589" s="89" t="str">
        <f ca="1"/>
        <v>SIN FECHA</v>
      </c>
    </row>
    <row r="590" spans="1:7" x14ac:dyDescent="0.3">
      <c r="A590" s="89" t="str">
        <f ca="1"/>
        <v>NICKELS, BRAIAN MICHEL</v>
      </c>
      <c r="B590" s="89" t="str">
        <f ca="1"/>
        <v>Prevención cardiovascular (factores de riesgo y señales de alarma)</v>
      </c>
      <c r="C590" s="93" t="str">
        <f ca="1"/>
        <v/>
      </c>
      <c r="D590" s="89" t="str">
        <f ca="1"/>
        <v>Periódica</v>
      </c>
      <c r="E590" s="89">
        <f ca="1"/>
        <v>365</v>
      </c>
      <c r="F590" s="89">
        <f ca="1"/>
        <v>1</v>
      </c>
      <c r="G590" s="89" t="str">
        <f ca="1"/>
        <v>SIN FECHA</v>
      </c>
    </row>
    <row r="591" spans="1:7" x14ac:dyDescent="0.3">
      <c r="A591" s="89" t="str">
        <f ca="1"/>
        <v>NICKELS, BRAIAN MICHEL</v>
      </c>
      <c r="B591" s="89" t="str">
        <f ca="1"/>
        <v>Efectos del tabaco sobre la salud</v>
      </c>
      <c r="C591" s="93" t="str">
        <f ca="1"/>
        <v/>
      </c>
      <c r="D591" s="89" t="str">
        <f ca="1"/>
        <v>Periódica</v>
      </c>
      <c r="E591" s="89">
        <f ca="1"/>
        <v>365</v>
      </c>
      <c r="F591" s="89">
        <f ca="1"/>
        <v>1</v>
      </c>
      <c r="G591" s="89" t="str">
        <f ca="1"/>
        <v>SIN FECHA</v>
      </c>
    </row>
    <row r="592" spans="1:7" x14ac:dyDescent="0.3">
      <c r="A592" s="89" t="str">
        <f ca="1"/>
        <v>NICKELS, BRAIAN MICHEL</v>
      </c>
      <c r="B592" s="89" t="str">
        <f ca="1"/>
        <v>Cargadora (Op. Montacargas)</v>
      </c>
      <c r="C592" s="93" t="str">
        <f ca="1"/>
        <v/>
      </c>
      <c r="D592" s="89" t="str">
        <f ca="1"/>
        <v>Periódica</v>
      </c>
      <c r="E592" s="89">
        <f ca="1"/>
        <v>365</v>
      </c>
      <c r="F592" s="89">
        <f ca="1"/>
        <v>8</v>
      </c>
      <c r="G592" s="89" t="str">
        <f ca="1"/>
        <v>SIN FECHA</v>
      </c>
    </row>
    <row r="593" spans="1:7" x14ac:dyDescent="0.3">
      <c r="A593" s="89" t="str">
        <f ca="1"/>
        <v>NICKELS, BRAIAN MICHEL</v>
      </c>
      <c r="B593" s="89">
        <f ca="1"/>
        <v>0</v>
      </c>
      <c r="C593" s="93" t="str">
        <f ca="1"/>
        <v/>
      </c>
      <c r="D593" s="89" t="str">
        <f ca="1"/>
        <v/>
      </c>
      <c r="E593" s="89" t="str">
        <f ca="1"/>
        <v/>
      </c>
      <c r="F593" s="89" t="str">
        <f ca="1"/>
        <v/>
      </c>
      <c r="G593" s="89" t="str">
        <f ca="1"/>
        <v>SIN FECHA</v>
      </c>
    </row>
    <row r="594" spans="1:7" x14ac:dyDescent="0.3">
      <c r="A594" s="89" t="str">
        <f ca="1"/>
        <v>NICKELS, BRAIAN MICHEL</v>
      </c>
      <c r="B594" s="89">
        <f ca="1"/>
        <v>0</v>
      </c>
      <c r="C594" s="93" t="str">
        <f ca="1"/>
        <v/>
      </c>
      <c r="D594" s="89" t="str">
        <f ca="1"/>
        <v/>
      </c>
      <c r="E594" s="89" t="str">
        <f ca="1"/>
        <v/>
      </c>
      <c r="F594" s="89" t="str">
        <f ca="1"/>
        <v/>
      </c>
      <c r="G594" s="89" t="str">
        <f ca="1"/>
        <v>SIN FECHA</v>
      </c>
    </row>
    <row r="595" spans="1:7" x14ac:dyDescent="0.3">
      <c r="A595" s="89" t="str">
        <f ca="1"/>
        <v>NICKELS, BRAIAN MICHEL</v>
      </c>
      <c r="B595" s="89">
        <f ca="1"/>
        <v>0</v>
      </c>
      <c r="C595" s="93" t="str">
        <f ca="1"/>
        <v/>
      </c>
      <c r="D595" s="89" t="str">
        <f ca="1"/>
        <v/>
      </c>
      <c r="E595" s="89" t="str">
        <f ca="1"/>
        <v/>
      </c>
      <c r="F595" s="89" t="str">
        <f ca="1"/>
        <v/>
      </c>
      <c r="G595" s="89" t="str">
        <f ca="1"/>
        <v>SIN FECHA</v>
      </c>
    </row>
    <row r="596" spans="1:7" x14ac:dyDescent="0.3">
      <c r="A596" s="89" t="str">
        <f ca="1"/>
        <v>NICKELS, BRAIAN MICHEL</v>
      </c>
      <c r="B596" s="89">
        <f ca="1"/>
        <v>0</v>
      </c>
      <c r="C596" s="93" t="str">
        <f ca="1"/>
        <v/>
      </c>
      <c r="D596" s="89" t="str">
        <f ca="1"/>
        <v/>
      </c>
      <c r="E596" s="89" t="str">
        <f ca="1"/>
        <v/>
      </c>
      <c r="F596" s="89" t="str">
        <f ca="1"/>
        <v/>
      </c>
      <c r="G596" s="89" t="str">
        <f ca="1"/>
        <v>SIN FECHA</v>
      </c>
    </row>
    <row r="597" spans="1:7" x14ac:dyDescent="0.3">
      <c r="A597" s="89" t="str">
        <f ca="1"/>
        <v>NICKELS, BRAIAN MICHEL</v>
      </c>
      <c r="B597" s="89">
        <f ca="1"/>
        <v>0</v>
      </c>
      <c r="C597" s="93" t="str">
        <f ca="1"/>
        <v/>
      </c>
      <c r="D597" s="89" t="str">
        <f ca="1"/>
        <v/>
      </c>
      <c r="E597" s="89" t="str">
        <f ca="1"/>
        <v/>
      </c>
      <c r="F597" s="89" t="str">
        <f ca="1"/>
        <v/>
      </c>
      <c r="G597" s="89" t="str">
        <f ca="1"/>
        <v>SIN FECHA</v>
      </c>
    </row>
    <row r="598" spans="1:7" x14ac:dyDescent="0.3">
      <c r="A598" s="89" t="str">
        <f ca="1"/>
        <v>NICKELS, BRAIAN MICHEL</v>
      </c>
      <c r="B598" s="89">
        <f ca="1"/>
        <v>0</v>
      </c>
      <c r="C598" s="93" t="str">
        <f ca="1"/>
        <v/>
      </c>
      <c r="D598" s="89" t="str">
        <f ca="1"/>
        <v/>
      </c>
      <c r="E598" s="89" t="str">
        <f ca="1"/>
        <v/>
      </c>
      <c r="F598" s="89" t="str">
        <f ca="1"/>
        <v/>
      </c>
      <c r="G598" s="89" t="str">
        <f ca="1"/>
        <v>SIN FECHA</v>
      </c>
    </row>
    <row r="599" spans="1:7" x14ac:dyDescent="0.3">
      <c r="A599" s="89" t="str">
        <f ca="1"/>
        <v>NICKELS, BRAIAN MICHEL</v>
      </c>
      <c r="B599" s="89">
        <f ca="1"/>
        <v>0</v>
      </c>
      <c r="C599" s="93" t="str">
        <f ca="1"/>
        <v/>
      </c>
      <c r="D599" s="89" t="str">
        <f ca="1"/>
        <v/>
      </c>
      <c r="E599" s="89" t="str">
        <f ca="1"/>
        <v/>
      </c>
      <c r="F599" s="89" t="str">
        <f ca="1"/>
        <v/>
      </c>
      <c r="G599" s="89" t="str">
        <f ca="1"/>
        <v>SIN FECHA</v>
      </c>
    </row>
    <row r="600" spans="1:7" x14ac:dyDescent="0.3">
      <c r="A600" s="89" t="str">
        <f ca="1"/>
        <v>NICKELS, BRAIAN MICHEL</v>
      </c>
      <c r="B600" s="89">
        <f ca="1"/>
        <v>0</v>
      </c>
      <c r="C600" s="93" t="str">
        <f ca="1"/>
        <v/>
      </c>
      <c r="D600" s="89" t="str">
        <f ca="1"/>
        <v/>
      </c>
      <c r="E600" s="89" t="str">
        <f ca="1"/>
        <v/>
      </c>
      <c r="F600" s="89" t="str">
        <f ca="1"/>
        <v/>
      </c>
      <c r="G600" s="89" t="str">
        <f ca="1"/>
        <v>SIN FECHA</v>
      </c>
    </row>
    <row r="601" spans="1:7" x14ac:dyDescent="0.3">
      <c r="A601" s="89" t="str">
        <f ca="1"/>
        <v>NICKELS, BRAIAN MICHEL</v>
      </c>
      <c r="B601" s="89">
        <f ca="1"/>
        <v>0</v>
      </c>
      <c r="C601" s="93" t="str">
        <f ca="1"/>
        <v/>
      </c>
      <c r="D601" s="89" t="str">
        <f ca="1"/>
        <v/>
      </c>
      <c r="E601" s="89" t="str">
        <f ca="1"/>
        <v/>
      </c>
      <c r="F601" s="89" t="str">
        <f ca="1"/>
        <v/>
      </c>
      <c r="G601" s="89" t="str">
        <f ca="1"/>
        <v>SIN FECHA</v>
      </c>
    </row>
    <row r="602" spans="1:7" x14ac:dyDescent="0.3">
      <c r="A602" s="89" t="str">
        <f ca="1"/>
        <v>SANDOVAL, MATIAS</v>
      </c>
      <c r="B602" s="89" t="str">
        <f ca="1"/>
        <v>Programa de Aire</v>
      </c>
      <c r="C602" s="93" t="str">
        <f ca="1"/>
        <v/>
      </c>
      <c r="D602" s="89" t="str">
        <f ca="1"/>
        <v>Evento</v>
      </c>
      <c r="E602" s="89">
        <f ca="1"/>
        <v>0</v>
      </c>
      <c r="F602" s="89">
        <f ca="1"/>
        <v>1</v>
      </c>
      <c r="G602" s="89" t="str">
        <f ca="1"/>
        <v>SIN FECHA</v>
      </c>
    </row>
    <row r="603" spans="1:7" x14ac:dyDescent="0.3">
      <c r="A603" s="89" t="str">
        <f ca="1"/>
        <v>SANDOVAL, MATIAS</v>
      </c>
      <c r="B603" s="89" t="str">
        <f ca="1"/>
        <v>Conciencia Ambiental</v>
      </c>
      <c r="C603" s="93" t="str">
        <f ca="1"/>
        <v/>
      </c>
      <c r="D603" s="89" t="str">
        <f ca="1"/>
        <v>Periódica</v>
      </c>
      <c r="E603" s="89">
        <f ca="1"/>
        <v>365</v>
      </c>
      <c r="F603" s="89">
        <f ca="1"/>
        <v>1</v>
      </c>
      <c r="G603" s="89" t="str">
        <f ca="1"/>
        <v>SIN FECHA</v>
      </c>
    </row>
    <row r="604" spans="1:7" x14ac:dyDescent="0.3">
      <c r="A604" s="89" t="str">
        <f ca="1"/>
        <v>SANDOVAL, MATIAS</v>
      </c>
      <c r="B604" s="89" t="str">
        <f ca="1"/>
        <v xml:space="preserve">Control de Documentos e Informacion de HSE </v>
      </c>
      <c r="C604" s="93" t="str">
        <f ca="1"/>
        <v/>
      </c>
      <c r="D604" s="89" t="str">
        <f ca="1"/>
        <v>Evento</v>
      </c>
      <c r="E604" s="89">
        <f ca="1"/>
        <v>0</v>
      </c>
      <c r="F604" s="89">
        <f ca="1"/>
        <v>1</v>
      </c>
      <c r="G604" s="89" t="str">
        <f ca="1"/>
        <v>SIN FECHA</v>
      </c>
    </row>
    <row r="605" spans="1:7" x14ac:dyDescent="0.3">
      <c r="A605" s="89" t="str">
        <f ca="1"/>
        <v>SANDOVAL, MATIAS</v>
      </c>
      <c r="B605" s="89" t="str">
        <f ca="1"/>
        <v xml:space="preserve"> Acciones Correctivas y Preventivas (CAPA)</v>
      </c>
      <c r="C605" s="93" t="str">
        <f ca="1"/>
        <v/>
      </c>
      <c r="D605" s="89" t="str">
        <f ca="1"/>
        <v>Evento</v>
      </c>
      <c r="E605" s="89">
        <f ca="1"/>
        <v>0</v>
      </c>
      <c r="F605" s="89">
        <f ca="1"/>
        <v>1</v>
      </c>
      <c r="G605" s="89" t="str">
        <f ca="1"/>
        <v>SIN FECHA</v>
      </c>
    </row>
    <row r="606" spans="1:7" x14ac:dyDescent="0.3">
      <c r="A606" s="89" t="str">
        <f ca="1"/>
        <v>SANDOVAL, MATIAS</v>
      </c>
      <c r="B606" s="89" t="str">
        <f ca="1"/>
        <v>Seguridad Basada en el Comportamiento (Observation Program) // HSMS.043 / Autoridad de Detener el Trabajo</v>
      </c>
      <c r="C606" s="93">
        <f ca="1"/>
        <v>45827</v>
      </c>
      <c r="D606" s="89" t="str">
        <f ca="1"/>
        <v>Periódica</v>
      </c>
      <c r="E606" s="89">
        <f ca="1"/>
        <v>365</v>
      </c>
      <c r="F606" s="89">
        <f ca="1"/>
        <v>1</v>
      </c>
      <c r="G606" s="89" t="str">
        <f ca="1"/>
        <v>VENCIDA</v>
      </c>
    </row>
    <row r="607" spans="1:7" x14ac:dyDescent="0.3">
      <c r="A607" s="89" t="str">
        <f ca="1"/>
        <v>SANDOVAL, MATIAS</v>
      </c>
      <c r="B607" s="89" t="str">
        <f ca="1"/>
        <v>Identificacion de Peligros y Evaluacion de Riesgos</v>
      </c>
      <c r="C607" s="93" t="str">
        <f ca="1"/>
        <v/>
      </c>
      <c r="D607" s="89" t="str">
        <f ca="1"/>
        <v>Evento</v>
      </c>
      <c r="E607" s="89">
        <f ca="1"/>
        <v>0</v>
      </c>
      <c r="F607" s="89">
        <f ca="1"/>
        <v>1</v>
      </c>
      <c r="G607" s="89" t="str">
        <f ca="1"/>
        <v>SIN FECHA</v>
      </c>
    </row>
    <row r="608" spans="1:7" x14ac:dyDescent="0.3">
      <c r="A608" s="89" t="str">
        <f ca="1"/>
        <v>SANDOVAL, MATIAS</v>
      </c>
      <c r="B608" s="89" t="str">
        <f ca="1"/>
        <v xml:space="preserve"> Plan de Respuesta ante Eemergencias / HSMS.010 /Primeros Axulios &amp; RCP/DEA / HSMSWT-002 / Patogenos Trasnmitidos por la Sangre</v>
      </c>
      <c r="C608" s="93" t="str">
        <f ca="1"/>
        <v/>
      </c>
      <c r="D608" s="89" t="str">
        <f ca="1"/>
        <v>Periódica</v>
      </c>
      <c r="E608" s="89">
        <f ca="1"/>
        <v>365</v>
      </c>
      <c r="F608" s="89">
        <f ca="1"/>
        <v>1</v>
      </c>
      <c r="G608" s="89" t="str">
        <f ca="1"/>
        <v>SIN FECHA</v>
      </c>
    </row>
    <row r="609" spans="1:7" x14ac:dyDescent="0.3">
      <c r="A609" s="89" t="str">
        <f ca="1"/>
        <v>SANDOVAL, MATIAS</v>
      </c>
      <c r="B609" s="89" t="str">
        <f ca="1"/>
        <v>Reporte y Gestion de Incidentes HSE (Todos)</v>
      </c>
      <c r="C609" s="93" t="str">
        <f ca="1"/>
        <v/>
      </c>
      <c r="D609" s="89" t="str">
        <f ca="1"/>
        <v>Periódica</v>
      </c>
      <c r="E609" s="89">
        <f ca="1"/>
        <v>365</v>
      </c>
      <c r="F609" s="89">
        <f ca="1"/>
        <v>1</v>
      </c>
      <c r="G609" s="89" t="str">
        <f ca="1"/>
        <v>SIN FECHA</v>
      </c>
    </row>
    <row r="610" spans="1:7" x14ac:dyDescent="0.3">
      <c r="A610" s="89" t="str">
        <f ca="1"/>
        <v>SANDOVAL, MATIAS</v>
      </c>
      <c r="B610" s="89" t="str">
        <f ca="1"/>
        <v>Reporte, Gestion e Investigacion de Incidentes HSE (supervisores / investigadores (rol))</v>
      </c>
      <c r="C610" s="93" t="str">
        <f ca="1"/>
        <v/>
      </c>
      <c r="D610" s="89" t="str">
        <f ca="1"/>
        <v>Periódica</v>
      </c>
      <c r="E610" s="89">
        <f ca="1"/>
        <v>1095</v>
      </c>
      <c r="F610" s="89">
        <f ca="1"/>
        <v>2</v>
      </c>
      <c r="G610" s="89" t="str">
        <f ca="1"/>
        <v>SIN FECHA</v>
      </c>
    </row>
    <row r="611" spans="1:7" x14ac:dyDescent="0.3">
      <c r="A611" s="89" t="str">
        <f ca="1"/>
        <v>SANDOVAL, MATIAS</v>
      </c>
      <c r="B611" s="89" t="str">
        <f ca="1"/>
        <v>Gruas y Equipos de Izaje (Todos)</v>
      </c>
      <c r="C611" s="93" t="str">
        <f ca="1"/>
        <v/>
      </c>
      <c r="D611" s="89" t="str">
        <f ca="1"/>
        <v>Periódica</v>
      </c>
      <c r="E611" s="89">
        <f ca="1"/>
        <v>365</v>
      </c>
      <c r="F611" s="89">
        <f ca="1"/>
        <v>2</v>
      </c>
      <c r="G611" s="89" t="str">
        <f ca="1"/>
        <v>SIN FECHA</v>
      </c>
    </row>
    <row r="612" spans="1:7" x14ac:dyDescent="0.3">
      <c r="A612" s="89" t="str">
        <f ca="1"/>
        <v>SANDOVAL, MATIAS</v>
      </c>
      <c r="B612" s="89" t="str">
        <f ca="1"/>
        <v>HSMS.007 / Gruas y Equipos de Izaje (Operadores)</v>
      </c>
      <c r="C612" s="93">
        <f ca="1"/>
        <v>46141</v>
      </c>
      <c r="D612" s="89" t="str">
        <f ca="1"/>
        <v>Periódica</v>
      </c>
      <c r="E612" s="89">
        <f ca="1"/>
        <v>365</v>
      </c>
      <c r="F612" s="89">
        <f ca="1"/>
        <v>8</v>
      </c>
      <c r="G612" s="89" t="str">
        <f ca="1"/>
        <v>VIGENTE</v>
      </c>
    </row>
    <row r="613" spans="1:7" x14ac:dyDescent="0.3">
      <c r="A613" s="89" t="str">
        <f ca="1"/>
        <v>SANDOVAL, MATIAS</v>
      </c>
      <c r="B613" s="89" t="str">
        <f ca="1"/>
        <v>Proteccion Contra Incendios (Todos)</v>
      </c>
      <c r="C613" s="93">
        <f ca="1"/>
        <v>45835</v>
      </c>
      <c r="D613" s="89" t="str">
        <f ca="1"/>
        <v>Periódica</v>
      </c>
      <c r="E613" s="89">
        <f ca="1"/>
        <v>365</v>
      </c>
      <c r="F613" s="89">
        <f ca="1"/>
        <v>1</v>
      </c>
      <c r="G613" s="89" t="str">
        <f ca="1"/>
        <v>VENCIDA</v>
      </c>
    </row>
    <row r="614" spans="1:7" x14ac:dyDescent="0.3">
      <c r="A614" s="89" t="str">
        <f ca="1"/>
        <v>SANDOVAL, MATIAS</v>
      </c>
      <c r="B614" s="89" t="str">
        <f ca="1"/>
        <v>Proteccion Contra Incendios (Brigadistas)</v>
      </c>
      <c r="C614" s="93" t="str">
        <f ca="1"/>
        <v/>
      </c>
      <c r="D614" s="89" t="str">
        <f ca="1"/>
        <v>Periódica</v>
      </c>
      <c r="E614" s="89">
        <f ca="1"/>
        <v>365</v>
      </c>
      <c r="F614" s="89">
        <f ca="1"/>
        <v>2</v>
      </c>
      <c r="G614" s="89" t="str">
        <f ca="1"/>
        <v>SIN FECHA</v>
      </c>
    </row>
    <row r="615" spans="1:7" x14ac:dyDescent="0.3">
      <c r="A615" s="89" t="str">
        <f ca="1"/>
        <v>SANDOVAL, MATIAS</v>
      </c>
      <c r="B615" s="89" t="str">
        <f ca="1"/>
        <v>Primeros Auxilios (Brigadistas)</v>
      </c>
      <c r="C615" s="93" t="str">
        <f ca="1"/>
        <v/>
      </c>
      <c r="D615" s="89" t="str">
        <f ca="1"/>
        <v>Periódica</v>
      </c>
      <c r="E615" s="89">
        <f ca="1"/>
        <v>365</v>
      </c>
      <c r="F615" s="89">
        <f ca="1"/>
        <v>2</v>
      </c>
      <c r="G615" s="89" t="str">
        <f ca="1"/>
        <v>SIN FECHA</v>
      </c>
    </row>
    <row r="616" spans="1:7" x14ac:dyDescent="0.3">
      <c r="A616" s="89" t="str">
        <f ca="1"/>
        <v>SANDOVAL, MATIAS</v>
      </c>
      <c r="B616" s="89" t="str">
        <f ca="1"/>
        <v>Seguridad Electrica (Todos)</v>
      </c>
      <c r="C616" s="93" t="str">
        <f ca="1"/>
        <v/>
      </c>
      <c r="D616" s="89" t="str">
        <f ca="1"/>
        <v>Periódica</v>
      </c>
      <c r="E616" s="89">
        <f ca="1"/>
        <v>365</v>
      </c>
      <c r="F616" s="89">
        <f ca="1"/>
        <v>1</v>
      </c>
      <c r="G616" s="89" t="str">
        <f ca="1"/>
        <v>SIN FECHA</v>
      </c>
    </row>
    <row r="617" spans="1:7" x14ac:dyDescent="0.3">
      <c r="A617" s="89" t="str">
        <f ca="1"/>
        <v>SANDOVAL, MATIAS</v>
      </c>
      <c r="B617" s="89" t="str">
        <f ca="1"/>
        <v>Seguridad Electrica (Personal Autorizado)</v>
      </c>
      <c r="C617" s="93" t="str">
        <f ca="1"/>
        <v/>
      </c>
      <c r="D617" s="89" t="str">
        <f ca="1"/>
        <v>Periódica</v>
      </c>
      <c r="E617" s="89">
        <f ca="1"/>
        <v>1095</v>
      </c>
      <c r="F617" s="89">
        <f ca="1"/>
        <v>4</v>
      </c>
      <c r="G617" s="89" t="str">
        <f ca="1"/>
        <v>SIN FECHA</v>
      </c>
    </row>
    <row r="618" spans="1:7" x14ac:dyDescent="0.3">
      <c r="A618" s="89" t="str">
        <f ca="1"/>
        <v>SANDOVAL, MATIAS</v>
      </c>
      <c r="B618" s="89" t="str">
        <f ca="1"/>
        <v>Camiones Industriales Motorizados (PIT) (Todos)</v>
      </c>
      <c r="C618" s="93" t="str">
        <f ca="1"/>
        <v/>
      </c>
      <c r="D618" s="89" t="str">
        <f ca="1"/>
        <v>Periódica</v>
      </c>
      <c r="E618" s="89">
        <f ca="1"/>
        <v>365</v>
      </c>
      <c r="F618" s="89">
        <f ca="1"/>
        <v>1</v>
      </c>
      <c r="G618" s="89" t="str">
        <f ca="1"/>
        <v>SIN FECHA</v>
      </c>
    </row>
    <row r="619" spans="1:7" x14ac:dyDescent="0.3">
      <c r="A619" s="89" t="str">
        <f ca="1"/>
        <v>SANDOVAL, MATIAS</v>
      </c>
      <c r="B619" s="89" t="str">
        <f ca="1"/>
        <v>Camiones Industriales Motorizados (PIT) (Op. Montacargas)</v>
      </c>
      <c r="C619" s="93" t="str">
        <f ca="1"/>
        <v/>
      </c>
      <c r="D619" s="89" t="str">
        <f ca="1"/>
        <v>Periódica</v>
      </c>
      <c r="E619" s="89">
        <f ca="1"/>
        <v>365</v>
      </c>
      <c r="F619" s="89">
        <f ca="1"/>
        <v>8</v>
      </c>
      <c r="G619" s="89" t="str">
        <f ca="1"/>
        <v>SIN FECHA</v>
      </c>
    </row>
    <row r="620" spans="1:7" x14ac:dyDescent="0.3">
      <c r="A620" s="89" t="str">
        <f ca="1"/>
        <v>SANDOVAL, MATIAS</v>
      </c>
      <c r="B620" s="89" t="str">
        <f ca="1"/>
        <v>Control de Energias Peligrosas (LOTO) (Todos)</v>
      </c>
      <c r="C620" s="93">
        <f ca="1"/>
        <v>45827</v>
      </c>
      <c r="D620" s="89" t="str">
        <f ca="1"/>
        <v>Evento</v>
      </c>
      <c r="E620" s="89">
        <f ca="1"/>
        <v>0</v>
      </c>
      <c r="F620" s="89">
        <f ca="1"/>
        <v>1</v>
      </c>
      <c r="G620" s="89" t="str">
        <f ca="1"/>
        <v>VIGENTE</v>
      </c>
    </row>
    <row r="621" spans="1:7" x14ac:dyDescent="0.3">
      <c r="A621" s="89" t="str">
        <f ca="1"/>
        <v>SANDOVAL, MATIAS</v>
      </c>
      <c r="B621" s="89" t="str">
        <f ca="1"/>
        <v>Control de Energias Peligrosas (LOTO) (Empleados Autorizados)</v>
      </c>
      <c r="C621" s="93">
        <f ca="1"/>
        <v>46164</v>
      </c>
      <c r="D621" s="89" t="str">
        <f ca="1"/>
        <v>Periódica</v>
      </c>
      <c r="E621" s="89">
        <f ca="1"/>
        <v>365</v>
      </c>
      <c r="F621" s="89">
        <f ca="1"/>
        <v>2</v>
      </c>
      <c r="G621" s="89" t="str">
        <f ca="1"/>
        <v>VIGENTE</v>
      </c>
    </row>
    <row r="622" spans="1:7" x14ac:dyDescent="0.3">
      <c r="A622" s="89" t="str">
        <f ca="1"/>
        <v>SANDOVAL, MATIAS</v>
      </c>
      <c r="B622" s="89" t="str">
        <f ca="1"/>
        <v>Seguridad aplicada al Pozo &amp; Yacimiento</v>
      </c>
      <c r="C622" s="93" t="str">
        <f ca="1"/>
        <v/>
      </c>
      <c r="D622" s="89" t="str">
        <f ca="1"/>
        <v>Periódica</v>
      </c>
      <c r="E622" s="89">
        <f ca="1"/>
        <v>365</v>
      </c>
      <c r="F622" s="89">
        <f ca="1"/>
        <v>1</v>
      </c>
      <c r="G622" s="89" t="str">
        <f ca="1"/>
        <v>SIN FECHA</v>
      </c>
    </row>
    <row r="623" spans="1:7" x14ac:dyDescent="0.3">
      <c r="A623" s="89" t="str">
        <f ca="1"/>
        <v>SANDOVAL, MATIAS</v>
      </c>
      <c r="B623" s="89" t="str">
        <f ca="1"/>
        <v>Las Reglas que Salvan Vidas</v>
      </c>
      <c r="C623" s="93" t="str">
        <f ca="1"/>
        <v/>
      </c>
      <c r="D623" s="89" t="str">
        <f ca="1"/>
        <v>Periódica</v>
      </c>
      <c r="E623" s="89">
        <f ca="1"/>
        <v>365</v>
      </c>
      <c r="F623" s="89">
        <f ca="1"/>
        <v>1</v>
      </c>
      <c r="G623" s="89" t="str">
        <f ca="1"/>
        <v>SIN FECHA</v>
      </c>
    </row>
    <row r="624" spans="1:7" x14ac:dyDescent="0.3">
      <c r="A624" s="89" t="str">
        <f ca="1"/>
        <v>SANDOVAL, MATIAS</v>
      </c>
      <c r="B624" s="89" t="str">
        <f ca="1"/>
        <v xml:space="preserve">Resguardo de Maquinas &amp; Equipos </v>
      </c>
      <c r="C624" s="93" t="str">
        <f ca="1"/>
        <v/>
      </c>
      <c r="D624" s="89" t="str">
        <f ca="1"/>
        <v>Periódica</v>
      </c>
      <c r="E624" s="89">
        <f ca="1"/>
        <v>365</v>
      </c>
      <c r="F624" s="89">
        <f ca="1"/>
        <v>1</v>
      </c>
      <c r="G624" s="89" t="str">
        <f ca="1"/>
        <v>SIN FECHA</v>
      </c>
    </row>
    <row r="625" spans="1:7" x14ac:dyDescent="0.3">
      <c r="A625" s="89" t="str">
        <f ca="1"/>
        <v>SANDOVAL, MATIAS</v>
      </c>
      <c r="B625" s="89" t="str">
        <f ca="1"/>
        <v>Conduccion y Gestion de Viajes (Todos)</v>
      </c>
      <c r="C625" s="93">
        <f ca="1"/>
        <v>45827</v>
      </c>
      <c r="D625" s="89" t="str">
        <f ca="1"/>
        <v>Periódica</v>
      </c>
      <c r="E625" s="89">
        <f ca="1"/>
        <v>730</v>
      </c>
      <c r="F625" s="89">
        <f ca="1"/>
        <v>1</v>
      </c>
      <c r="G625" s="89" t="str">
        <f ca="1"/>
        <v>VIGENTE</v>
      </c>
    </row>
    <row r="626" spans="1:7" x14ac:dyDescent="0.3">
      <c r="A626" s="89" t="str">
        <f ca="1"/>
        <v>SANDOVAL, MATIAS</v>
      </c>
      <c r="B626" s="89" t="str">
        <f ca="1"/>
        <v>Conduccion y Gestion de Viajes (Conductores)</v>
      </c>
      <c r="C626" s="93">
        <f ca="1"/>
        <v>46034</v>
      </c>
      <c r="D626" s="89" t="str">
        <f ca="1"/>
        <v>Periódica</v>
      </c>
      <c r="E626" s="89">
        <f ca="1"/>
        <v>1095</v>
      </c>
      <c r="F626" s="89">
        <f ca="1"/>
        <v>5</v>
      </c>
      <c r="G626" s="89" t="str">
        <f ca="1"/>
        <v>VIGENTE</v>
      </c>
    </row>
    <row r="627" spans="1:7" x14ac:dyDescent="0.3">
      <c r="A627" s="89" t="str">
        <f ca="1"/>
        <v>SANDOVAL, MATIAS</v>
      </c>
      <c r="B627" s="89" t="str">
        <f ca="1"/>
        <v>Patogenos Transmitidos por la Sangre</v>
      </c>
      <c r="C627" s="93" t="str">
        <f ca="1"/>
        <v/>
      </c>
      <c r="D627" s="89" t="str">
        <f ca="1"/>
        <v>Periódica</v>
      </c>
      <c r="E627" s="89">
        <f ca="1"/>
        <v>365</v>
      </c>
      <c r="F627" s="89">
        <f ca="1"/>
        <v>1</v>
      </c>
      <c r="G627" s="89" t="str">
        <f ca="1"/>
        <v>SIN FECHA</v>
      </c>
    </row>
    <row r="628" spans="1:7" x14ac:dyDescent="0.3">
      <c r="A628" s="89" t="str">
        <f ca="1"/>
        <v>SANDOVAL, MATIAS</v>
      </c>
      <c r="B628" s="89" t="str">
        <f ca="1"/>
        <v>Conservacion Auditiva</v>
      </c>
      <c r="C628" s="93" t="str">
        <f ca="1"/>
        <v/>
      </c>
      <c r="D628" s="89" t="str">
        <f ca="1"/>
        <v>Periódica</v>
      </c>
      <c r="E628" s="89">
        <f ca="1"/>
        <v>365</v>
      </c>
      <c r="F628" s="89">
        <f ca="1"/>
        <v>1</v>
      </c>
      <c r="G628" s="89" t="str">
        <f ca="1"/>
        <v>SIN FECHA</v>
      </c>
    </row>
    <row r="629" spans="1:7" x14ac:dyDescent="0.3">
      <c r="A629" s="89" t="str">
        <f ca="1"/>
        <v>SANDOVAL, MATIAS</v>
      </c>
      <c r="B629" s="89" t="str">
        <f ca="1"/>
        <v xml:space="preserve">Ergonomia //  / Levantamiento &amp; Seguridad en la Espalda </v>
      </c>
      <c r="C629" s="93" t="str">
        <f ca="1"/>
        <v/>
      </c>
      <c r="D629" s="89" t="str">
        <f ca="1"/>
        <v>Periódica</v>
      </c>
      <c r="E629" s="89">
        <f ca="1"/>
        <v>365</v>
      </c>
      <c r="F629" s="89">
        <f ca="1"/>
        <v>1</v>
      </c>
      <c r="G629" s="89" t="str">
        <f ca="1"/>
        <v>SIN FECHA</v>
      </c>
    </row>
    <row r="630" spans="1:7" x14ac:dyDescent="0.3">
      <c r="A630" s="89" t="str">
        <f ca="1"/>
        <v>SANDOVAL, MATIAS</v>
      </c>
      <c r="B630" s="89" t="str">
        <f ca="1"/>
        <v>Superficies Elevadas (Todos)</v>
      </c>
      <c r="C630" s="93" t="str">
        <f ca="1"/>
        <v/>
      </c>
      <c r="D630" s="89" t="str">
        <f ca="1"/>
        <v>Periódica</v>
      </c>
      <c r="E630" s="89">
        <f ca="1"/>
        <v>365</v>
      </c>
      <c r="F630" s="89">
        <f ca="1"/>
        <v>1</v>
      </c>
      <c r="G630" s="89" t="str">
        <f ca="1"/>
        <v>SIN FECHA</v>
      </c>
    </row>
    <row r="631" spans="1:7" x14ac:dyDescent="0.3">
      <c r="A631" s="89" t="str">
        <f ca="1"/>
        <v>SANDOVAL, MATIAS</v>
      </c>
      <c r="B631" s="89" t="str">
        <f ca="1"/>
        <v>Superficies Elevadas (Personal Habilitado)</v>
      </c>
      <c r="C631" s="93" t="str">
        <f ca="1"/>
        <v/>
      </c>
      <c r="D631" s="89" t="str">
        <f ca="1"/>
        <v>Periódica</v>
      </c>
      <c r="E631" s="89">
        <f ca="1"/>
        <v>365</v>
      </c>
      <c r="F631" s="89">
        <f ca="1"/>
        <v>8</v>
      </c>
      <c r="G631" s="89" t="str">
        <f ca="1"/>
        <v>SIN FECHA</v>
      </c>
    </row>
    <row r="632" spans="1:7" x14ac:dyDescent="0.3">
      <c r="A632" s="89" t="str">
        <f ca="1"/>
        <v>SANDOVAL, MATIAS</v>
      </c>
      <c r="B632" s="89" t="str">
        <f ca="1"/>
        <v>Seguridad Quimica (Todos)</v>
      </c>
      <c r="C632" s="93" t="str">
        <f ca="1"/>
        <v/>
      </c>
      <c r="D632" s="89" t="str">
        <f ca="1"/>
        <v>Periódica</v>
      </c>
      <c r="E632" s="89">
        <f ca="1"/>
        <v>730</v>
      </c>
      <c r="F632" s="89">
        <f ca="1"/>
        <v>1</v>
      </c>
      <c r="G632" s="89" t="str">
        <f ca="1"/>
        <v>SIN FECHA</v>
      </c>
    </row>
    <row r="633" spans="1:7" x14ac:dyDescent="0.3">
      <c r="A633" s="89" t="str">
        <f ca="1"/>
        <v>SANDOVAL, MATIAS</v>
      </c>
      <c r="B633" s="89" t="str">
        <f ca="1"/>
        <v>Seguridad Quimica (Mantenimiento)</v>
      </c>
      <c r="C633" s="93" t="str">
        <f ca="1"/>
        <v/>
      </c>
      <c r="D633" s="89" t="str">
        <f ca="1"/>
        <v>Periódica</v>
      </c>
      <c r="E633" s="89">
        <f ca="1"/>
        <v>365</v>
      </c>
      <c r="F633" s="89">
        <f ca="1"/>
        <v>1</v>
      </c>
      <c r="G633" s="89" t="str">
        <f ca="1"/>
        <v>SIN FECHA</v>
      </c>
    </row>
    <row r="634" spans="1:7" x14ac:dyDescent="0.3">
      <c r="A634" s="89" t="str">
        <f ca="1"/>
        <v>SANDOVAL, MATIAS</v>
      </c>
      <c r="B634" s="89" t="str">
        <f ca="1"/>
        <v>Seguridad Quimica (Contratistas)</v>
      </c>
      <c r="C634" s="93" t="str">
        <f ca="1"/>
        <v/>
      </c>
      <c r="D634" s="89" t="str">
        <f ca="1"/>
        <v>Periódica</v>
      </c>
      <c r="E634" s="89">
        <f ca="1"/>
        <v>365</v>
      </c>
      <c r="F634" s="89">
        <f ca="1"/>
        <v>1</v>
      </c>
      <c r="G634" s="89" t="str">
        <f ca="1"/>
        <v>SIN FECHA</v>
      </c>
    </row>
    <row r="635" spans="1:7" x14ac:dyDescent="0.3">
      <c r="A635" s="89" t="str">
        <f ca="1"/>
        <v>SANDOVAL, MATIAS</v>
      </c>
      <c r="B635" s="89" t="str">
        <f ca="1"/>
        <v>Seguridad para Trabajos en Caliente</v>
      </c>
      <c r="C635" s="93">
        <f ca="1"/>
        <v>45835</v>
      </c>
      <c r="D635" s="89" t="str">
        <f ca="1"/>
        <v>Periódica</v>
      </c>
      <c r="E635" s="89">
        <f ca="1"/>
        <v>365</v>
      </c>
      <c r="F635" s="89">
        <f ca="1"/>
        <v>1</v>
      </c>
      <c r="G635" s="89" t="str">
        <f ca="1"/>
        <v>VENCIDA</v>
      </c>
    </row>
    <row r="636" spans="1:7" x14ac:dyDescent="0.3">
      <c r="A636" s="89" t="str">
        <f ca="1"/>
        <v>SANDOVAL, MATIAS</v>
      </c>
      <c r="B636" s="89" t="str">
        <f ca="1"/>
        <v>Seguridad con la Radiacion</v>
      </c>
      <c r="C636" s="93" t="str">
        <f ca="1"/>
        <v/>
      </c>
      <c r="D636" s="89" t="str">
        <f ca="1"/>
        <v>Periódica</v>
      </c>
      <c r="E636" s="89">
        <f ca="1"/>
        <v>365</v>
      </c>
      <c r="F636" s="89">
        <f ca="1"/>
        <v>2</v>
      </c>
      <c r="G636" s="89" t="str">
        <f ca="1"/>
        <v>SIN FECHA</v>
      </c>
    </row>
    <row r="637" spans="1:7" x14ac:dyDescent="0.3">
      <c r="A637" s="89" t="str">
        <f ca="1"/>
        <v>SANDOVAL, MATIAS</v>
      </c>
      <c r="B637" s="89" t="str">
        <f ca="1"/>
        <v>Equipo de Proteccion Personal (PPE)</v>
      </c>
      <c r="C637" s="93" t="str">
        <f ca="1"/>
        <v/>
      </c>
      <c r="D637" s="89" t="str">
        <f ca="1"/>
        <v>Periódica</v>
      </c>
      <c r="E637" s="89">
        <f ca="1"/>
        <v>365</v>
      </c>
      <c r="F637" s="89">
        <f ca="1"/>
        <v>1</v>
      </c>
      <c r="G637" s="89" t="str">
        <f ca="1"/>
        <v>SIN FECHA</v>
      </c>
    </row>
    <row r="638" spans="1:7" x14ac:dyDescent="0.3">
      <c r="A638" s="89" t="str">
        <f ca="1"/>
        <v>SANDOVAL, MATIAS</v>
      </c>
      <c r="B638" s="89" t="str">
        <f ca="1"/>
        <v>Proteccion Respiratoria</v>
      </c>
      <c r="C638" s="93" t="str">
        <f ca="1"/>
        <v/>
      </c>
      <c r="D638" s="89" t="str">
        <f ca="1"/>
        <v>Periódica</v>
      </c>
      <c r="E638" s="89">
        <f ca="1"/>
        <v>365</v>
      </c>
      <c r="F638" s="89">
        <f ca="1"/>
        <v>1</v>
      </c>
      <c r="G638" s="89" t="str">
        <f ca="1"/>
        <v>SIN FECHA</v>
      </c>
    </row>
    <row r="639" spans="1:7" x14ac:dyDescent="0.3">
      <c r="A639" s="89" t="str">
        <f ca="1"/>
        <v>SANDOVAL, MATIAS</v>
      </c>
      <c r="B639" s="89" t="str">
        <f ca="1"/>
        <v xml:space="preserve">Seguridad con Escaleras </v>
      </c>
      <c r="C639" s="93" t="str">
        <f ca="1"/>
        <v/>
      </c>
      <c r="D639" s="89" t="str">
        <f ca="1"/>
        <v>Periódica</v>
      </c>
      <c r="E639" s="89">
        <f ca="1"/>
        <v>365</v>
      </c>
      <c r="F639" s="89">
        <f ca="1"/>
        <v>1</v>
      </c>
      <c r="G639" s="89" t="str">
        <f ca="1"/>
        <v>SIN FECHA</v>
      </c>
    </row>
    <row r="640" spans="1:7" x14ac:dyDescent="0.3">
      <c r="A640" s="89" t="str">
        <f ca="1"/>
        <v>SANDOVAL, MATIAS</v>
      </c>
      <c r="B640" s="89" t="str">
        <f ca="1"/>
        <v>Seguridad con Escaleras // Estantes de Almacenamiento</v>
      </c>
      <c r="C640" s="93" t="str">
        <f ca="1"/>
        <v/>
      </c>
      <c r="D640" s="89" t="str">
        <f ca="1"/>
        <v>Periódica</v>
      </c>
      <c r="E640" s="89">
        <f ca="1"/>
        <v>365</v>
      </c>
      <c r="F640" s="89">
        <f ca="1"/>
        <v>1</v>
      </c>
      <c r="G640" s="89" t="str">
        <f ca="1"/>
        <v>SIN FECHA</v>
      </c>
    </row>
    <row r="641" spans="1:7" x14ac:dyDescent="0.3">
      <c r="A641" s="89" t="str">
        <f ca="1"/>
        <v>SANDOVAL, MATIAS</v>
      </c>
      <c r="B641" s="89" t="str">
        <f ca="1"/>
        <v>Responsabilidades del Supervisor</v>
      </c>
      <c r="C641" s="93" t="str">
        <f ca="1"/>
        <v/>
      </c>
      <c r="D641" s="89" t="str">
        <f ca="1"/>
        <v>Periódica</v>
      </c>
      <c r="E641" s="89">
        <f ca="1"/>
        <v>365</v>
      </c>
      <c r="F641" s="89">
        <f ca="1"/>
        <v>1</v>
      </c>
      <c r="G641" s="89" t="str">
        <f ca="1"/>
        <v>SIN FECHA</v>
      </c>
    </row>
    <row r="642" spans="1:7" x14ac:dyDescent="0.3">
      <c r="A642" s="89" t="str">
        <f ca="1"/>
        <v>SANDOVAL, MATIAS</v>
      </c>
      <c r="B642" s="89" t="str">
        <f ca="1"/>
        <v>Espacios Confinados (Todos)</v>
      </c>
      <c r="C642" s="93" t="str">
        <f ca="1"/>
        <v/>
      </c>
      <c r="D642" s="89" t="str">
        <f ca="1"/>
        <v>Periódica</v>
      </c>
      <c r="E642" s="89">
        <f ca="1"/>
        <v>365</v>
      </c>
      <c r="F642" s="89">
        <f ca="1"/>
        <v>1</v>
      </c>
      <c r="G642" s="89" t="str">
        <f ca="1"/>
        <v>SIN FECHA</v>
      </c>
    </row>
    <row r="643" spans="1:7" x14ac:dyDescent="0.3">
      <c r="A643" s="89" t="str">
        <f ca="1"/>
        <v>SANDOVAL, MATIAS</v>
      </c>
      <c r="B643" s="89" t="str">
        <f ca="1"/>
        <v>HSMS.017 / Espacios Confinados (Entrantes)</v>
      </c>
      <c r="C643" s="93" t="str">
        <f ca="1"/>
        <v/>
      </c>
      <c r="D643" s="89" t="str">
        <f ca="1"/>
        <v>Evento</v>
      </c>
      <c r="E643" s="89">
        <f ca="1"/>
        <v>0</v>
      </c>
      <c r="F643" s="89">
        <f ca="1"/>
        <v>8</v>
      </c>
      <c r="G643" s="89" t="str">
        <f ca="1"/>
        <v>SIN FECHA</v>
      </c>
    </row>
    <row r="644" spans="1:7" x14ac:dyDescent="0.3">
      <c r="A644" s="89" t="str">
        <f ca="1"/>
        <v>SANDOVAL, MATIAS</v>
      </c>
      <c r="B644" s="89" t="str">
        <f ca="1"/>
        <v>Programa de Agua (Todos)</v>
      </c>
      <c r="C644" s="93" t="str">
        <f ca="1"/>
        <v/>
      </c>
      <c r="D644" s="89" t="str">
        <f ca="1"/>
        <v>Evento</v>
      </c>
      <c r="E644" s="89">
        <f ca="1"/>
        <v>0</v>
      </c>
      <c r="F644" s="89">
        <f ca="1"/>
        <v>1</v>
      </c>
      <c r="G644" s="89" t="str">
        <f ca="1"/>
        <v>SIN FECHA</v>
      </c>
    </row>
    <row r="645" spans="1:7" x14ac:dyDescent="0.3">
      <c r="A645" s="89" t="str">
        <f ca="1"/>
        <v>SANDOVAL, MATIAS</v>
      </c>
      <c r="B645" s="89" t="str">
        <f ca="1"/>
        <v>Programa de Agua (HSE)</v>
      </c>
      <c r="C645" s="93" t="str">
        <f ca="1"/>
        <v/>
      </c>
      <c r="D645" s="89" t="str">
        <f ca="1"/>
        <v>Evento</v>
      </c>
      <c r="E645" s="89">
        <f ca="1"/>
        <v>0</v>
      </c>
      <c r="F645" s="89">
        <f ca="1"/>
        <v>1</v>
      </c>
      <c r="G645" s="89" t="str">
        <f ca="1"/>
        <v>SIN FECHA</v>
      </c>
    </row>
    <row r="646" spans="1:7" x14ac:dyDescent="0.3">
      <c r="A646" s="89" t="str">
        <f ca="1"/>
        <v>SANDOVAL, MATIAS</v>
      </c>
      <c r="B646" s="89" t="str">
        <f ca="1"/>
        <v>HIV/SIDA y otras enfermedades de transmisión sexual (ETS)</v>
      </c>
      <c r="C646" s="93" t="str">
        <f ca="1"/>
        <v/>
      </c>
      <c r="D646" s="89" t="str">
        <f ca="1"/>
        <v>Periódica</v>
      </c>
      <c r="E646" s="89">
        <f ca="1"/>
        <v>365</v>
      </c>
      <c r="F646" s="89">
        <f ca="1"/>
        <v>1</v>
      </c>
      <c r="G646" s="89" t="str">
        <f ca="1"/>
        <v>SIN FECHA</v>
      </c>
    </row>
    <row r="647" spans="1:7" x14ac:dyDescent="0.3">
      <c r="A647" s="89" t="str">
        <f ca="1"/>
        <v>SANDOVAL, MATIAS</v>
      </c>
      <c r="B647" s="89" t="str">
        <f ca="1"/>
        <v>Drogas de abuso (concientización y prevención)</v>
      </c>
      <c r="C647" s="93" t="str">
        <f ca="1"/>
        <v/>
      </c>
      <c r="D647" s="89" t="str">
        <f ca="1"/>
        <v>Periódica</v>
      </c>
      <c r="E647" s="89">
        <f ca="1"/>
        <v>365</v>
      </c>
      <c r="F647" s="89">
        <f ca="1"/>
        <v>1</v>
      </c>
      <c r="G647" s="89" t="str">
        <f ca="1"/>
        <v>SIN FECHA</v>
      </c>
    </row>
    <row r="648" spans="1:7" x14ac:dyDescent="0.3">
      <c r="A648" s="89" t="str">
        <f ca="1"/>
        <v>SANDOVAL, MATIAS</v>
      </c>
      <c r="B648" s="89" t="str">
        <f ca="1"/>
        <v>Vida saludable (hábitos, autocuidado y bienestar)</v>
      </c>
      <c r="C648" s="93" t="str">
        <f ca="1"/>
        <v/>
      </c>
      <c r="D648" s="89" t="str">
        <f ca="1"/>
        <v>Periódica</v>
      </c>
      <c r="E648" s="89">
        <f ca="1"/>
        <v>365</v>
      </c>
      <c r="F648" s="89">
        <f ca="1"/>
        <v>1</v>
      </c>
      <c r="G648" s="89" t="str">
        <f ca="1"/>
        <v>SIN FECHA</v>
      </c>
    </row>
    <row r="649" spans="1:7" x14ac:dyDescent="0.3">
      <c r="A649" s="89" t="str">
        <f ca="1"/>
        <v>SANDOVAL, MATIAS</v>
      </c>
      <c r="B649" s="89" t="str">
        <f ca="1"/>
        <v>Primeros auxilios y Reanimación Cardio Pulmonar (RCP)</v>
      </c>
      <c r="C649" s="93" t="str">
        <f ca="1"/>
        <v/>
      </c>
      <c r="D649" s="89" t="str">
        <f ca="1"/>
        <v>Periódica</v>
      </c>
      <c r="E649" s="89">
        <f ca="1"/>
        <v>365</v>
      </c>
      <c r="F649" s="89">
        <f ca="1"/>
        <v>4</v>
      </c>
      <c r="G649" s="89" t="str">
        <f ca="1"/>
        <v>SIN FECHA</v>
      </c>
    </row>
    <row r="650" spans="1:7" x14ac:dyDescent="0.3">
      <c r="A650" s="89" t="str">
        <f ca="1"/>
        <v>SANDOVAL, MATIAS</v>
      </c>
      <c r="B650" s="89" t="str">
        <f ca="1"/>
        <v>Prevención cardiovascular (factores de riesgo y señales de alarma)</v>
      </c>
      <c r="C650" s="93" t="str">
        <f ca="1"/>
        <v/>
      </c>
      <c r="D650" s="89" t="str">
        <f ca="1"/>
        <v>Periódica</v>
      </c>
      <c r="E650" s="89">
        <f ca="1"/>
        <v>365</v>
      </c>
      <c r="F650" s="89">
        <f ca="1"/>
        <v>1</v>
      </c>
      <c r="G650" s="89" t="str">
        <f ca="1"/>
        <v>SIN FECHA</v>
      </c>
    </row>
    <row r="651" spans="1:7" x14ac:dyDescent="0.3">
      <c r="A651" s="89" t="str">
        <f ca="1"/>
        <v>SANDOVAL, MATIAS</v>
      </c>
      <c r="B651" s="89" t="str">
        <f ca="1"/>
        <v>Efectos del tabaco sobre la salud</v>
      </c>
      <c r="C651" s="93" t="str">
        <f ca="1"/>
        <v/>
      </c>
      <c r="D651" s="89" t="str">
        <f ca="1"/>
        <v>Periódica</v>
      </c>
      <c r="E651" s="89">
        <f ca="1"/>
        <v>365</v>
      </c>
      <c r="F651" s="89">
        <f ca="1"/>
        <v>1</v>
      </c>
      <c r="G651" s="89" t="str">
        <f ca="1"/>
        <v>SIN FECHA</v>
      </c>
    </row>
    <row r="652" spans="1:7" x14ac:dyDescent="0.3">
      <c r="A652" s="89" t="str">
        <f ca="1"/>
        <v>SANDOVAL, MATIAS</v>
      </c>
      <c r="B652" s="89" t="str">
        <f ca="1"/>
        <v>Cargadora (Op. Montacargas)</v>
      </c>
      <c r="C652" s="93" t="str">
        <f ca="1"/>
        <v/>
      </c>
      <c r="D652" s="89" t="str">
        <f ca="1"/>
        <v>Periódica</v>
      </c>
      <c r="E652" s="89">
        <f ca="1"/>
        <v>365</v>
      </c>
      <c r="F652" s="89">
        <f ca="1"/>
        <v>8</v>
      </c>
      <c r="G652" s="89" t="str">
        <f ca="1"/>
        <v>SIN FECHA</v>
      </c>
    </row>
    <row r="653" spans="1:7" x14ac:dyDescent="0.3">
      <c r="A653" s="89" t="str">
        <f ca="1"/>
        <v>SANDOVAL, MATIAS</v>
      </c>
      <c r="B653" s="89">
        <f ca="1"/>
        <v>0</v>
      </c>
      <c r="C653" s="93" t="str">
        <f ca="1"/>
        <v/>
      </c>
      <c r="D653" s="89" t="str">
        <f ca="1"/>
        <v/>
      </c>
      <c r="E653" s="89" t="str">
        <f ca="1"/>
        <v/>
      </c>
      <c r="F653" s="89" t="str">
        <f ca="1"/>
        <v/>
      </c>
      <c r="G653" s="89" t="str">
        <f ca="1"/>
        <v>SIN FECHA</v>
      </c>
    </row>
    <row r="654" spans="1:7" x14ac:dyDescent="0.3">
      <c r="A654" s="89" t="str">
        <f ca="1"/>
        <v>SANDOVAL, MATIAS</v>
      </c>
      <c r="B654" s="89">
        <f ca="1"/>
        <v>0</v>
      </c>
      <c r="C654" s="93" t="str">
        <f ca="1"/>
        <v/>
      </c>
      <c r="D654" s="89" t="str">
        <f ca="1"/>
        <v/>
      </c>
      <c r="E654" s="89" t="str">
        <f ca="1"/>
        <v/>
      </c>
      <c r="F654" s="89" t="str">
        <f ca="1"/>
        <v/>
      </c>
      <c r="G654" s="89" t="str">
        <f ca="1"/>
        <v>SIN FECHA</v>
      </c>
    </row>
    <row r="655" spans="1:7" x14ac:dyDescent="0.3">
      <c r="A655" s="89" t="str">
        <f ca="1"/>
        <v>SANDOVAL, MATIAS</v>
      </c>
      <c r="B655" s="89">
        <f ca="1"/>
        <v>0</v>
      </c>
      <c r="C655" s="93" t="str">
        <f ca="1"/>
        <v/>
      </c>
      <c r="D655" s="89" t="str">
        <f ca="1"/>
        <v/>
      </c>
      <c r="E655" s="89" t="str">
        <f ca="1"/>
        <v/>
      </c>
      <c r="F655" s="89" t="str">
        <f ca="1"/>
        <v/>
      </c>
      <c r="G655" s="89" t="str">
        <f ca="1"/>
        <v>SIN FECHA</v>
      </c>
    </row>
    <row r="656" spans="1:7" x14ac:dyDescent="0.3">
      <c r="A656" s="89" t="str">
        <f ca="1"/>
        <v>SANDOVAL, MATIAS</v>
      </c>
      <c r="B656" s="89">
        <f ca="1"/>
        <v>0</v>
      </c>
      <c r="C656" s="93" t="str">
        <f ca="1"/>
        <v/>
      </c>
      <c r="D656" s="89" t="str">
        <f ca="1"/>
        <v/>
      </c>
      <c r="E656" s="89" t="str">
        <f ca="1"/>
        <v/>
      </c>
      <c r="F656" s="89" t="str">
        <f ca="1"/>
        <v/>
      </c>
      <c r="G656" s="89" t="str">
        <f ca="1"/>
        <v>SIN FECHA</v>
      </c>
    </row>
    <row r="657" spans="1:7" x14ac:dyDescent="0.3">
      <c r="A657" s="89" t="str">
        <f ca="1"/>
        <v>SANDOVAL, MATIAS</v>
      </c>
      <c r="B657" s="89">
        <f ca="1"/>
        <v>0</v>
      </c>
      <c r="C657" s="93" t="str">
        <f ca="1"/>
        <v/>
      </c>
      <c r="D657" s="89" t="str">
        <f ca="1"/>
        <v/>
      </c>
      <c r="E657" s="89" t="str">
        <f ca="1"/>
        <v/>
      </c>
      <c r="F657" s="89" t="str">
        <f ca="1"/>
        <v/>
      </c>
      <c r="G657" s="89" t="str">
        <f ca="1"/>
        <v>SIN FECHA</v>
      </c>
    </row>
    <row r="658" spans="1:7" x14ac:dyDescent="0.3">
      <c r="A658" s="89" t="str">
        <f ca="1"/>
        <v>SANDOVAL, MATIAS</v>
      </c>
      <c r="B658" s="89">
        <f ca="1"/>
        <v>0</v>
      </c>
      <c r="C658" s="93" t="str">
        <f ca="1"/>
        <v/>
      </c>
      <c r="D658" s="89" t="str">
        <f ca="1"/>
        <v/>
      </c>
      <c r="E658" s="89" t="str">
        <f ca="1"/>
        <v/>
      </c>
      <c r="F658" s="89" t="str">
        <f ca="1"/>
        <v/>
      </c>
      <c r="G658" s="89" t="str">
        <f ca="1"/>
        <v>SIN FECHA</v>
      </c>
    </row>
    <row r="659" spans="1:7" x14ac:dyDescent="0.3">
      <c r="A659" s="89" t="str">
        <f ca="1"/>
        <v>SANDOVAL, MATIAS</v>
      </c>
      <c r="B659" s="89">
        <f ca="1"/>
        <v>0</v>
      </c>
      <c r="C659" s="93" t="str">
        <f ca="1"/>
        <v/>
      </c>
      <c r="D659" s="89" t="str">
        <f ca="1"/>
        <v/>
      </c>
      <c r="E659" s="89" t="str">
        <f ca="1"/>
        <v/>
      </c>
      <c r="F659" s="89" t="str">
        <f ca="1"/>
        <v/>
      </c>
      <c r="G659" s="89" t="str">
        <f ca="1"/>
        <v>SIN FECHA</v>
      </c>
    </row>
    <row r="660" spans="1:7" x14ac:dyDescent="0.3">
      <c r="A660" s="89" t="str">
        <f ca="1"/>
        <v>SANDOVAL, MATIAS</v>
      </c>
      <c r="B660" s="89">
        <f ca="1"/>
        <v>0</v>
      </c>
      <c r="C660" s="93" t="str">
        <f ca="1"/>
        <v/>
      </c>
      <c r="D660" s="89" t="str">
        <f ca="1"/>
        <v/>
      </c>
      <c r="E660" s="89" t="str">
        <f ca="1"/>
        <v/>
      </c>
      <c r="F660" s="89" t="str">
        <f ca="1"/>
        <v/>
      </c>
      <c r="G660" s="89" t="str">
        <f ca="1"/>
        <v>SIN FECHA</v>
      </c>
    </row>
    <row r="661" spans="1:7" x14ac:dyDescent="0.3">
      <c r="A661" s="89" t="str">
        <f ca="1"/>
        <v>SANDOVAL, MATIAS</v>
      </c>
      <c r="B661" s="89">
        <f ca="1"/>
        <v>0</v>
      </c>
      <c r="C661" s="93" t="str">
        <f ca="1"/>
        <v/>
      </c>
      <c r="D661" s="89" t="str">
        <f ca="1"/>
        <v/>
      </c>
      <c r="E661" s="89" t="str">
        <f ca="1"/>
        <v/>
      </c>
      <c r="F661" s="89" t="str">
        <f ca="1"/>
        <v/>
      </c>
      <c r="G661" s="89" t="str">
        <f ca="1"/>
        <v>SIN FECHA</v>
      </c>
    </row>
    <row r="662" spans="1:7" x14ac:dyDescent="0.3">
      <c r="A662" s="89" t="str">
        <f ca="1"/>
        <v>WOODLEY, ENRIQUE JAVIER</v>
      </c>
      <c r="B662" s="89" t="str">
        <f ca="1"/>
        <v>Programa de Aire</v>
      </c>
      <c r="C662" s="93" t="str">
        <f ca="1"/>
        <v/>
      </c>
      <c r="D662" s="89" t="str">
        <f ca="1"/>
        <v>Evento</v>
      </c>
      <c r="E662" s="89">
        <f ca="1"/>
        <v>0</v>
      </c>
      <c r="F662" s="89">
        <f ca="1"/>
        <v>1</v>
      </c>
      <c r="G662" s="89" t="str">
        <f ca="1"/>
        <v>SIN FECHA</v>
      </c>
    </row>
    <row r="663" spans="1:7" x14ac:dyDescent="0.3">
      <c r="A663" s="89" t="str">
        <f ca="1"/>
        <v>WOODLEY, ENRIQUE JAVIER</v>
      </c>
      <c r="B663" s="89" t="str">
        <f ca="1"/>
        <v>Conciencia Ambiental</v>
      </c>
      <c r="C663" s="93" t="str">
        <f ca="1"/>
        <v/>
      </c>
      <c r="D663" s="89" t="str">
        <f ca="1"/>
        <v>Periódica</v>
      </c>
      <c r="E663" s="89">
        <f ca="1"/>
        <v>365</v>
      </c>
      <c r="F663" s="89">
        <f ca="1"/>
        <v>1</v>
      </c>
      <c r="G663" s="89" t="str">
        <f ca="1"/>
        <v>SIN FECHA</v>
      </c>
    </row>
    <row r="664" spans="1:7" x14ac:dyDescent="0.3">
      <c r="A664" s="89" t="str">
        <f ca="1"/>
        <v>WOODLEY, ENRIQUE JAVIER</v>
      </c>
      <c r="B664" s="89" t="str">
        <f ca="1"/>
        <v xml:space="preserve">Control de Documentos e Informacion de HSE </v>
      </c>
      <c r="C664" s="93" t="str">
        <f ca="1"/>
        <v/>
      </c>
      <c r="D664" s="89" t="str">
        <f ca="1"/>
        <v>Evento</v>
      </c>
      <c r="E664" s="89">
        <f ca="1"/>
        <v>0</v>
      </c>
      <c r="F664" s="89">
        <f ca="1"/>
        <v>1</v>
      </c>
      <c r="G664" s="89" t="str">
        <f ca="1"/>
        <v>SIN FECHA</v>
      </c>
    </row>
    <row r="665" spans="1:7" x14ac:dyDescent="0.3">
      <c r="A665" s="89" t="str">
        <f ca="1"/>
        <v>WOODLEY, ENRIQUE JAVIER</v>
      </c>
      <c r="B665" s="89" t="str">
        <f ca="1"/>
        <v xml:space="preserve"> Acciones Correctivas y Preventivas (CAPA)</v>
      </c>
      <c r="C665" s="93" t="str">
        <f ca="1"/>
        <v/>
      </c>
      <c r="D665" s="89" t="str">
        <f ca="1"/>
        <v>Evento</v>
      </c>
      <c r="E665" s="89">
        <f ca="1"/>
        <v>0</v>
      </c>
      <c r="F665" s="89">
        <f ca="1"/>
        <v>1</v>
      </c>
      <c r="G665" s="89" t="str">
        <f ca="1"/>
        <v>SIN FECHA</v>
      </c>
    </row>
    <row r="666" spans="1:7" x14ac:dyDescent="0.3">
      <c r="A666" s="89" t="str">
        <f ca="1"/>
        <v>WOODLEY, ENRIQUE JAVIER</v>
      </c>
      <c r="B666" s="89" t="str">
        <f ca="1"/>
        <v>Seguridad Basada en el Comportamiento (Observation Program) // HSMS.043 / Autoridad de Detener el Trabajo</v>
      </c>
      <c r="C666" s="93" t="str">
        <f ca="1"/>
        <v/>
      </c>
      <c r="D666" s="89" t="str">
        <f ca="1"/>
        <v>Periódica</v>
      </c>
      <c r="E666" s="89">
        <f ca="1"/>
        <v>365</v>
      </c>
      <c r="F666" s="89">
        <f ca="1"/>
        <v>1</v>
      </c>
      <c r="G666" s="89" t="str">
        <f ca="1"/>
        <v>SIN FECHA</v>
      </c>
    </row>
    <row r="667" spans="1:7" x14ac:dyDescent="0.3">
      <c r="A667" s="89" t="str">
        <f ca="1"/>
        <v>WOODLEY, ENRIQUE JAVIER</v>
      </c>
      <c r="B667" s="89" t="str">
        <f ca="1"/>
        <v>Identificacion de Peligros y Evaluacion de Riesgos</v>
      </c>
      <c r="C667" s="93">
        <f ca="1"/>
        <v>46020</v>
      </c>
      <c r="D667" s="89" t="str">
        <f ca="1"/>
        <v>Evento</v>
      </c>
      <c r="E667" s="89">
        <f ca="1"/>
        <v>0</v>
      </c>
      <c r="F667" s="89">
        <f ca="1"/>
        <v>1</v>
      </c>
      <c r="G667" s="89" t="str">
        <f ca="1"/>
        <v>VIGENTE</v>
      </c>
    </row>
    <row r="668" spans="1:7" x14ac:dyDescent="0.3">
      <c r="A668" s="89" t="str">
        <f ca="1"/>
        <v>WOODLEY, ENRIQUE JAVIER</v>
      </c>
      <c r="B668" s="89" t="str">
        <f ca="1"/>
        <v xml:space="preserve"> Plan de Respuesta ante Eemergencias / HSMS.010 /Primeros Axulios &amp; RCP/DEA / HSMSWT-002 / Patogenos Trasnmitidos por la Sangre</v>
      </c>
      <c r="C668" s="93" t="str">
        <f ca="1"/>
        <v/>
      </c>
      <c r="D668" s="89" t="str">
        <f ca="1"/>
        <v>Periódica</v>
      </c>
      <c r="E668" s="89">
        <f ca="1"/>
        <v>365</v>
      </c>
      <c r="F668" s="89">
        <f ca="1"/>
        <v>1</v>
      </c>
      <c r="G668" s="89" t="str">
        <f ca="1"/>
        <v>SIN FECHA</v>
      </c>
    </row>
    <row r="669" spans="1:7" x14ac:dyDescent="0.3">
      <c r="A669" s="89" t="str">
        <f ca="1"/>
        <v>WOODLEY, ENRIQUE JAVIER</v>
      </c>
      <c r="B669" s="89" t="str">
        <f ca="1"/>
        <v>Reporte y Gestion de Incidentes HSE (Todos)</v>
      </c>
      <c r="C669" s="93">
        <f ca="1"/>
        <v>46013</v>
      </c>
      <c r="D669" s="89" t="str">
        <f ca="1"/>
        <v>Periódica</v>
      </c>
      <c r="E669" s="89">
        <f ca="1"/>
        <v>365</v>
      </c>
      <c r="F669" s="89">
        <f ca="1"/>
        <v>1</v>
      </c>
      <c r="G669" s="89" t="str">
        <f ca="1"/>
        <v>VIGENTE</v>
      </c>
    </row>
    <row r="670" spans="1:7" x14ac:dyDescent="0.3">
      <c r="A670" s="89" t="str">
        <f ca="1"/>
        <v>WOODLEY, ENRIQUE JAVIER</v>
      </c>
      <c r="B670" s="89" t="str">
        <f ca="1"/>
        <v>Reporte, Gestion e Investigacion de Incidentes HSE (supervisores / investigadores (rol))</v>
      </c>
      <c r="C670" s="93" t="str">
        <f ca="1"/>
        <v/>
      </c>
      <c r="D670" s="89" t="str">
        <f ca="1"/>
        <v>Periódica</v>
      </c>
      <c r="E670" s="89">
        <f ca="1"/>
        <v>1095</v>
      </c>
      <c r="F670" s="89">
        <f ca="1"/>
        <v>2</v>
      </c>
      <c r="G670" s="89" t="str">
        <f ca="1"/>
        <v>SIN FECHA</v>
      </c>
    </row>
    <row r="671" spans="1:7" x14ac:dyDescent="0.3">
      <c r="A671" s="89" t="str">
        <f ca="1"/>
        <v>WOODLEY, ENRIQUE JAVIER</v>
      </c>
      <c r="B671" s="89" t="str">
        <f ca="1"/>
        <v>Gruas y Equipos de Izaje (Todos)</v>
      </c>
      <c r="C671" s="93" t="str">
        <f ca="1"/>
        <v/>
      </c>
      <c r="D671" s="89" t="str">
        <f ca="1"/>
        <v>Periódica</v>
      </c>
      <c r="E671" s="89">
        <f ca="1"/>
        <v>365</v>
      </c>
      <c r="F671" s="89">
        <f ca="1"/>
        <v>2</v>
      </c>
      <c r="G671" s="89" t="str">
        <f ca="1"/>
        <v>SIN FECHA</v>
      </c>
    </row>
    <row r="672" spans="1:7" x14ac:dyDescent="0.3">
      <c r="A672" s="89" t="str">
        <f ca="1"/>
        <v>WOODLEY, ENRIQUE JAVIER</v>
      </c>
      <c r="B672" s="89" t="str">
        <f ca="1"/>
        <v>HSMS.007 / Gruas y Equipos de Izaje (Operadores)</v>
      </c>
      <c r="C672" s="93">
        <f ca="1"/>
        <v>46141</v>
      </c>
      <c r="D672" s="89" t="str">
        <f ca="1"/>
        <v>Periódica</v>
      </c>
      <c r="E672" s="89">
        <f ca="1"/>
        <v>365</v>
      </c>
      <c r="F672" s="89">
        <f ca="1"/>
        <v>8</v>
      </c>
      <c r="G672" s="89" t="str">
        <f ca="1"/>
        <v>VIGENTE</v>
      </c>
    </row>
    <row r="673" spans="1:7" x14ac:dyDescent="0.3">
      <c r="A673" s="89" t="str">
        <f ca="1"/>
        <v>WOODLEY, ENRIQUE JAVIER</v>
      </c>
      <c r="B673" s="89" t="str">
        <f ca="1"/>
        <v>Proteccion Contra Incendios (Todos)</v>
      </c>
      <c r="C673" s="93">
        <f ca="1"/>
        <v>46021</v>
      </c>
      <c r="D673" s="89" t="str">
        <f ca="1"/>
        <v>Periódica</v>
      </c>
      <c r="E673" s="89">
        <f ca="1"/>
        <v>365</v>
      </c>
      <c r="F673" s="89">
        <f ca="1"/>
        <v>1</v>
      </c>
      <c r="G673" s="89" t="str">
        <f ca="1"/>
        <v>VIGENTE</v>
      </c>
    </row>
    <row r="674" spans="1:7" x14ac:dyDescent="0.3">
      <c r="A674" s="89" t="str">
        <f ca="1"/>
        <v>WOODLEY, ENRIQUE JAVIER</v>
      </c>
      <c r="B674" s="89" t="str">
        <f ca="1"/>
        <v>Proteccion Contra Incendios (Brigadistas)</v>
      </c>
      <c r="C674" s="93" t="str">
        <f ca="1"/>
        <v/>
      </c>
      <c r="D674" s="89" t="str">
        <f ca="1"/>
        <v>Periódica</v>
      </c>
      <c r="E674" s="89">
        <f ca="1"/>
        <v>365</v>
      </c>
      <c r="F674" s="89">
        <f ca="1"/>
        <v>2</v>
      </c>
      <c r="G674" s="89" t="str">
        <f ca="1"/>
        <v>SIN FECHA</v>
      </c>
    </row>
    <row r="675" spans="1:7" x14ac:dyDescent="0.3">
      <c r="A675" s="89" t="str">
        <f ca="1"/>
        <v>WOODLEY, ENRIQUE JAVIER</v>
      </c>
      <c r="B675" s="89" t="str">
        <f ca="1"/>
        <v>Primeros Auxilios (Brigadistas)</v>
      </c>
      <c r="C675" s="93" t="str">
        <f ca="1"/>
        <v/>
      </c>
      <c r="D675" s="89" t="str">
        <f ca="1"/>
        <v>Periódica</v>
      </c>
      <c r="E675" s="89">
        <f ca="1"/>
        <v>365</v>
      </c>
      <c r="F675" s="89">
        <f ca="1"/>
        <v>2</v>
      </c>
      <c r="G675" s="89" t="str">
        <f ca="1"/>
        <v>SIN FECHA</v>
      </c>
    </row>
    <row r="676" spans="1:7" x14ac:dyDescent="0.3">
      <c r="A676" s="89" t="str">
        <f ca="1"/>
        <v>WOODLEY, ENRIQUE JAVIER</v>
      </c>
      <c r="B676" s="89" t="str">
        <f ca="1"/>
        <v>Seguridad Electrica (Todos)</v>
      </c>
      <c r="C676" s="93" t="str">
        <f ca="1"/>
        <v/>
      </c>
      <c r="D676" s="89" t="str">
        <f ca="1"/>
        <v>Periódica</v>
      </c>
      <c r="E676" s="89">
        <f ca="1"/>
        <v>365</v>
      </c>
      <c r="F676" s="89">
        <f ca="1"/>
        <v>1</v>
      </c>
      <c r="G676" s="89" t="str">
        <f ca="1"/>
        <v>SIN FECHA</v>
      </c>
    </row>
    <row r="677" spans="1:7" x14ac:dyDescent="0.3">
      <c r="A677" s="89" t="str">
        <f ca="1"/>
        <v>WOODLEY, ENRIQUE JAVIER</v>
      </c>
      <c r="B677" s="89" t="str">
        <f ca="1"/>
        <v>Seguridad Electrica (Personal Autorizado)</v>
      </c>
      <c r="C677" s="93" t="str">
        <f ca="1"/>
        <v/>
      </c>
      <c r="D677" s="89" t="str">
        <f ca="1"/>
        <v>Periódica</v>
      </c>
      <c r="E677" s="89">
        <f ca="1"/>
        <v>1095</v>
      </c>
      <c r="F677" s="89">
        <f ca="1"/>
        <v>4</v>
      </c>
      <c r="G677" s="89" t="str">
        <f ca="1"/>
        <v>SIN FECHA</v>
      </c>
    </row>
    <row r="678" spans="1:7" x14ac:dyDescent="0.3">
      <c r="A678" s="89" t="str">
        <f ca="1"/>
        <v>WOODLEY, ENRIQUE JAVIER</v>
      </c>
      <c r="B678" s="89" t="str">
        <f ca="1"/>
        <v>Camiones Industriales Motorizados (PIT) (Todos)</v>
      </c>
      <c r="C678" s="93" t="str">
        <f ca="1"/>
        <v/>
      </c>
      <c r="D678" s="89" t="str">
        <f ca="1"/>
        <v>Periódica</v>
      </c>
      <c r="E678" s="89">
        <f ca="1"/>
        <v>365</v>
      </c>
      <c r="F678" s="89">
        <f ca="1"/>
        <v>1</v>
      </c>
      <c r="G678" s="89" t="str">
        <f ca="1"/>
        <v>SIN FECHA</v>
      </c>
    </row>
    <row r="679" spans="1:7" x14ac:dyDescent="0.3">
      <c r="A679" s="89" t="str">
        <f ca="1"/>
        <v>WOODLEY, ENRIQUE JAVIER</v>
      </c>
      <c r="B679" s="89" t="str">
        <f ca="1"/>
        <v>Camiones Industriales Motorizados (PIT) (Op. Montacargas)</v>
      </c>
      <c r="C679" s="93" t="str">
        <f ca="1"/>
        <v/>
      </c>
      <c r="D679" s="89" t="str">
        <f ca="1"/>
        <v>Periódica</v>
      </c>
      <c r="E679" s="89">
        <f ca="1"/>
        <v>365</v>
      </c>
      <c r="F679" s="89">
        <f ca="1"/>
        <v>8</v>
      </c>
      <c r="G679" s="89" t="str">
        <f ca="1"/>
        <v>SIN FECHA</v>
      </c>
    </row>
    <row r="680" spans="1:7" x14ac:dyDescent="0.3">
      <c r="A680" s="89" t="str">
        <f ca="1"/>
        <v>WOODLEY, ENRIQUE JAVIER</v>
      </c>
      <c r="B680" s="89" t="str">
        <f ca="1"/>
        <v>Control de Energias Peligrosas (LOTO) (Todos)</v>
      </c>
      <c r="C680" s="93" t="str">
        <f ca="1"/>
        <v/>
      </c>
      <c r="D680" s="89" t="str">
        <f ca="1"/>
        <v>Evento</v>
      </c>
      <c r="E680" s="89">
        <f ca="1"/>
        <v>0</v>
      </c>
      <c r="F680" s="89">
        <f ca="1"/>
        <v>1</v>
      </c>
      <c r="G680" s="89" t="str">
        <f ca="1"/>
        <v>SIN FECHA</v>
      </c>
    </row>
    <row r="681" spans="1:7" x14ac:dyDescent="0.3">
      <c r="A681" s="89" t="str">
        <f ca="1"/>
        <v>WOODLEY, ENRIQUE JAVIER</v>
      </c>
      <c r="B681" s="89" t="str">
        <f ca="1"/>
        <v>Control de Energias Peligrosas (LOTO) (Empleados Autorizados)</v>
      </c>
      <c r="C681" s="93">
        <f ca="1"/>
        <v>46134</v>
      </c>
      <c r="D681" s="89" t="str">
        <f ca="1"/>
        <v>Periódica</v>
      </c>
      <c r="E681" s="89">
        <f ca="1"/>
        <v>365</v>
      </c>
      <c r="F681" s="89">
        <f ca="1"/>
        <v>2</v>
      </c>
      <c r="G681" s="89" t="str">
        <f ca="1"/>
        <v>VIGENTE</v>
      </c>
    </row>
    <row r="682" spans="1:7" x14ac:dyDescent="0.3">
      <c r="A682" s="89" t="str">
        <f ca="1"/>
        <v>WOODLEY, ENRIQUE JAVIER</v>
      </c>
      <c r="B682" s="89" t="str">
        <f ca="1"/>
        <v>Seguridad aplicada al Pozo &amp; Yacimiento</v>
      </c>
      <c r="C682" s="93" t="str">
        <f ca="1"/>
        <v/>
      </c>
      <c r="D682" s="89" t="str">
        <f ca="1"/>
        <v>Periódica</v>
      </c>
      <c r="E682" s="89">
        <f ca="1"/>
        <v>365</v>
      </c>
      <c r="F682" s="89">
        <f ca="1"/>
        <v>1</v>
      </c>
      <c r="G682" s="89" t="str">
        <f ca="1"/>
        <v>SIN FECHA</v>
      </c>
    </row>
    <row r="683" spans="1:7" x14ac:dyDescent="0.3">
      <c r="A683" s="89" t="str">
        <f ca="1"/>
        <v>WOODLEY, ENRIQUE JAVIER</v>
      </c>
      <c r="B683" s="89" t="str">
        <f ca="1"/>
        <v>Las Reglas que Salvan Vidas</v>
      </c>
      <c r="C683" s="93" t="str">
        <f ca="1"/>
        <v/>
      </c>
      <c r="D683" s="89" t="str">
        <f ca="1"/>
        <v>Periódica</v>
      </c>
      <c r="E683" s="89">
        <f ca="1"/>
        <v>365</v>
      </c>
      <c r="F683" s="89">
        <f ca="1"/>
        <v>1</v>
      </c>
      <c r="G683" s="89" t="str">
        <f ca="1"/>
        <v>SIN FECHA</v>
      </c>
    </row>
    <row r="684" spans="1:7" x14ac:dyDescent="0.3">
      <c r="A684" s="89" t="str">
        <f ca="1"/>
        <v>WOODLEY, ENRIQUE JAVIER</v>
      </c>
      <c r="B684" s="89" t="str">
        <f ca="1"/>
        <v xml:space="preserve">Resguardo de Maquinas &amp; Equipos </v>
      </c>
      <c r="C684" s="93" t="str">
        <f ca="1"/>
        <v/>
      </c>
      <c r="D684" s="89" t="str">
        <f ca="1"/>
        <v>Periódica</v>
      </c>
      <c r="E684" s="89">
        <f ca="1"/>
        <v>365</v>
      </c>
      <c r="F684" s="89">
        <f ca="1"/>
        <v>1</v>
      </c>
      <c r="G684" s="89" t="str">
        <f ca="1"/>
        <v>SIN FECHA</v>
      </c>
    </row>
    <row r="685" spans="1:7" x14ac:dyDescent="0.3">
      <c r="A685" s="89" t="str">
        <f ca="1"/>
        <v>WOODLEY, ENRIQUE JAVIER</v>
      </c>
      <c r="B685" s="89" t="str">
        <f ca="1"/>
        <v>Conduccion y Gestion de Viajes (Todos)</v>
      </c>
      <c r="C685" s="93">
        <f ca="1"/>
        <v>45770</v>
      </c>
      <c r="D685" s="89" t="str">
        <f ca="1"/>
        <v>Periódica</v>
      </c>
      <c r="E685" s="89">
        <f ca="1"/>
        <v>730</v>
      </c>
      <c r="F685" s="89">
        <f ca="1"/>
        <v>1</v>
      </c>
      <c r="G685" s="89" t="str">
        <f ca="1"/>
        <v>VIGENTE</v>
      </c>
    </row>
    <row r="686" spans="1:7" x14ac:dyDescent="0.3">
      <c r="A686" s="89" t="str">
        <f ca="1"/>
        <v>WOODLEY, ENRIQUE JAVIER</v>
      </c>
      <c r="B686" s="89" t="str">
        <f ca="1"/>
        <v>Conduccion y Gestion de Viajes (Conductores)</v>
      </c>
      <c r="C686" s="93">
        <f ca="1"/>
        <v>46993</v>
      </c>
      <c r="D686" s="89" t="str">
        <f ca="1"/>
        <v>Periódica</v>
      </c>
      <c r="E686" s="89">
        <f ca="1"/>
        <v>1095</v>
      </c>
      <c r="F686" s="89">
        <f ca="1"/>
        <v>5</v>
      </c>
      <c r="G686" s="89" t="str">
        <f ca="1"/>
        <v>VIGENTE</v>
      </c>
    </row>
    <row r="687" spans="1:7" x14ac:dyDescent="0.3">
      <c r="A687" s="89" t="str">
        <f ca="1"/>
        <v>WOODLEY, ENRIQUE JAVIER</v>
      </c>
      <c r="B687" s="89" t="str">
        <f ca="1"/>
        <v>Patogenos Transmitidos por la Sangre</v>
      </c>
      <c r="C687" s="93" t="str">
        <f ca="1"/>
        <v/>
      </c>
      <c r="D687" s="89" t="str">
        <f ca="1"/>
        <v>Periódica</v>
      </c>
      <c r="E687" s="89">
        <f ca="1"/>
        <v>365</v>
      </c>
      <c r="F687" s="89">
        <f ca="1"/>
        <v>1</v>
      </c>
      <c r="G687" s="89" t="str">
        <f ca="1"/>
        <v>SIN FECHA</v>
      </c>
    </row>
    <row r="688" spans="1:7" x14ac:dyDescent="0.3">
      <c r="A688" s="89" t="str">
        <f ca="1"/>
        <v>WOODLEY, ENRIQUE JAVIER</v>
      </c>
      <c r="B688" s="89" t="str">
        <f ca="1"/>
        <v>Conservacion Auditiva</v>
      </c>
      <c r="C688" s="93" t="str">
        <f ca="1"/>
        <v/>
      </c>
      <c r="D688" s="89" t="str">
        <f ca="1"/>
        <v>Periódica</v>
      </c>
      <c r="E688" s="89">
        <f ca="1"/>
        <v>365</v>
      </c>
      <c r="F688" s="89">
        <f ca="1"/>
        <v>1</v>
      </c>
      <c r="G688" s="89" t="str">
        <f ca="1"/>
        <v>SIN FECHA</v>
      </c>
    </row>
    <row r="689" spans="1:7" x14ac:dyDescent="0.3">
      <c r="A689" s="89" t="str">
        <f ca="1"/>
        <v>WOODLEY, ENRIQUE JAVIER</v>
      </c>
      <c r="B689" s="89" t="str">
        <f ca="1"/>
        <v xml:space="preserve">Ergonomia //  / Levantamiento &amp; Seguridad en la Espalda </v>
      </c>
      <c r="C689" s="93">
        <f ca="1"/>
        <v>46013</v>
      </c>
      <c r="D689" s="89" t="str">
        <f ca="1"/>
        <v>Periódica</v>
      </c>
      <c r="E689" s="89">
        <f ca="1"/>
        <v>365</v>
      </c>
      <c r="F689" s="89">
        <f ca="1"/>
        <v>1</v>
      </c>
      <c r="G689" s="89" t="str">
        <f ca="1"/>
        <v>VIGENTE</v>
      </c>
    </row>
    <row r="690" spans="1:7" x14ac:dyDescent="0.3">
      <c r="A690" s="89" t="str">
        <f ca="1"/>
        <v>WOODLEY, ENRIQUE JAVIER</v>
      </c>
      <c r="B690" s="89" t="str">
        <f ca="1"/>
        <v>Superficies Elevadas (Todos)</v>
      </c>
      <c r="C690" s="93">
        <f ca="1"/>
        <v>46021</v>
      </c>
      <c r="D690" s="89" t="str">
        <f ca="1"/>
        <v>Periódica</v>
      </c>
      <c r="E690" s="89">
        <f ca="1"/>
        <v>365</v>
      </c>
      <c r="F690" s="89">
        <f ca="1"/>
        <v>1</v>
      </c>
      <c r="G690" s="89" t="str">
        <f ca="1"/>
        <v>VIGENTE</v>
      </c>
    </row>
    <row r="691" spans="1:7" x14ac:dyDescent="0.3">
      <c r="A691" s="89" t="str">
        <f ca="1"/>
        <v>WOODLEY, ENRIQUE JAVIER</v>
      </c>
      <c r="B691" s="89" t="str">
        <f ca="1"/>
        <v>Superficies Elevadas (Personal Habilitado)</v>
      </c>
      <c r="C691" s="93" t="str">
        <f ca="1"/>
        <v/>
      </c>
      <c r="D691" s="89" t="str">
        <f ca="1"/>
        <v>Periódica</v>
      </c>
      <c r="E691" s="89">
        <f ca="1"/>
        <v>365</v>
      </c>
      <c r="F691" s="89">
        <f ca="1"/>
        <v>8</v>
      </c>
      <c r="G691" s="89" t="str">
        <f ca="1"/>
        <v>SIN FECHA</v>
      </c>
    </row>
    <row r="692" spans="1:7" x14ac:dyDescent="0.3">
      <c r="A692" s="89" t="str">
        <f ca="1"/>
        <v>WOODLEY, ENRIQUE JAVIER</v>
      </c>
      <c r="B692" s="89" t="str">
        <f ca="1"/>
        <v>Seguridad Quimica (Todos)</v>
      </c>
      <c r="C692" s="93">
        <f ca="1"/>
        <v>46020</v>
      </c>
      <c r="D692" s="89" t="str">
        <f ca="1"/>
        <v>Periódica</v>
      </c>
      <c r="E692" s="89">
        <f ca="1"/>
        <v>730</v>
      </c>
      <c r="F692" s="89">
        <f ca="1"/>
        <v>1</v>
      </c>
      <c r="G692" s="89" t="str">
        <f ca="1"/>
        <v>VIGENTE</v>
      </c>
    </row>
    <row r="693" spans="1:7" x14ac:dyDescent="0.3">
      <c r="A693" s="89" t="str">
        <f ca="1"/>
        <v>WOODLEY, ENRIQUE JAVIER</v>
      </c>
      <c r="B693" s="89" t="str">
        <f ca="1"/>
        <v>Seguridad Quimica (Mantenimiento)</v>
      </c>
      <c r="C693" s="93" t="str">
        <f ca="1"/>
        <v/>
      </c>
      <c r="D693" s="89" t="str">
        <f ca="1"/>
        <v>Periódica</v>
      </c>
      <c r="E693" s="89">
        <f ca="1"/>
        <v>365</v>
      </c>
      <c r="F693" s="89">
        <f ca="1"/>
        <v>1</v>
      </c>
      <c r="G693" s="89" t="str">
        <f ca="1"/>
        <v>SIN FECHA</v>
      </c>
    </row>
    <row r="694" spans="1:7" x14ac:dyDescent="0.3">
      <c r="A694" s="89" t="str">
        <f ca="1"/>
        <v>WOODLEY, ENRIQUE JAVIER</v>
      </c>
      <c r="B694" s="89" t="str">
        <f ca="1"/>
        <v>Seguridad Quimica (Contratistas)</v>
      </c>
      <c r="C694" s="93" t="str">
        <f ca="1"/>
        <v/>
      </c>
      <c r="D694" s="89" t="str">
        <f ca="1"/>
        <v>Periódica</v>
      </c>
      <c r="E694" s="89">
        <f ca="1"/>
        <v>365</v>
      </c>
      <c r="F694" s="89">
        <f ca="1"/>
        <v>1</v>
      </c>
      <c r="G694" s="89" t="str">
        <f ca="1"/>
        <v>SIN FECHA</v>
      </c>
    </row>
    <row r="695" spans="1:7" x14ac:dyDescent="0.3">
      <c r="A695" s="89" t="str">
        <f ca="1"/>
        <v>WOODLEY, ENRIQUE JAVIER</v>
      </c>
      <c r="B695" s="89" t="str">
        <f ca="1"/>
        <v>Seguridad para Trabajos en Caliente</v>
      </c>
      <c r="C695" s="93">
        <f ca="1"/>
        <v>46021</v>
      </c>
      <c r="D695" s="89" t="str">
        <f ca="1"/>
        <v>Periódica</v>
      </c>
      <c r="E695" s="89">
        <f ca="1"/>
        <v>365</v>
      </c>
      <c r="F695" s="89">
        <f ca="1"/>
        <v>1</v>
      </c>
      <c r="G695" s="89" t="str">
        <f ca="1"/>
        <v>VIGENTE</v>
      </c>
    </row>
    <row r="696" spans="1:7" x14ac:dyDescent="0.3">
      <c r="A696" s="89" t="str">
        <f ca="1"/>
        <v>WOODLEY, ENRIQUE JAVIER</v>
      </c>
      <c r="B696" s="89" t="str">
        <f ca="1"/>
        <v>Seguridad con la Radiacion</v>
      </c>
      <c r="C696" s="93">
        <f ca="1"/>
        <v>46013</v>
      </c>
      <c r="D696" s="89" t="str">
        <f ca="1"/>
        <v>Periódica</v>
      </c>
      <c r="E696" s="89">
        <f ca="1"/>
        <v>365</v>
      </c>
      <c r="F696" s="89">
        <f ca="1"/>
        <v>2</v>
      </c>
      <c r="G696" s="89" t="str">
        <f ca="1"/>
        <v>VIGENTE</v>
      </c>
    </row>
    <row r="697" spans="1:7" x14ac:dyDescent="0.3">
      <c r="A697" s="89" t="str">
        <f ca="1"/>
        <v>WOODLEY, ENRIQUE JAVIER</v>
      </c>
      <c r="B697" s="89" t="str">
        <f ca="1"/>
        <v>Equipo de Proteccion Personal (PPE)</v>
      </c>
      <c r="C697" s="93">
        <f ca="1"/>
        <v>46021</v>
      </c>
      <c r="D697" s="89" t="str">
        <f ca="1"/>
        <v>Periódica</v>
      </c>
      <c r="E697" s="89">
        <f ca="1"/>
        <v>365</v>
      </c>
      <c r="F697" s="89">
        <f ca="1"/>
        <v>1</v>
      </c>
      <c r="G697" s="89" t="str">
        <f ca="1"/>
        <v>VIGENTE</v>
      </c>
    </row>
    <row r="698" spans="1:7" x14ac:dyDescent="0.3">
      <c r="A698" s="89" t="str">
        <f ca="1"/>
        <v>WOODLEY, ENRIQUE JAVIER</v>
      </c>
      <c r="B698" s="89" t="str">
        <f ca="1"/>
        <v>Proteccion Respiratoria</v>
      </c>
      <c r="C698" s="93" t="str">
        <f ca="1"/>
        <v/>
      </c>
      <c r="D698" s="89" t="str">
        <f ca="1"/>
        <v>Periódica</v>
      </c>
      <c r="E698" s="89">
        <f ca="1"/>
        <v>365</v>
      </c>
      <c r="F698" s="89">
        <f ca="1"/>
        <v>1</v>
      </c>
      <c r="G698" s="89" t="str">
        <f ca="1"/>
        <v>SIN FECHA</v>
      </c>
    </row>
    <row r="699" spans="1:7" x14ac:dyDescent="0.3">
      <c r="A699" s="89" t="str">
        <f ca="1"/>
        <v>WOODLEY, ENRIQUE JAVIER</v>
      </c>
      <c r="B699" s="89" t="str">
        <f ca="1"/>
        <v xml:space="preserve">Seguridad con Escaleras </v>
      </c>
      <c r="C699" s="93">
        <f ca="1"/>
        <v>46021</v>
      </c>
      <c r="D699" s="89" t="str">
        <f ca="1"/>
        <v>Periódica</v>
      </c>
      <c r="E699" s="89">
        <f ca="1"/>
        <v>365</v>
      </c>
      <c r="F699" s="89">
        <f ca="1"/>
        <v>1</v>
      </c>
      <c r="G699" s="89" t="str">
        <f ca="1"/>
        <v>VIGENTE</v>
      </c>
    </row>
    <row r="700" spans="1:7" x14ac:dyDescent="0.3">
      <c r="A700" s="89" t="str">
        <f ca="1"/>
        <v>WOODLEY, ENRIQUE JAVIER</v>
      </c>
      <c r="B700" s="89" t="str">
        <f ca="1"/>
        <v>Seguridad con Escaleras // Estantes de Almacenamiento</v>
      </c>
      <c r="C700" s="93" t="str">
        <f ca="1"/>
        <v/>
      </c>
      <c r="D700" s="89" t="str">
        <f ca="1"/>
        <v>Periódica</v>
      </c>
      <c r="E700" s="89">
        <f ca="1"/>
        <v>365</v>
      </c>
      <c r="F700" s="89">
        <f ca="1"/>
        <v>1</v>
      </c>
      <c r="G700" s="89" t="str">
        <f ca="1"/>
        <v>SIN FECHA</v>
      </c>
    </row>
    <row r="701" spans="1:7" x14ac:dyDescent="0.3">
      <c r="A701" s="89" t="str">
        <f ca="1"/>
        <v>WOODLEY, ENRIQUE JAVIER</v>
      </c>
      <c r="B701" s="89" t="str">
        <f ca="1"/>
        <v>Responsabilidades del Supervisor</v>
      </c>
      <c r="C701" s="93" t="str">
        <f ca="1"/>
        <v/>
      </c>
      <c r="D701" s="89" t="str">
        <f ca="1"/>
        <v>Periódica</v>
      </c>
      <c r="E701" s="89">
        <f ca="1"/>
        <v>365</v>
      </c>
      <c r="F701" s="89">
        <f ca="1"/>
        <v>1</v>
      </c>
      <c r="G701" s="89" t="str">
        <f ca="1"/>
        <v>SIN FECHA</v>
      </c>
    </row>
    <row r="702" spans="1:7" x14ac:dyDescent="0.3">
      <c r="A702" s="89" t="str">
        <f ca="1"/>
        <v>WOODLEY, ENRIQUE JAVIER</v>
      </c>
      <c r="B702" s="89" t="str">
        <f ca="1"/>
        <v>Espacios Confinados (Todos)</v>
      </c>
      <c r="C702" s="93" t="str">
        <f ca="1"/>
        <v/>
      </c>
      <c r="D702" s="89" t="str">
        <f ca="1"/>
        <v>Periódica</v>
      </c>
      <c r="E702" s="89">
        <f ca="1"/>
        <v>365</v>
      </c>
      <c r="F702" s="89">
        <f ca="1"/>
        <v>1</v>
      </c>
      <c r="G702" s="89" t="str">
        <f ca="1"/>
        <v>SIN FECHA</v>
      </c>
    </row>
    <row r="703" spans="1:7" x14ac:dyDescent="0.3">
      <c r="A703" s="89" t="str">
        <f ca="1"/>
        <v>WOODLEY, ENRIQUE JAVIER</v>
      </c>
      <c r="B703" s="89" t="str">
        <f ca="1"/>
        <v>HSMS.017 / Espacios Confinados (Entrantes)</v>
      </c>
      <c r="C703" s="93" t="str">
        <f ca="1"/>
        <v/>
      </c>
      <c r="D703" s="89" t="str">
        <f ca="1"/>
        <v>Evento</v>
      </c>
      <c r="E703" s="89">
        <f ca="1"/>
        <v>0</v>
      </c>
      <c r="F703" s="89">
        <f ca="1"/>
        <v>8</v>
      </c>
      <c r="G703" s="89" t="str">
        <f ca="1"/>
        <v>SIN FECHA</v>
      </c>
    </row>
    <row r="704" spans="1:7" x14ac:dyDescent="0.3">
      <c r="A704" s="89" t="str">
        <f ca="1"/>
        <v>WOODLEY, ENRIQUE JAVIER</v>
      </c>
      <c r="B704" s="89" t="str">
        <f ca="1"/>
        <v>Programa de Agua (Todos)</v>
      </c>
      <c r="C704" s="93" t="str">
        <f ca="1"/>
        <v/>
      </c>
      <c r="D704" s="89" t="str">
        <f ca="1"/>
        <v>Evento</v>
      </c>
      <c r="E704" s="89">
        <f ca="1"/>
        <v>0</v>
      </c>
      <c r="F704" s="89">
        <f ca="1"/>
        <v>1</v>
      </c>
      <c r="G704" s="89" t="str">
        <f ca="1"/>
        <v>SIN FECHA</v>
      </c>
    </row>
    <row r="705" spans="1:7" x14ac:dyDescent="0.3">
      <c r="A705" s="89" t="str">
        <f ca="1"/>
        <v>WOODLEY, ENRIQUE JAVIER</v>
      </c>
      <c r="B705" s="89" t="str">
        <f ca="1"/>
        <v>Programa de Agua (HSE)</v>
      </c>
      <c r="C705" s="93" t="str">
        <f ca="1"/>
        <v/>
      </c>
      <c r="D705" s="89" t="str">
        <f ca="1"/>
        <v>Evento</v>
      </c>
      <c r="E705" s="89">
        <f ca="1"/>
        <v>0</v>
      </c>
      <c r="F705" s="89">
        <f ca="1"/>
        <v>1</v>
      </c>
      <c r="G705" s="89" t="str">
        <f ca="1"/>
        <v>SIN FECHA</v>
      </c>
    </row>
    <row r="706" spans="1:7" x14ac:dyDescent="0.3">
      <c r="A706" s="89" t="str">
        <f ca="1"/>
        <v>WOODLEY, ENRIQUE JAVIER</v>
      </c>
      <c r="B706" s="89" t="str">
        <f ca="1"/>
        <v>HIV/SIDA y otras enfermedades de transmisión sexual (ETS)</v>
      </c>
      <c r="C706" s="93" t="str">
        <f ca="1"/>
        <v/>
      </c>
      <c r="D706" s="89" t="str">
        <f ca="1"/>
        <v>Periódica</v>
      </c>
      <c r="E706" s="89">
        <f ca="1"/>
        <v>365</v>
      </c>
      <c r="F706" s="89">
        <f ca="1"/>
        <v>1</v>
      </c>
      <c r="G706" s="89" t="str">
        <f ca="1"/>
        <v>SIN FECHA</v>
      </c>
    </row>
    <row r="707" spans="1:7" x14ac:dyDescent="0.3">
      <c r="A707" s="89" t="str">
        <f ca="1"/>
        <v>WOODLEY, ENRIQUE JAVIER</v>
      </c>
      <c r="B707" s="89" t="str">
        <f ca="1"/>
        <v>Drogas de abuso (concientización y prevención)</v>
      </c>
      <c r="C707" s="93" t="str">
        <f ca="1"/>
        <v/>
      </c>
      <c r="D707" s="89" t="str">
        <f ca="1"/>
        <v>Periódica</v>
      </c>
      <c r="E707" s="89">
        <f ca="1"/>
        <v>365</v>
      </c>
      <c r="F707" s="89">
        <f ca="1"/>
        <v>1</v>
      </c>
      <c r="G707" s="89" t="str">
        <f ca="1"/>
        <v>SIN FECHA</v>
      </c>
    </row>
    <row r="708" spans="1:7" x14ac:dyDescent="0.3">
      <c r="A708" s="89" t="str">
        <f ca="1"/>
        <v>WOODLEY, ENRIQUE JAVIER</v>
      </c>
      <c r="B708" s="89" t="str">
        <f ca="1"/>
        <v>Vida saludable (hábitos, autocuidado y bienestar)</v>
      </c>
      <c r="C708" s="93" t="str">
        <f ca="1"/>
        <v/>
      </c>
      <c r="D708" s="89" t="str">
        <f ca="1"/>
        <v>Periódica</v>
      </c>
      <c r="E708" s="89">
        <f ca="1"/>
        <v>365</v>
      </c>
      <c r="F708" s="89">
        <f ca="1"/>
        <v>1</v>
      </c>
      <c r="G708" s="89" t="str">
        <f ca="1"/>
        <v>SIN FECHA</v>
      </c>
    </row>
    <row r="709" spans="1:7" x14ac:dyDescent="0.3">
      <c r="A709" s="89" t="str">
        <f ca="1"/>
        <v>WOODLEY, ENRIQUE JAVIER</v>
      </c>
      <c r="B709" s="89" t="str">
        <f ca="1"/>
        <v>Primeros auxilios y Reanimación Cardio Pulmonar (RCP)</v>
      </c>
      <c r="C709" s="93" t="str">
        <f ca="1"/>
        <v/>
      </c>
      <c r="D709" s="89" t="str">
        <f ca="1"/>
        <v>Periódica</v>
      </c>
      <c r="E709" s="89">
        <f ca="1"/>
        <v>365</v>
      </c>
      <c r="F709" s="89">
        <f ca="1"/>
        <v>4</v>
      </c>
      <c r="G709" s="89" t="str">
        <f ca="1"/>
        <v>SIN FECHA</v>
      </c>
    </row>
    <row r="710" spans="1:7" x14ac:dyDescent="0.3">
      <c r="A710" s="89" t="str">
        <f ca="1"/>
        <v>WOODLEY, ENRIQUE JAVIER</v>
      </c>
      <c r="B710" s="89" t="str">
        <f ca="1"/>
        <v>Prevención cardiovascular (factores de riesgo y señales de alarma)</v>
      </c>
      <c r="C710" s="93" t="str">
        <f ca="1"/>
        <v/>
      </c>
      <c r="D710" s="89" t="str">
        <f ca="1"/>
        <v>Periódica</v>
      </c>
      <c r="E710" s="89">
        <f ca="1"/>
        <v>365</v>
      </c>
      <c r="F710" s="89">
        <f ca="1"/>
        <v>1</v>
      </c>
      <c r="G710" s="89" t="str">
        <f ca="1"/>
        <v>SIN FECHA</v>
      </c>
    </row>
    <row r="711" spans="1:7" x14ac:dyDescent="0.3">
      <c r="A711" s="89" t="str">
        <f ca="1"/>
        <v>WOODLEY, ENRIQUE JAVIER</v>
      </c>
      <c r="B711" s="89" t="str">
        <f ca="1"/>
        <v>Efectos del tabaco sobre la salud</v>
      </c>
      <c r="C711" s="93" t="str">
        <f ca="1"/>
        <v/>
      </c>
      <c r="D711" s="89" t="str">
        <f ca="1"/>
        <v>Periódica</v>
      </c>
      <c r="E711" s="89">
        <f ca="1"/>
        <v>365</v>
      </c>
      <c r="F711" s="89">
        <f ca="1"/>
        <v>1</v>
      </c>
      <c r="G711" s="89" t="str">
        <f ca="1"/>
        <v>SIN FECHA</v>
      </c>
    </row>
    <row r="712" spans="1:7" x14ac:dyDescent="0.3">
      <c r="A712" s="89" t="str">
        <f ca="1"/>
        <v>WOODLEY, ENRIQUE JAVIER</v>
      </c>
      <c r="B712" s="89" t="str">
        <f ca="1"/>
        <v>Cargadora (Op. Montacargas)</v>
      </c>
      <c r="C712" s="93" t="str">
        <f ca="1"/>
        <v/>
      </c>
      <c r="D712" s="89" t="str">
        <f ca="1"/>
        <v>Periódica</v>
      </c>
      <c r="E712" s="89">
        <f ca="1"/>
        <v>365</v>
      </c>
      <c r="F712" s="89">
        <f ca="1"/>
        <v>8</v>
      </c>
      <c r="G712" s="89" t="str">
        <f ca="1"/>
        <v>SIN FECHA</v>
      </c>
    </row>
    <row r="713" spans="1:7" x14ac:dyDescent="0.3">
      <c r="A713" s="89" t="str">
        <f ca="1"/>
        <v>WOODLEY, ENRIQUE JAVIER</v>
      </c>
      <c r="B713" s="89">
        <f ca="1"/>
        <v>0</v>
      </c>
      <c r="C713" s="93" t="str">
        <f ca="1"/>
        <v/>
      </c>
      <c r="D713" s="89" t="str">
        <f ca="1"/>
        <v/>
      </c>
      <c r="E713" s="89" t="str">
        <f ca="1"/>
        <v/>
      </c>
      <c r="F713" s="89" t="str">
        <f ca="1"/>
        <v/>
      </c>
      <c r="G713" s="89" t="str">
        <f ca="1"/>
        <v>SIN FECHA</v>
      </c>
    </row>
    <row r="714" spans="1:7" x14ac:dyDescent="0.3">
      <c r="A714" s="89" t="str">
        <f ca="1"/>
        <v>WOODLEY, ENRIQUE JAVIER</v>
      </c>
      <c r="B714" s="89">
        <f ca="1"/>
        <v>0</v>
      </c>
      <c r="C714" s="93" t="str">
        <f ca="1"/>
        <v/>
      </c>
      <c r="D714" s="89" t="str">
        <f ca="1"/>
        <v/>
      </c>
      <c r="E714" s="89" t="str">
        <f ca="1"/>
        <v/>
      </c>
      <c r="F714" s="89" t="str">
        <f ca="1"/>
        <v/>
      </c>
      <c r="G714" s="89" t="str">
        <f ca="1"/>
        <v>SIN FECHA</v>
      </c>
    </row>
    <row r="715" spans="1:7" x14ac:dyDescent="0.3">
      <c r="A715" s="89" t="str">
        <f ca="1"/>
        <v>WOODLEY, ENRIQUE JAVIER</v>
      </c>
      <c r="B715" s="89">
        <f ca="1"/>
        <v>0</v>
      </c>
      <c r="C715" s="93" t="str">
        <f ca="1"/>
        <v/>
      </c>
      <c r="D715" s="89" t="str">
        <f ca="1"/>
        <v/>
      </c>
      <c r="E715" s="89" t="str">
        <f ca="1"/>
        <v/>
      </c>
      <c r="F715" s="89" t="str">
        <f ca="1"/>
        <v/>
      </c>
      <c r="G715" s="89" t="str">
        <f ca="1"/>
        <v>SIN FECHA</v>
      </c>
    </row>
    <row r="716" spans="1:7" x14ac:dyDescent="0.3">
      <c r="A716" s="89" t="str">
        <f ca="1"/>
        <v>WOODLEY, ENRIQUE JAVIER</v>
      </c>
      <c r="B716" s="89">
        <f ca="1"/>
        <v>0</v>
      </c>
      <c r="C716" s="93" t="str">
        <f ca="1"/>
        <v/>
      </c>
      <c r="D716" s="89" t="str">
        <f ca="1"/>
        <v/>
      </c>
      <c r="E716" s="89" t="str">
        <f ca="1"/>
        <v/>
      </c>
      <c r="F716" s="89" t="str">
        <f ca="1"/>
        <v/>
      </c>
      <c r="G716" s="89" t="str">
        <f ca="1"/>
        <v>SIN FECHA</v>
      </c>
    </row>
    <row r="717" spans="1:7" x14ac:dyDescent="0.3">
      <c r="A717" s="89" t="str">
        <f ca="1"/>
        <v>WOODLEY, ENRIQUE JAVIER</v>
      </c>
      <c r="B717" s="89">
        <f ca="1"/>
        <v>0</v>
      </c>
      <c r="C717" s="93" t="str">
        <f ca="1"/>
        <v/>
      </c>
      <c r="D717" s="89" t="str">
        <f ca="1"/>
        <v/>
      </c>
      <c r="E717" s="89" t="str">
        <f ca="1"/>
        <v/>
      </c>
      <c r="F717" s="89" t="str">
        <f ca="1"/>
        <v/>
      </c>
      <c r="G717" s="89" t="str">
        <f ca="1"/>
        <v>SIN FECHA</v>
      </c>
    </row>
    <row r="718" spans="1:7" x14ac:dyDescent="0.3">
      <c r="A718" s="89" t="str">
        <f ca="1"/>
        <v>WOODLEY, ENRIQUE JAVIER</v>
      </c>
      <c r="B718" s="89">
        <f ca="1"/>
        <v>0</v>
      </c>
      <c r="C718" s="93" t="str">
        <f ca="1"/>
        <v/>
      </c>
      <c r="D718" s="89" t="str">
        <f ca="1"/>
        <v/>
      </c>
      <c r="E718" s="89" t="str">
        <f ca="1"/>
        <v/>
      </c>
      <c r="F718" s="89" t="str">
        <f ca="1"/>
        <v/>
      </c>
      <c r="G718" s="89" t="str">
        <f ca="1"/>
        <v>SIN FECHA</v>
      </c>
    </row>
    <row r="719" spans="1:7" x14ac:dyDescent="0.3">
      <c r="A719" s="89" t="str">
        <f ca="1"/>
        <v>WOODLEY, ENRIQUE JAVIER</v>
      </c>
      <c r="B719" s="89">
        <f ca="1"/>
        <v>0</v>
      </c>
      <c r="C719" s="93" t="str">
        <f ca="1"/>
        <v/>
      </c>
      <c r="D719" s="89" t="str">
        <f ca="1"/>
        <v/>
      </c>
      <c r="E719" s="89" t="str">
        <f ca="1"/>
        <v/>
      </c>
      <c r="F719" s="89" t="str">
        <f ca="1"/>
        <v/>
      </c>
      <c r="G719" s="89" t="str">
        <f ca="1"/>
        <v>SIN FECHA</v>
      </c>
    </row>
    <row r="720" spans="1:7" x14ac:dyDescent="0.3">
      <c r="A720" s="89" t="str">
        <f ca="1"/>
        <v>WOODLEY, ENRIQUE JAVIER</v>
      </c>
      <c r="B720" s="89">
        <f ca="1"/>
        <v>0</v>
      </c>
      <c r="C720" s="93" t="str">
        <f ca="1"/>
        <v/>
      </c>
      <c r="D720" s="89" t="str">
        <f ca="1"/>
        <v/>
      </c>
      <c r="E720" s="89" t="str">
        <f ca="1"/>
        <v/>
      </c>
      <c r="F720" s="89" t="str">
        <f ca="1"/>
        <v/>
      </c>
      <c r="G720" s="89" t="str">
        <f ca="1"/>
        <v>SIN FECHA</v>
      </c>
    </row>
    <row r="721" spans="1:7" x14ac:dyDescent="0.3">
      <c r="A721" s="89" t="str">
        <f ca="1"/>
        <v>WOODLEY, ENRIQUE JAVIER</v>
      </c>
      <c r="B721" s="89">
        <f ca="1"/>
        <v>0</v>
      </c>
      <c r="C721" s="93" t="str">
        <f ca="1"/>
        <v/>
      </c>
      <c r="D721" s="89" t="str">
        <f ca="1"/>
        <v/>
      </c>
      <c r="E721" s="89" t="str">
        <f ca="1"/>
        <v/>
      </c>
      <c r="F721" s="89" t="str">
        <f ca="1"/>
        <v/>
      </c>
      <c r="G721" s="89" t="str">
        <f ca="1"/>
        <v>SIN FECHA</v>
      </c>
    </row>
  </sheetData>
  <sheetProtection algorithmName="SHA-512" hashValue="ppkprBzTRdDK7pOOXwQsOspkqh5Rb095DAK9QbsyphU9VRIGJD+xSJp7FXHU4MTrsTwEpWOy65zgow0hsT84+w==" saltValue="+8JFyvhBArNzsQPRS04JQA==" spinCount="100000" sheet="1" objects="1" scenarios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4BE8F-EDF4-4B75-A42B-9A1D2A73BE55}">
  <sheetPr codeName="Hoja14"/>
  <dimension ref="A1:G162"/>
  <sheetViews>
    <sheetView workbookViewId="0">
      <selection activeCell="D12" sqref="D12"/>
    </sheetView>
  </sheetViews>
  <sheetFormatPr baseColWidth="10" defaultColWidth="10.88671875" defaultRowHeight="14.4" x14ac:dyDescent="0.3"/>
  <cols>
    <col min="1" max="1" width="28.109375" style="89" bestFit="1" customWidth="1"/>
    <col min="2" max="2" width="52.44140625" style="89" customWidth="1"/>
    <col min="3" max="3" width="10.88671875" style="90"/>
    <col min="4" max="16384" width="10.88671875" style="89"/>
  </cols>
  <sheetData>
    <row r="1" spans="1:7" x14ac:dyDescent="0.3">
      <c r="A1" s="89" t="str" cm="1">
        <f t="array" aca="1" ref="A1:G162" ca="1">IFERROR(
 _xlfn._xlws.FILTER(BASE_OK!A1:G99998,
  (BASE_OK!A1:A99998&lt;&gt;"")*
  (BASE_OK!C1:C99998&lt;&gt;"")*
  (BASE_OK!C1:C99998&gt;0)*
  (BASE_OK!F1:F99998&lt;&gt;"")   ),
 "Sin registros"
)</f>
        <v>NOMBRE</v>
      </c>
      <c r="B1" s="89" t="str">
        <f ca="1"/>
        <v>COMPETENCIAS</v>
      </c>
      <c r="C1" s="90" t="str">
        <f ca="1"/>
        <v>FECHA</v>
      </c>
      <c r="D1" s="89" t="str">
        <f ca="1"/>
        <v>TIPO</v>
      </c>
      <c r="E1" s="89" t="str">
        <f ca="1"/>
        <v>VIGENCIAS</v>
      </c>
      <c r="F1" s="89" t="str">
        <f ca="1"/>
        <v>HORAS</v>
      </c>
      <c r="G1" s="89" t="str">
        <f ca="1"/>
        <v>ESTADO</v>
      </c>
    </row>
    <row r="2" spans="1:7" x14ac:dyDescent="0.3">
      <c r="A2" s="89" t="str">
        <f ca="1"/>
        <v>ALDRICH, SERGIO RUBEN</v>
      </c>
      <c r="B2" s="89" t="str">
        <f ca="1"/>
        <v>Conciencia Ambiental</v>
      </c>
      <c r="C2" s="90">
        <f ca="1"/>
        <v>46134</v>
      </c>
      <c r="D2" s="89" t="str">
        <f ca="1"/>
        <v>Periódica</v>
      </c>
      <c r="E2" s="89">
        <f ca="1"/>
        <v>365</v>
      </c>
      <c r="F2" s="89">
        <f ca="1"/>
        <v>1</v>
      </c>
      <c r="G2" s="89" t="str">
        <f ca="1"/>
        <v>VIGENTE</v>
      </c>
    </row>
    <row r="3" spans="1:7" x14ac:dyDescent="0.3">
      <c r="A3" s="89" t="str">
        <f ca="1"/>
        <v>ALDRICH, SERGIO RUBEN</v>
      </c>
      <c r="B3" s="89" t="str">
        <f ca="1"/>
        <v>Seguridad Basada en el Comportamiento (Observation Program) // HSMS.043 / Autoridad de Detener el Trabajo</v>
      </c>
      <c r="C3" s="90">
        <f ca="1"/>
        <v>45827</v>
      </c>
      <c r="D3" s="89" t="str">
        <f ca="1"/>
        <v>Periódica</v>
      </c>
      <c r="E3" s="89">
        <f ca="1"/>
        <v>365</v>
      </c>
      <c r="F3" s="89">
        <f ca="1"/>
        <v>1</v>
      </c>
      <c r="G3" s="89" t="str">
        <f ca="1"/>
        <v>VENCIDA</v>
      </c>
    </row>
    <row r="4" spans="1:7" x14ac:dyDescent="0.3">
      <c r="A4" s="89" t="str">
        <f ca="1"/>
        <v>ALDRICH, SERGIO RUBEN</v>
      </c>
      <c r="B4" s="89" t="str">
        <f ca="1"/>
        <v>Identificacion de Peligros y Evaluacion de Riesgos</v>
      </c>
      <c r="C4" s="90">
        <f ca="1"/>
        <v>46006</v>
      </c>
      <c r="D4" s="89" t="str">
        <f ca="1"/>
        <v>Evento</v>
      </c>
      <c r="E4" s="89">
        <f ca="1"/>
        <v>0</v>
      </c>
      <c r="F4" s="89">
        <f ca="1"/>
        <v>1</v>
      </c>
      <c r="G4" s="89" t="str">
        <f ca="1"/>
        <v>VIGENTE</v>
      </c>
    </row>
    <row r="5" spans="1:7" x14ac:dyDescent="0.3">
      <c r="A5" s="89" t="str">
        <f ca="1"/>
        <v>ALDRICH, SERGIO RUBEN</v>
      </c>
      <c r="B5" s="89" t="str">
        <f ca="1"/>
        <v>Reporte y Gestion de Incidentes HSE (Todos)</v>
      </c>
      <c r="C5" s="90">
        <f ca="1"/>
        <v>46006</v>
      </c>
      <c r="D5" s="89" t="str">
        <f ca="1"/>
        <v>Periódica</v>
      </c>
      <c r="E5" s="89">
        <f ca="1"/>
        <v>365</v>
      </c>
      <c r="F5" s="89">
        <f ca="1"/>
        <v>1</v>
      </c>
      <c r="G5" s="89" t="str">
        <f ca="1"/>
        <v>VIGENTE</v>
      </c>
    </row>
    <row r="6" spans="1:7" x14ac:dyDescent="0.3">
      <c r="A6" s="89" t="str">
        <f ca="1"/>
        <v>ALDRICH, SERGIO RUBEN</v>
      </c>
      <c r="B6" s="89" t="str">
        <f ca="1"/>
        <v>HSMS.007 / Gruas y Equipos de Izaje (Operadores)</v>
      </c>
      <c r="C6" s="90">
        <f ca="1"/>
        <v>46141</v>
      </c>
      <c r="D6" s="89" t="str">
        <f ca="1"/>
        <v>Periódica</v>
      </c>
      <c r="E6" s="89">
        <f ca="1"/>
        <v>365</v>
      </c>
      <c r="F6" s="89">
        <f ca="1"/>
        <v>8</v>
      </c>
      <c r="G6" s="89" t="str">
        <f ca="1"/>
        <v>VIGENTE</v>
      </c>
    </row>
    <row r="7" spans="1:7" x14ac:dyDescent="0.3">
      <c r="A7" s="89" t="str">
        <f ca="1"/>
        <v>ALDRICH, SERGIO RUBEN</v>
      </c>
      <c r="B7" s="89" t="str">
        <f ca="1"/>
        <v>Proteccion Contra Incendios (Todos)</v>
      </c>
      <c r="C7" s="90">
        <f ca="1"/>
        <v>45835</v>
      </c>
      <c r="D7" s="89" t="str">
        <f ca="1"/>
        <v>Periódica</v>
      </c>
      <c r="E7" s="89">
        <f ca="1"/>
        <v>365</v>
      </c>
      <c r="F7" s="89">
        <f ca="1"/>
        <v>1</v>
      </c>
      <c r="G7" s="89" t="str">
        <f ca="1"/>
        <v>VENCIDA</v>
      </c>
    </row>
    <row r="8" spans="1:7" x14ac:dyDescent="0.3">
      <c r="A8" s="89" t="str">
        <f ca="1"/>
        <v>ALDRICH, SERGIO RUBEN</v>
      </c>
      <c r="B8" s="89" t="str">
        <f ca="1"/>
        <v>Control de Energias Peligrosas (LOTO) (Todos)</v>
      </c>
      <c r="C8" s="90">
        <f ca="1"/>
        <v>45827</v>
      </c>
      <c r="D8" s="89" t="str">
        <f ca="1"/>
        <v>Evento</v>
      </c>
      <c r="E8" s="89">
        <f ca="1"/>
        <v>0</v>
      </c>
      <c r="F8" s="89">
        <f ca="1"/>
        <v>1</v>
      </c>
      <c r="G8" s="89" t="str">
        <f ca="1"/>
        <v>VIGENTE</v>
      </c>
    </row>
    <row r="9" spans="1:7" x14ac:dyDescent="0.3">
      <c r="A9" s="89" t="str">
        <f ca="1"/>
        <v>ALDRICH, SERGIO RUBEN</v>
      </c>
      <c r="B9" s="89" t="str">
        <f ca="1"/>
        <v>Control de Energias Peligrosas (LOTO) (Empleados Autorizados)</v>
      </c>
      <c r="C9" s="90">
        <f ca="1"/>
        <v>46026</v>
      </c>
      <c r="D9" s="89" t="str">
        <f ca="1"/>
        <v>Periódica</v>
      </c>
      <c r="E9" s="89">
        <f ca="1"/>
        <v>365</v>
      </c>
      <c r="F9" s="89">
        <f ca="1"/>
        <v>2</v>
      </c>
      <c r="G9" s="89" t="str">
        <f ca="1"/>
        <v>VIGENTE</v>
      </c>
    </row>
    <row r="10" spans="1:7" x14ac:dyDescent="0.3">
      <c r="A10" s="89" t="str">
        <f ca="1"/>
        <v>ALDRICH, SERGIO RUBEN</v>
      </c>
      <c r="B10" s="89" t="str">
        <f ca="1"/>
        <v>Conduccion y Gestion de Viajes (Todos)</v>
      </c>
      <c r="C10" s="90">
        <f ca="1"/>
        <v>45770</v>
      </c>
      <c r="D10" s="89" t="str">
        <f ca="1"/>
        <v>Periódica</v>
      </c>
      <c r="E10" s="89">
        <f ca="1"/>
        <v>730</v>
      </c>
      <c r="F10" s="89">
        <f ca="1"/>
        <v>1</v>
      </c>
      <c r="G10" s="89" t="str">
        <f ca="1"/>
        <v>VIGENTE</v>
      </c>
    </row>
    <row r="11" spans="1:7" x14ac:dyDescent="0.3">
      <c r="A11" s="89" t="str">
        <f ca="1"/>
        <v>ALDRICH, SERGIO RUBEN</v>
      </c>
      <c r="B11" s="89" t="str">
        <f ca="1"/>
        <v>Conduccion y Gestion de Viajes (Conductores)</v>
      </c>
      <c r="C11" s="90">
        <f ca="1"/>
        <v>46211</v>
      </c>
      <c r="D11" s="89" t="str">
        <f ca="1"/>
        <v>Periódica</v>
      </c>
      <c r="E11" s="89">
        <f ca="1"/>
        <v>1095</v>
      </c>
      <c r="F11" s="89">
        <f ca="1"/>
        <v>5</v>
      </c>
      <c r="G11" s="89" t="str">
        <f ca="1"/>
        <v>VIGENTE</v>
      </c>
    </row>
    <row r="12" spans="1:7" x14ac:dyDescent="0.3">
      <c r="A12" s="89" t="str">
        <f ca="1"/>
        <v>ALDRICH, SERGIO RUBEN</v>
      </c>
      <c r="B12" s="89" t="str">
        <f ca="1"/>
        <v xml:space="preserve">Ergonomia //  / Levantamiento &amp; Seguridad en la Espalda </v>
      </c>
      <c r="C12" s="90">
        <f ca="1"/>
        <v>46006</v>
      </c>
      <c r="D12" s="89" t="str">
        <f ca="1"/>
        <v>Periódica</v>
      </c>
      <c r="E12" s="89">
        <f ca="1"/>
        <v>365</v>
      </c>
      <c r="F12" s="89">
        <f ca="1"/>
        <v>1</v>
      </c>
      <c r="G12" s="89" t="str">
        <f ca="1"/>
        <v>VIGENTE</v>
      </c>
    </row>
    <row r="13" spans="1:7" x14ac:dyDescent="0.3">
      <c r="A13" s="89" t="str">
        <f ca="1"/>
        <v>ALDRICH, SERGIO RUBEN</v>
      </c>
      <c r="B13" s="89" t="str">
        <f ca="1"/>
        <v>Superficies Elevadas (Todos)</v>
      </c>
      <c r="C13" s="90">
        <f ca="1"/>
        <v>46006</v>
      </c>
      <c r="D13" s="89" t="str">
        <f ca="1"/>
        <v>Periódica</v>
      </c>
      <c r="E13" s="89">
        <f ca="1"/>
        <v>365</v>
      </c>
      <c r="F13" s="89">
        <f ca="1"/>
        <v>1</v>
      </c>
      <c r="G13" s="89" t="str">
        <f ca="1"/>
        <v>VIGENTE</v>
      </c>
    </row>
    <row r="14" spans="1:7" x14ac:dyDescent="0.3">
      <c r="A14" s="89" t="str">
        <f ca="1"/>
        <v>ALDRICH, SERGIO RUBEN</v>
      </c>
      <c r="B14" s="89" t="str">
        <f ca="1"/>
        <v>Seguridad Quimica (Todos)</v>
      </c>
      <c r="C14" s="90">
        <f ca="1"/>
        <v>46006</v>
      </c>
      <c r="D14" s="89" t="str">
        <f ca="1"/>
        <v>Periódica</v>
      </c>
      <c r="E14" s="89">
        <f ca="1"/>
        <v>730</v>
      </c>
      <c r="F14" s="89">
        <f ca="1"/>
        <v>1</v>
      </c>
      <c r="G14" s="89" t="str">
        <f ca="1"/>
        <v>VIGENTE</v>
      </c>
    </row>
    <row r="15" spans="1:7" x14ac:dyDescent="0.3">
      <c r="A15" s="89" t="str">
        <f ca="1"/>
        <v>ALDRICH, SERGIO RUBEN</v>
      </c>
      <c r="B15" s="89" t="str">
        <f ca="1"/>
        <v>Seguridad para Trabajos en Caliente</v>
      </c>
      <c r="C15" s="90">
        <f ca="1"/>
        <v>45835</v>
      </c>
      <c r="D15" s="89" t="str">
        <f ca="1"/>
        <v>Periódica</v>
      </c>
      <c r="E15" s="89">
        <f ca="1"/>
        <v>365</v>
      </c>
      <c r="F15" s="89">
        <f ca="1"/>
        <v>1</v>
      </c>
      <c r="G15" s="89" t="str">
        <f ca="1"/>
        <v>VENCIDA</v>
      </c>
    </row>
    <row r="16" spans="1:7" x14ac:dyDescent="0.3">
      <c r="A16" s="89" t="str">
        <f ca="1"/>
        <v>ALDRICH, SERGIO RUBEN</v>
      </c>
      <c r="B16" s="89" t="str">
        <f ca="1"/>
        <v>Seguridad con la Radiacion</v>
      </c>
      <c r="C16" s="90">
        <f ca="1"/>
        <v>46013</v>
      </c>
      <c r="D16" s="89" t="str">
        <f ca="1"/>
        <v>Periódica</v>
      </c>
      <c r="E16" s="89">
        <f ca="1"/>
        <v>365</v>
      </c>
      <c r="F16" s="89">
        <f ca="1"/>
        <v>2</v>
      </c>
      <c r="G16" s="89" t="str">
        <f ca="1"/>
        <v>VIGENTE</v>
      </c>
    </row>
    <row r="17" spans="1:7" x14ac:dyDescent="0.3">
      <c r="A17" s="89" t="str">
        <f ca="1"/>
        <v>ALDRICH, SERGIO RUBEN</v>
      </c>
      <c r="B17" s="89" t="str">
        <f ca="1"/>
        <v>Equipo de Proteccion Personal (PPE)</v>
      </c>
      <c r="C17" s="90">
        <f ca="1"/>
        <v>46006</v>
      </c>
      <c r="D17" s="89" t="str">
        <f ca="1"/>
        <v>Periódica</v>
      </c>
      <c r="E17" s="89">
        <f ca="1"/>
        <v>365</v>
      </c>
      <c r="F17" s="89">
        <f ca="1"/>
        <v>1</v>
      </c>
      <c r="G17" s="89" t="str">
        <f ca="1"/>
        <v>VIGENTE</v>
      </c>
    </row>
    <row r="18" spans="1:7" x14ac:dyDescent="0.3">
      <c r="A18" s="89" t="str">
        <f ca="1"/>
        <v>ALDRICH, SERGIO RUBEN</v>
      </c>
      <c r="B18" s="89" t="str">
        <f ca="1"/>
        <v xml:space="preserve">Seguridad con Escaleras </v>
      </c>
      <c r="C18" s="90">
        <f ca="1"/>
        <v>46006</v>
      </c>
      <c r="D18" s="89" t="str">
        <f ca="1"/>
        <v>Periódica</v>
      </c>
      <c r="E18" s="89">
        <f ca="1"/>
        <v>365</v>
      </c>
      <c r="F18" s="89">
        <f ca="1"/>
        <v>1</v>
      </c>
      <c r="G18" s="89" t="str">
        <f ca="1"/>
        <v>VIGENTE</v>
      </c>
    </row>
    <row r="19" spans="1:7" x14ac:dyDescent="0.3">
      <c r="A19" s="89" t="str">
        <f ca="1"/>
        <v>ALDRICH, SERGIO RUBEN</v>
      </c>
      <c r="B19" s="89" t="str">
        <f ca="1"/>
        <v>Responsabilidades del Supervisor</v>
      </c>
      <c r="C19" s="90">
        <f ca="1"/>
        <v>46163</v>
      </c>
      <c r="D19" s="89" t="str">
        <f ca="1"/>
        <v>Periódica</v>
      </c>
      <c r="E19" s="89">
        <f ca="1"/>
        <v>365</v>
      </c>
      <c r="F19" s="89">
        <f ca="1"/>
        <v>1</v>
      </c>
      <c r="G19" s="89" t="str">
        <f ca="1"/>
        <v>VIGENTE</v>
      </c>
    </row>
    <row r="20" spans="1:7" x14ac:dyDescent="0.3">
      <c r="A20" s="89" t="str">
        <f ca="1"/>
        <v>ALDRICH, SERGIO RUBEN</v>
      </c>
      <c r="B20" s="89" t="str">
        <f ca="1"/>
        <v>Programa de Agua (Todos)</v>
      </c>
      <c r="C20" s="90">
        <f ca="1"/>
        <v>46134</v>
      </c>
      <c r="D20" s="89" t="str">
        <f ca="1"/>
        <v>Evento</v>
      </c>
      <c r="E20" s="89">
        <f ca="1"/>
        <v>0</v>
      </c>
      <c r="F20" s="89">
        <f ca="1"/>
        <v>1</v>
      </c>
      <c r="G20" s="89" t="str">
        <f ca="1"/>
        <v>VIGENTE</v>
      </c>
    </row>
    <row r="21" spans="1:7" x14ac:dyDescent="0.3">
      <c r="A21" s="89" t="str">
        <f ca="1"/>
        <v>ALVARADO, JOSE RAMON</v>
      </c>
      <c r="B21" s="89" t="str">
        <f ca="1"/>
        <v>Conciencia Ambiental</v>
      </c>
      <c r="C21" s="90">
        <f ca="1"/>
        <v>46162</v>
      </c>
      <c r="D21" s="89" t="str">
        <f ca="1"/>
        <v>Periódica</v>
      </c>
      <c r="E21" s="89">
        <f ca="1"/>
        <v>365</v>
      </c>
      <c r="F21" s="89">
        <f ca="1"/>
        <v>1</v>
      </c>
      <c r="G21" s="89" t="str">
        <f ca="1"/>
        <v>VIGENTE</v>
      </c>
    </row>
    <row r="22" spans="1:7" x14ac:dyDescent="0.3">
      <c r="A22" s="89" t="str">
        <f ca="1"/>
        <v>ALVARADO, JOSE RAMON</v>
      </c>
      <c r="B22" s="89" t="str">
        <f ca="1"/>
        <v>Seguridad Basada en el Comportamiento (Observation Program) // HSMS.043 / Autoridad de Detener el Trabajo</v>
      </c>
      <c r="C22" s="90">
        <f ca="1"/>
        <v>45838</v>
      </c>
      <c r="D22" s="89" t="str">
        <f ca="1"/>
        <v>Periódica</v>
      </c>
      <c r="E22" s="89">
        <f ca="1"/>
        <v>365</v>
      </c>
      <c r="F22" s="89">
        <f ca="1"/>
        <v>1</v>
      </c>
      <c r="G22" s="89" t="str">
        <f ca="1"/>
        <v>VENCIDA</v>
      </c>
    </row>
    <row r="23" spans="1:7" x14ac:dyDescent="0.3">
      <c r="A23" s="89" t="str">
        <f ca="1"/>
        <v>ALVARADO, JOSE RAMON</v>
      </c>
      <c r="B23" s="89" t="str">
        <f ca="1"/>
        <v>Identificacion de Peligros y Evaluacion de Riesgos</v>
      </c>
      <c r="C23" s="90">
        <f ca="1"/>
        <v>46009</v>
      </c>
      <c r="D23" s="89" t="str">
        <f ca="1"/>
        <v>Evento</v>
      </c>
      <c r="E23" s="89">
        <f ca="1"/>
        <v>0</v>
      </c>
      <c r="F23" s="89">
        <f ca="1"/>
        <v>1</v>
      </c>
      <c r="G23" s="89" t="str">
        <f ca="1"/>
        <v>VIGENTE</v>
      </c>
    </row>
    <row r="24" spans="1:7" x14ac:dyDescent="0.3">
      <c r="A24" s="89" t="str">
        <f ca="1"/>
        <v>ALVARADO, JOSE RAMON</v>
      </c>
      <c r="B24" s="89" t="str">
        <f ca="1"/>
        <v>Reporte y Gestion de Incidentes HSE (Todos)</v>
      </c>
      <c r="C24" s="90">
        <f ca="1"/>
        <v>46009</v>
      </c>
      <c r="D24" s="89" t="str">
        <f ca="1"/>
        <v>Periódica</v>
      </c>
      <c r="E24" s="89">
        <f ca="1"/>
        <v>365</v>
      </c>
      <c r="F24" s="89">
        <f ca="1"/>
        <v>1</v>
      </c>
      <c r="G24" s="89" t="str">
        <f ca="1"/>
        <v>VIGENTE</v>
      </c>
    </row>
    <row r="25" spans="1:7" x14ac:dyDescent="0.3">
      <c r="A25" s="89" t="str">
        <f ca="1"/>
        <v>ALVARADO, JOSE RAMON</v>
      </c>
      <c r="B25" s="89" t="str">
        <f ca="1"/>
        <v>HSMS.007 / Gruas y Equipos de Izaje (Operadores)</v>
      </c>
      <c r="C25" s="90">
        <f ca="1"/>
        <v>46140</v>
      </c>
      <c r="D25" s="89" t="str">
        <f ca="1"/>
        <v>Periódica</v>
      </c>
      <c r="E25" s="89">
        <f ca="1"/>
        <v>365</v>
      </c>
      <c r="F25" s="89">
        <f ca="1"/>
        <v>8</v>
      </c>
      <c r="G25" s="89" t="str">
        <f ca="1"/>
        <v>VIGENTE</v>
      </c>
    </row>
    <row r="26" spans="1:7" x14ac:dyDescent="0.3">
      <c r="A26" s="89" t="str">
        <f ca="1"/>
        <v>ALVARADO, JOSE RAMON</v>
      </c>
      <c r="B26" s="89" t="str">
        <f ca="1"/>
        <v>Proteccion Contra Incendios (Todos)</v>
      </c>
      <c r="C26" s="90">
        <f ca="1"/>
        <v>46014</v>
      </c>
      <c r="D26" s="89" t="str">
        <f ca="1"/>
        <v>Periódica</v>
      </c>
      <c r="E26" s="89">
        <f ca="1"/>
        <v>365</v>
      </c>
      <c r="F26" s="89">
        <f ca="1"/>
        <v>1</v>
      </c>
      <c r="G26" s="89" t="str">
        <f ca="1"/>
        <v>VIGENTE</v>
      </c>
    </row>
    <row r="27" spans="1:7" x14ac:dyDescent="0.3">
      <c r="A27" s="89" t="str">
        <f ca="1"/>
        <v>ALVARADO, JOSE RAMON</v>
      </c>
      <c r="B27" s="89" t="str">
        <f ca="1"/>
        <v>Control de Energias Peligrosas (LOTO) (Todos)</v>
      </c>
      <c r="C27" s="90">
        <f ca="1"/>
        <v>45838</v>
      </c>
      <c r="D27" s="89" t="str">
        <f ca="1"/>
        <v>Evento</v>
      </c>
      <c r="E27" s="89">
        <f ca="1"/>
        <v>0</v>
      </c>
      <c r="F27" s="89">
        <f ca="1"/>
        <v>1</v>
      </c>
      <c r="G27" s="89" t="str">
        <f ca="1"/>
        <v>VIGENTE</v>
      </c>
    </row>
    <row r="28" spans="1:7" x14ac:dyDescent="0.3">
      <c r="A28" s="89" t="str">
        <f ca="1"/>
        <v>ALVARADO, JOSE RAMON</v>
      </c>
      <c r="B28" s="89" t="str">
        <f ca="1"/>
        <v>Control de Energias Peligrosas (LOTO) (Empleados Autorizados)</v>
      </c>
      <c r="C28" s="90">
        <f ca="1"/>
        <v>46162</v>
      </c>
      <c r="D28" s="89" t="str">
        <f ca="1"/>
        <v>Periódica</v>
      </c>
      <c r="E28" s="89">
        <f ca="1"/>
        <v>365</v>
      </c>
      <c r="F28" s="89">
        <f ca="1"/>
        <v>2</v>
      </c>
      <c r="G28" s="89" t="str">
        <f ca="1"/>
        <v>VIGENTE</v>
      </c>
    </row>
    <row r="29" spans="1:7" x14ac:dyDescent="0.3">
      <c r="A29" s="89" t="str">
        <f ca="1"/>
        <v>ALVARADO, JOSE RAMON</v>
      </c>
      <c r="B29" s="89" t="str">
        <f ca="1"/>
        <v>Conduccion y Gestion de Viajes (Todos)</v>
      </c>
      <c r="C29" s="90">
        <f ca="1"/>
        <v>45770</v>
      </c>
      <c r="D29" s="89" t="str">
        <f ca="1"/>
        <v>Periódica</v>
      </c>
      <c r="E29" s="89">
        <f ca="1"/>
        <v>730</v>
      </c>
      <c r="F29" s="89">
        <f ca="1"/>
        <v>1</v>
      </c>
      <c r="G29" s="89" t="str">
        <f ca="1"/>
        <v>VIGENTE</v>
      </c>
    </row>
    <row r="30" spans="1:7" x14ac:dyDescent="0.3">
      <c r="A30" s="89" t="str">
        <f ca="1"/>
        <v>ALVARADO, JOSE RAMON</v>
      </c>
      <c r="B30" s="89" t="str">
        <f ca="1"/>
        <v>Conduccion y Gestion de Viajes (Conductores)</v>
      </c>
      <c r="C30" s="90">
        <f ca="1"/>
        <v>46743</v>
      </c>
      <c r="D30" s="89" t="str">
        <f ca="1"/>
        <v>Periódica</v>
      </c>
      <c r="E30" s="89">
        <f ca="1"/>
        <v>1095</v>
      </c>
      <c r="F30" s="89">
        <f ca="1"/>
        <v>5</v>
      </c>
      <c r="G30" s="89" t="str">
        <f ca="1"/>
        <v>VIGENTE</v>
      </c>
    </row>
    <row r="31" spans="1:7" x14ac:dyDescent="0.3">
      <c r="A31" s="89" t="str">
        <f ca="1"/>
        <v>ALVARADO, JOSE RAMON</v>
      </c>
      <c r="B31" s="89" t="str">
        <f ca="1"/>
        <v xml:space="preserve">Ergonomia //  / Levantamiento &amp; Seguridad en la Espalda </v>
      </c>
      <c r="C31" s="90">
        <f ca="1"/>
        <v>46009</v>
      </c>
      <c r="D31" s="89" t="str">
        <f ca="1"/>
        <v>Periódica</v>
      </c>
      <c r="E31" s="89">
        <f ca="1"/>
        <v>365</v>
      </c>
      <c r="F31" s="89">
        <f ca="1"/>
        <v>1</v>
      </c>
      <c r="G31" s="89" t="str">
        <f ca="1"/>
        <v>VIGENTE</v>
      </c>
    </row>
    <row r="32" spans="1:7" x14ac:dyDescent="0.3">
      <c r="A32" s="89" t="str">
        <f ca="1"/>
        <v>ALVARADO, JOSE RAMON</v>
      </c>
      <c r="B32" s="89" t="str">
        <f ca="1"/>
        <v>Superficies Elevadas (Todos)</v>
      </c>
      <c r="C32" s="90">
        <f ca="1"/>
        <v>46014</v>
      </c>
      <c r="D32" s="89" t="str">
        <f ca="1"/>
        <v>Periódica</v>
      </c>
      <c r="E32" s="89">
        <f ca="1"/>
        <v>365</v>
      </c>
      <c r="F32" s="89">
        <f ca="1"/>
        <v>1</v>
      </c>
      <c r="G32" s="89" t="str">
        <f ca="1"/>
        <v>VIGENTE</v>
      </c>
    </row>
    <row r="33" spans="1:7" x14ac:dyDescent="0.3">
      <c r="A33" s="89" t="str">
        <f ca="1"/>
        <v>ALVARADO, JOSE RAMON</v>
      </c>
      <c r="B33" s="89" t="str">
        <f ca="1"/>
        <v>Seguridad Quimica (Todos)</v>
      </c>
      <c r="C33" s="90">
        <f ca="1"/>
        <v>46014</v>
      </c>
      <c r="D33" s="89" t="str">
        <f ca="1"/>
        <v>Periódica</v>
      </c>
      <c r="E33" s="89">
        <f ca="1"/>
        <v>730</v>
      </c>
      <c r="F33" s="89">
        <f ca="1"/>
        <v>1</v>
      </c>
      <c r="G33" s="89" t="str">
        <f ca="1"/>
        <v>VIGENTE</v>
      </c>
    </row>
    <row r="34" spans="1:7" x14ac:dyDescent="0.3">
      <c r="A34" s="89" t="str">
        <f ca="1"/>
        <v>ALVARADO, JOSE RAMON</v>
      </c>
      <c r="B34" s="89" t="str">
        <f ca="1"/>
        <v>Seguridad para Trabajos en Caliente</v>
      </c>
      <c r="C34" s="90">
        <f ca="1"/>
        <v>46014</v>
      </c>
      <c r="D34" s="89" t="str">
        <f ca="1"/>
        <v>Periódica</v>
      </c>
      <c r="E34" s="89">
        <f ca="1"/>
        <v>365</v>
      </c>
      <c r="F34" s="89">
        <f ca="1"/>
        <v>1</v>
      </c>
      <c r="G34" s="89" t="str">
        <f ca="1"/>
        <v>VIGENTE</v>
      </c>
    </row>
    <row r="35" spans="1:7" x14ac:dyDescent="0.3">
      <c r="A35" s="89" t="str">
        <f ca="1"/>
        <v>ALVARADO, JOSE RAMON</v>
      </c>
      <c r="B35" s="89" t="str">
        <f ca="1"/>
        <v>Equipo de Proteccion Personal (PPE)</v>
      </c>
      <c r="C35" s="90">
        <f ca="1"/>
        <v>46014</v>
      </c>
      <c r="D35" s="89" t="str">
        <f ca="1"/>
        <v>Periódica</v>
      </c>
      <c r="E35" s="89">
        <f ca="1"/>
        <v>365</v>
      </c>
      <c r="F35" s="89">
        <f ca="1"/>
        <v>1</v>
      </c>
      <c r="G35" s="89" t="str">
        <f ca="1"/>
        <v>VIGENTE</v>
      </c>
    </row>
    <row r="36" spans="1:7" x14ac:dyDescent="0.3">
      <c r="A36" s="89" t="str">
        <f ca="1"/>
        <v>ALVARADO, JOSE RAMON</v>
      </c>
      <c r="B36" s="89" t="str">
        <f ca="1"/>
        <v xml:space="preserve">Seguridad con Escaleras </v>
      </c>
      <c r="C36" s="90">
        <f ca="1"/>
        <v>46014</v>
      </c>
      <c r="D36" s="89" t="str">
        <f ca="1"/>
        <v>Periódica</v>
      </c>
      <c r="E36" s="89">
        <f ca="1"/>
        <v>365</v>
      </c>
      <c r="F36" s="89">
        <f ca="1"/>
        <v>1</v>
      </c>
      <c r="G36" s="89" t="str">
        <f ca="1"/>
        <v>VIGENTE</v>
      </c>
    </row>
    <row r="37" spans="1:7" x14ac:dyDescent="0.3">
      <c r="A37" s="89" t="str">
        <f ca="1"/>
        <v>CAPURRO, GERARDO DANIEL</v>
      </c>
      <c r="B37" s="89" t="str">
        <f ca="1"/>
        <v>Seguridad Basada en el Comportamiento (Observation Program) // HSMS.043 / Autoridad de Detener el Trabajo</v>
      </c>
      <c r="C37" s="90">
        <f ca="1"/>
        <v>45827</v>
      </c>
      <c r="D37" s="89" t="str">
        <f ca="1"/>
        <v>Periódica</v>
      </c>
      <c r="E37" s="89">
        <f ca="1"/>
        <v>365</v>
      </c>
      <c r="F37" s="89">
        <f ca="1"/>
        <v>1</v>
      </c>
      <c r="G37" s="89" t="str">
        <f ca="1"/>
        <v>VENCIDA</v>
      </c>
    </row>
    <row r="38" spans="1:7" x14ac:dyDescent="0.3">
      <c r="A38" s="89" t="str">
        <f ca="1"/>
        <v>CAPURRO, GERARDO DANIEL</v>
      </c>
      <c r="B38" s="89" t="str">
        <f ca="1"/>
        <v>Identificacion de Peligros y Evaluacion de Riesgos</v>
      </c>
      <c r="C38" s="90">
        <f ca="1"/>
        <v>46009</v>
      </c>
      <c r="D38" s="89" t="str">
        <f ca="1"/>
        <v>Evento</v>
      </c>
      <c r="E38" s="89">
        <f ca="1"/>
        <v>0</v>
      </c>
      <c r="F38" s="89">
        <f ca="1"/>
        <v>1</v>
      </c>
      <c r="G38" s="89" t="str">
        <f ca="1"/>
        <v>VIGENTE</v>
      </c>
    </row>
    <row r="39" spans="1:7" x14ac:dyDescent="0.3">
      <c r="A39" s="89" t="str">
        <f ca="1"/>
        <v>CAPURRO, GERARDO DANIEL</v>
      </c>
      <c r="B39" s="89" t="str">
        <f ca="1"/>
        <v>Reporte y Gestion de Incidentes HSE (Todos)</v>
      </c>
      <c r="C39" s="90">
        <f ca="1"/>
        <v>46009</v>
      </c>
      <c r="D39" s="89" t="str">
        <f ca="1"/>
        <v>Periódica</v>
      </c>
      <c r="E39" s="89">
        <f ca="1"/>
        <v>365</v>
      </c>
      <c r="F39" s="89">
        <f ca="1"/>
        <v>1</v>
      </c>
      <c r="G39" s="89" t="str">
        <f ca="1"/>
        <v>VIGENTE</v>
      </c>
    </row>
    <row r="40" spans="1:7" x14ac:dyDescent="0.3">
      <c r="A40" s="89" t="str">
        <f ca="1"/>
        <v>CAPURRO, GERARDO DANIEL</v>
      </c>
      <c r="B40" s="89" t="str">
        <f ca="1"/>
        <v>HSMS.007 / Gruas y Equipos de Izaje (Operadores)</v>
      </c>
      <c r="C40" s="90">
        <f ca="1"/>
        <v>46140</v>
      </c>
      <c r="D40" s="89" t="str">
        <f ca="1"/>
        <v>Periódica</v>
      </c>
      <c r="E40" s="89">
        <f ca="1"/>
        <v>365</v>
      </c>
      <c r="F40" s="89">
        <f ca="1"/>
        <v>8</v>
      </c>
      <c r="G40" s="89" t="str">
        <f ca="1"/>
        <v>VIGENTE</v>
      </c>
    </row>
    <row r="41" spans="1:7" x14ac:dyDescent="0.3">
      <c r="A41" s="89" t="str">
        <f ca="1"/>
        <v>CAPURRO, GERARDO DANIEL</v>
      </c>
      <c r="B41" s="89" t="str">
        <f ca="1"/>
        <v>Proteccion Contra Incendios (Todos)</v>
      </c>
      <c r="C41" s="90">
        <f ca="1"/>
        <v>45835</v>
      </c>
      <c r="D41" s="89" t="str">
        <f ca="1"/>
        <v>Periódica</v>
      </c>
      <c r="E41" s="89">
        <f ca="1"/>
        <v>365</v>
      </c>
      <c r="F41" s="89">
        <f ca="1"/>
        <v>1</v>
      </c>
      <c r="G41" s="89" t="str">
        <f ca="1"/>
        <v>VENCIDA</v>
      </c>
    </row>
    <row r="42" spans="1:7" x14ac:dyDescent="0.3">
      <c r="A42" s="89" t="str">
        <f ca="1"/>
        <v>CAPURRO, GERARDO DANIEL</v>
      </c>
      <c r="B42" s="89" t="str">
        <f ca="1"/>
        <v>Control de Energias Peligrosas (LOTO) (Todos)</v>
      </c>
      <c r="C42" s="90">
        <f ca="1"/>
        <v>45827</v>
      </c>
      <c r="D42" s="89" t="str">
        <f ca="1"/>
        <v>Evento</v>
      </c>
      <c r="E42" s="89">
        <f ca="1"/>
        <v>0</v>
      </c>
      <c r="F42" s="89">
        <f ca="1"/>
        <v>1</v>
      </c>
      <c r="G42" s="89" t="str">
        <f ca="1"/>
        <v>VIGENTE</v>
      </c>
    </row>
    <row r="43" spans="1:7" x14ac:dyDescent="0.3">
      <c r="A43" s="89" t="str">
        <f ca="1"/>
        <v>CAPURRO, GERARDO DANIEL</v>
      </c>
      <c r="B43" s="89" t="str">
        <f ca="1"/>
        <v>Control de Energias Peligrosas (LOTO) (Empleados Autorizados)</v>
      </c>
      <c r="C43" s="90">
        <f ca="1"/>
        <v>46164</v>
      </c>
      <c r="D43" s="89" t="str">
        <f ca="1"/>
        <v>Periódica</v>
      </c>
      <c r="E43" s="89">
        <f ca="1"/>
        <v>365</v>
      </c>
      <c r="F43" s="89">
        <f ca="1"/>
        <v>2</v>
      </c>
      <c r="G43" s="89" t="str">
        <f ca="1"/>
        <v>VIGENTE</v>
      </c>
    </row>
    <row r="44" spans="1:7" x14ac:dyDescent="0.3">
      <c r="A44" s="89" t="str">
        <f ca="1"/>
        <v>CAPURRO, GERARDO DANIEL</v>
      </c>
      <c r="B44" s="89" t="str">
        <f ca="1"/>
        <v>Conduccion y Gestion de Viajes (Todos)</v>
      </c>
      <c r="C44" s="90">
        <f ca="1"/>
        <v>45827</v>
      </c>
      <c r="D44" s="89" t="str">
        <f ca="1"/>
        <v>Periódica</v>
      </c>
      <c r="E44" s="89">
        <f ca="1"/>
        <v>730</v>
      </c>
      <c r="F44" s="89">
        <f ca="1"/>
        <v>1</v>
      </c>
      <c r="G44" s="89" t="str">
        <f ca="1"/>
        <v>VIGENTE</v>
      </c>
    </row>
    <row r="45" spans="1:7" x14ac:dyDescent="0.3">
      <c r="A45" s="89" t="str">
        <f ca="1"/>
        <v>CAPURRO, GERARDO DANIEL</v>
      </c>
      <c r="B45" s="89" t="str">
        <f ca="1"/>
        <v>Conduccion y Gestion de Viajes (Conductores)</v>
      </c>
      <c r="C45" s="90">
        <f ca="1"/>
        <v>47056</v>
      </c>
      <c r="D45" s="89" t="str">
        <f ca="1"/>
        <v>Periódica</v>
      </c>
      <c r="E45" s="89">
        <f ca="1"/>
        <v>1095</v>
      </c>
      <c r="F45" s="89">
        <f ca="1"/>
        <v>5</v>
      </c>
      <c r="G45" s="89" t="str">
        <f ca="1"/>
        <v>VIGENTE</v>
      </c>
    </row>
    <row r="46" spans="1:7" x14ac:dyDescent="0.3">
      <c r="A46" s="89" t="str">
        <f ca="1"/>
        <v>CAPURRO, GERARDO DANIEL</v>
      </c>
      <c r="B46" s="89" t="str">
        <f ca="1"/>
        <v xml:space="preserve">Ergonomia //  / Levantamiento &amp; Seguridad en la Espalda </v>
      </c>
      <c r="C46" s="90">
        <f ca="1"/>
        <v>46009</v>
      </c>
      <c r="D46" s="89" t="str">
        <f ca="1"/>
        <v>Periódica</v>
      </c>
      <c r="E46" s="89">
        <f ca="1"/>
        <v>365</v>
      </c>
      <c r="F46" s="89">
        <f ca="1"/>
        <v>1</v>
      </c>
      <c r="G46" s="89" t="str">
        <f ca="1"/>
        <v>VIGENTE</v>
      </c>
    </row>
    <row r="47" spans="1:7" x14ac:dyDescent="0.3">
      <c r="A47" s="89" t="str">
        <f ca="1"/>
        <v>CAPURRO, GERARDO DANIEL</v>
      </c>
      <c r="B47" s="89" t="str">
        <f ca="1"/>
        <v>Seguridad para Trabajos en Caliente</v>
      </c>
      <c r="C47" s="90">
        <f ca="1"/>
        <v>45835</v>
      </c>
      <c r="D47" s="89" t="str">
        <f ca="1"/>
        <v>Periódica</v>
      </c>
      <c r="E47" s="89">
        <f ca="1"/>
        <v>365</v>
      </c>
      <c r="F47" s="89">
        <f ca="1"/>
        <v>1</v>
      </c>
      <c r="G47" s="89" t="str">
        <f ca="1"/>
        <v>VENCIDA</v>
      </c>
    </row>
    <row r="48" spans="1:7" x14ac:dyDescent="0.3">
      <c r="A48" s="89" t="str">
        <f ca="1"/>
        <v>CARCAMO, EDUARDO ANDRES</v>
      </c>
      <c r="B48" s="89" t="str">
        <f ca="1"/>
        <v>Seguridad Basada en el Comportamiento (Observation Program) // HSMS.043 / Autoridad de Detener el Trabajo</v>
      </c>
      <c r="C48" s="90">
        <f ca="1"/>
        <v>45707</v>
      </c>
      <c r="D48" s="89" t="str">
        <f ca="1"/>
        <v>Periódica</v>
      </c>
      <c r="E48" s="89">
        <f ca="1"/>
        <v>365</v>
      </c>
      <c r="F48" s="89">
        <f ca="1"/>
        <v>1</v>
      </c>
      <c r="G48" s="89" t="str">
        <f ca="1"/>
        <v>VENCIDA</v>
      </c>
    </row>
    <row r="49" spans="1:7" x14ac:dyDescent="0.3">
      <c r="A49" s="89" t="str">
        <f ca="1"/>
        <v>CARCAMO, EDUARDO ANDRES</v>
      </c>
      <c r="B49" s="89" t="str">
        <f ca="1"/>
        <v>Identificacion de Peligros y Evaluacion de Riesgos</v>
      </c>
      <c r="C49" s="90">
        <f ca="1"/>
        <v>46020</v>
      </c>
      <c r="D49" s="89" t="str">
        <f ca="1"/>
        <v>Evento</v>
      </c>
      <c r="E49" s="89">
        <f ca="1"/>
        <v>0</v>
      </c>
      <c r="F49" s="89">
        <f ca="1"/>
        <v>1</v>
      </c>
      <c r="G49" s="89" t="str">
        <f ca="1"/>
        <v>VIGENTE</v>
      </c>
    </row>
    <row r="50" spans="1:7" x14ac:dyDescent="0.3">
      <c r="A50" s="89" t="str">
        <f ca="1"/>
        <v>CARCAMO, EDUARDO ANDRES</v>
      </c>
      <c r="B50" s="89" t="str">
        <f ca="1"/>
        <v>Reporte y Gestion de Incidentes HSE (Todos)</v>
      </c>
      <c r="C50" s="90">
        <f ca="1"/>
        <v>46008</v>
      </c>
      <c r="D50" s="89" t="str">
        <f ca="1"/>
        <v>Periódica</v>
      </c>
      <c r="E50" s="89">
        <f ca="1"/>
        <v>365</v>
      </c>
      <c r="F50" s="89">
        <f ca="1"/>
        <v>1</v>
      </c>
      <c r="G50" s="89" t="str">
        <f ca="1"/>
        <v>VIGENTE</v>
      </c>
    </row>
    <row r="51" spans="1:7" x14ac:dyDescent="0.3">
      <c r="A51" s="89" t="str">
        <f ca="1"/>
        <v>CARCAMO, EDUARDO ANDRES</v>
      </c>
      <c r="B51" s="89" t="str">
        <f ca="1"/>
        <v>HSMS.007 / Gruas y Equipos de Izaje (Operadores)</v>
      </c>
      <c r="C51" s="90">
        <f ca="1"/>
        <v>46140</v>
      </c>
      <c r="D51" s="89" t="str">
        <f ca="1"/>
        <v>Periódica</v>
      </c>
      <c r="E51" s="89">
        <f ca="1"/>
        <v>365</v>
      </c>
      <c r="F51" s="89">
        <f ca="1"/>
        <v>8</v>
      </c>
      <c r="G51" s="89" t="str">
        <f ca="1"/>
        <v>VIGENTE</v>
      </c>
    </row>
    <row r="52" spans="1:7" x14ac:dyDescent="0.3">
      <c r="A52" s="89" t="str">
        <f ca="1"/>
        <v>CARCAMO, EDUARDO ANDRES</v>
      </c>
      <c r="B52" s="89" t="str">
        <f ca="1"/>
        <v>Proteccion Contra Incendios (Todos)</v>
      </c>
      <c r="C52" s="90">
        <f ca="1"/>
        <v>46020</v>
      </c>
      <c r="D52" s="89" t="str">
        <f ca="1"/>
        <v>Periódica</v>
      </c>
      <c r="E52" s="89">
        <f ca="1"/>
        <v>365</v>
      </c>
      <c r="F52" s="89">
        <f ca="1"/>
        <v>1</v>
      </c>
      <c r="G52" s="89" t="str">
        <f ca="1"/>
        <v>VIGENTE</v>
      </c>
    </row>
    <row r="53" spans="1:7" x14ac:dyDescent="0.3">
      <c r="A53" s="89" t="str">
        <f ca="1"/>
        <v>CARCAMO, EDUARDO ANDRES</v>
      </c>
      <c r="B53" s="89" t="str">
        <f ca="1"/>
        <v>Control de Energias Peligrosas (LOTO) (Todos)</v>
      </c>
      <c r="C53" s="90">
        <f ca="1"/>
        <v>45707</v>
      </c>
      <c r="D53" s="89" t="str">
        <f ca="1"/>
        <v>Evento</v>
      </c>
      <c r="E53" s="89">
        <f ca="1"/>
        <v>0</v>
      </c>
      <c r="F53" s="89">
        <f ca="1"/>
        <v>1</v>
      </c>
      <c r="G53" s="89" t="str">
        <f ca="1"/>
        <v>VIGENTE</v>
      </c>
    </row>
    <row r="54" spans="1:7" x14ac:dyDescent="0.3">
      <c r="A54" s="89" t="str">
        <f ca="1"/>
        <v>CARCAMO, EDUARDO ANDRES</v>
      </c>
      <c r="B54" s="89" t="str">
        <f ca="1"/>
        <v>Control de Energias Peligrosas (LOTO) (Empleados Autorizados)</v>
      </c>
      <c r="C54" s="90">
        <f ca="1"/>
        <v>46164</v>
      </c>
      <c r="D54" s="89" t="str">
        <f ca="1"/>
        <v>Periódica</v>
      </c>
      <c r="E54" s="89">
        <f ca="1"/>
        <v>365</v>
      </c>
      <c r="F54" s="89">
        <f ca="1"/>
        <v>2</v>
      </c>
      <c r="G54" s="89" t="str">
        <f ca="1"/>
        <v>VIGENTE</v>
      </c>
    </row>
    <row r="55" spans="1:7" x14ac:dyDescent="0.3">
      <c r="A55" s="89" t="str">
        <f ca="1"/>
        <v>CARCAMO, EDUARDO ANDRES</v>
      </c>
      <c r="B55" s="89" t="str">
        <f ca="1"/>
        <v>Conduccion y Gestion de Viajes (Todos)</v>
      </c>
      <c r="C55" s="90">
        <f ca="1"/>
        <v>45805</v>
      </c>
      <c r="D55" s="89" t="str">
        <f ca="1"/>
        <v>Periódica</v>
      </c>
      <c r="E55" s="89">
        <f ca="1"/>
        <v>730</v>
      </c>
      <c r="F55" s="89">
        <f ca="1"/>
        <v>1</v>
      </c>
      <c r="G55" s="89" t="str">
        <f ca="1"/>
        <v>VIGENTE</v>
      </c>
    </row>
    <row r="56" spans="1:7" x14ac:dyDescent="0.3">
      <c r="A56" s="89" t="str">
        <f ca="1"/>
        <v>CARCAMO, EDUARDO ANDRES</v>
      </c>
      <c r="B56" s="89" t="str">
        <f ca="1"/>
        <v>Conduccion y Gestion de Viajes (Conductores)</v>
      </c>
      <c r="C56" s="90">
        <f ca="1"/>
        <v>46907</v>
      </c>
      <c r="D56" s="89" t="str">
        <f ca="1"/>
        <v>Periódica</v>
      </c>
      <c r="E56" s="89">
        <f ca="1"/>
        <v>1095</v>
      </c>
      <c r="F56" s="89">
        <f ca="1"/>
        <v>5</v>
      </c>
      <c r="G56" s="89" t="str">
        <f ca="1"/>
        <v>VIGENTE</v>
      </c>
    </row>
    <row r="57" spans="1:7" x14ac:dyDescent="0.3">
      <c r="A57" s="89" t="str">
        <f ca="1"/>
        <v>CARCAMO, EDUARDO ANDRES</v>
      </c>
      <c r="B57" s="89" t="str">
        <f ca="1"/>
        <v xml:space="preserve">Ergonomia //  / Levantamiento &amp; Seguridad en la Espalda </v>
      </c>
      <c r="C57" s="90">
        <f ca="1"/>
        <v>46008</v>
      </c>
      <c r="D57" s="89" t="str">
        <f ca="1"/>
        <v>Periódica</v>
      </c>
      <c r="E57" s="89">
        <f ca="1"/>
        <v>365</v>
      </c>
      <c r="F57" s="89">
        <f ca="1"/>
        <v>1</v>
      </c>
      <c r="G57" s="89" t="str">
        <f ca="1"/>
        <v>VIGENTE</v>
      </c>
    </row>
    <row r="58" spans="1:7" x14ac:dyDescent="0.3">
      <c r="A58" s="89" t="str">
        <f ca="1"/>
        <v>CARCAMO, EDUARDO ANDRES</v>
      </c>
      <c r="B58" s="89" t="str">
        <f ca="1"/>
        <v>Superficies Elevadas (Todos)</v>
      </c>
      <c r="C58" s="90">
        <f ca="1"/>
        <v>46020</v>
      </c>
      <c r="D58" s="89" t="str">
        <f ca="1"/>
        <v>Periódica</v>
      </c>
      <c r="E58" s="89">
        <f ca="1"/>
        <v>365</v>
      </c>
      <c r="F58" s="89">
        <f ca="1"/>
        <v>1</v>
      </c>
      <c r="G58" s="89" t="str">
        <f ca="1"/>
        <v>VIGENTE</v>
      </c>
    </row>
    <row r="59" spans="1:7" x14ac:dyDescent="0.3">
      <c r="A59" s="89" t="str">
        <f ca="1"/>
        <v>CARCAMO, EDUARDO ANDRES</v>
      </c>
      <c r="B59" s="89" t="str">
        <f ca="1"/>
        <v>Seguridad Quimica (Todos)</v>
      </c>
      <c r="C59" s="90">
        <f ca="1"/>
        <v>46020</v>
      </c>
      <c r="D59" s="89" t="str">
        <f ca="1"/>
        <v>Periódica</v>
      </c>
      <c r="E59" s="89">
        <f ca="1"/>
        <v>730</v>
      </c>
      <c r="F59" s="89">
        <f ca="1"/>
        <v>1</v>
      </c>
      <c r="G59" s="89" t="str">
        <f ca="1"/>
        <v>VIGENTE</v>
      </c>
    </row>
    <row r="60" spans="1:7" x14ac:dyDescent="0.3">
      <c r="A60" s="89" t="str">
        <f ca="1"/>
        <v>CARCAMO, EDUARDO ANDRES</v>
      </c>
      <c r="B60" s="89" t="str">
        <f ca="1"/>
        <v>Seguridad para Trabajos en Caliente</v>
      </c>
      <c r="C60" s="90">
        <f ca="1"/>
        <v>46020</v>
      </c>
      <c r="D60" s="89" t="str">
        <f ca="1"/>
        <v>Periódica</v>
      </c>
      <c r="E60" s="89">
        <f ca="1"/>
        <v>365</v>
      </c>
      <c r="F60" s="89">
        <f ca="1"/>
        <v>1</v>
      </c>
      <c r="G60" s="89" t="str">
        <f ca="1"/>
        <v>VIGENTE</v>
      </c>
    </row>
    <row r="61" spans="1:7" x14ac:dyDescent="0.3">
      <c r="A61" s="89" t="str">
        <f ca="1"/>
        <v>CARCAMO, EDUARDO ANDRES</v>
      </c>
      <c r="B61" s="89" t="str">
        <f ca="1"/>
        <v>Equipo de Proteccion Personal (PPE)</v>
      </c>
      <c r="C61" s="90">
        <f ca="1"/>
        <v>46020</v>
      </c>
      <c r="D61" s="89" t="str">
        <f ca="1"/>
        <v>Periódica</v>
      </c>
      <c r="E61" s="89">
        <f ca="1"/>
        <v>365</v>
      </c>
      <c r="F61" s="89">
        <f ca="1"/>
        <v>1</v>
      </c>
      <c r="G61" s="89" t="str">
        <f ca="1"/>
        <v>VIGENTE</v>
      </c>
    </row>
    <row r="62" spans="1:7" x14ac:dyDescent="0.3">
      <c r="A62" s="89" t="str">
        <f ca="1"/>
        <v>CARCAMO, EDUARDO ANDRES</v>
      </c>
      <c r="B62" s="89" t="str">
        <f ca="1"/>
        <v xml:space="preserve">Seguridad con Escaleras </v>
      </c>
      <c r="C62" s="90">
        <f ca="1"/>
        <v>46020</v>
      </c>
      <c r="D62" s="89" t="str">
        <f ca="1"/>
        <v>Periódica</v>
      </c>
      <c r="E62" s="89">
        <f ca="1"/>
        <v>365</v>
      </c>
      <c r="F62" s="89">
        <f ca="1"/>
        <v>1</v>
      </c>
      <c r="G62" s="89" t="str">
        <f ca="1"/>
        <v>VIGENTE</v>
      </c>
    </row>
    <row r="63" spans="1:7" x14ac:dyDescent="0.3">
      <c r="A63" s="89" t="str">
        <f ca="1"/>
        <v>CEJAS, ALFREDO NICOLAS</v>
      </c>
      <c r="B63" s="89" t="str">
        <f ca="1"/>
        <v>Conciencia Ambiental</v>
      </c>
      <c r="C63" s="90">
        <f ca="1"/>
        <v>46160</v>
      </c>
      <c r="D63" s="89" t="str">
        <f ca="1"/>
        <v>Periódica</v>
      </c>
      <c r="E63" s="89">
        <f ca="1"/>
        <v>365</v>
      </c>
      <c r="F63" s="89">
        <f ca="1"/>
        <v>1</v>
      </c>
      <c r="G63" s="89" t="str">
        <f ca="1"/>
        <v>VIGENTE</v>
      </c>
    </row>
    <row r="64" spans="1:7" x14ac:dyDescent="0.3">
      <c r="A64" s="89" t="str">
        <f ca="1"/>
        <v>CEJAS, ALFREDO NICOLAS</v>
      </c>
      <c r="B64" s="89" t="str">
        <f ca="1"/>
        <v>HSMS.007 / Gruas y Equipos de Izaje (Operadores)</v>
      </c>
      <c r="C64" s="90">
        <f ca="1"/>
        <v>46140</v>
      </c>
      <c r="D64" s="89" t="str">
        <f ca="1"/>
        <v>Periódica</v>
      </c>
      <c r="E64" s="89">
        <f ca="1"/>
        <v>365</v>
      </c>
      <c r="F64" s="89">
        <f ca="1"/>
        <v>8</v>
      </c>
      <c r="G64" s="89" t="str">
        <f ca="1"/>
        <v>VIGENTE</v>
      </c>
    </row>
    <row r="65" spans="1:7" x14ac:dyDescent="0.3">
      <c r="A65" s="89" t="str">
        <f ca="1"/>
        <v>CEJAS, ALFREDO NICOLAS</v>
      </c>
      <c r="B65" s="89" t="str">
        <f ca="1"/>
        <v>Control de Energias Peligrosas (LOTO) (Empleados Autorizados)</v>
      </c>
      <c r="C65" s="90">
        <f ca="1"/>
        <v>46160</v>
      </c>
      <c r="D65" s="89" t="str">
        <f ca="1"/>
        <v>Periódica</v>
      </c>
      <c r="E65" s="89">
        <f ca="1"/>
        <v>365</v>
      </c>
      <c r="F65" s="89">
        <f ca="1"/>
        <v>2</v>
      </c>
      <c r="G65" s="89" t="str">
        <f ca="1"/>
        <v>VIGENTE</v>
      </c>
    </row>
    <row r="66" spans="1:7" x14ac:dyDescent="0.3">
      <c r="A66" s="89" t="str">
        <f ca="1"/>
        <v>CEJAS, ALFREDO NICOLAS</v>
      </c>
      <c r="B66" s="89" t="str">
        <f ca="1"/>
        <v>Conduccion y Gestion de Viajes (Conductores)</v>
      </c>
      <c r="C66" s="90">
        <f ca="1"/>
        <v>47026</v>
      </c>
      <c r="D66" s="89" t="str">
        <f ca="1"/>
        <v>Periódica</v>
      </c>
      <c r="E66" s="89">
        <f ca="1"/>
        <v>1095</v>
      </c>
      <c r="F66" s="89">
        <f ca="1"/>
        <v>5</v>
      </c>
      <c r="G66" s="89" t="str">
        <f ca="1"/>
        <v>VIGENTE</v>
      </c>
    </row>
    <row r="67" spans="1:7" x14ac:dyDescent="0.3">
      <c r="A67" s="89" t="str">
        <f ca="1"/>
        <v>CEJAS, ALFREDO NICOLAS</v>
      </c>
      <c r="B67" s="89" t="str">
        <f ca="1"/>
        <v>Seguridad para Trabajos en Caliente</v>
      </c>
      <c r="C67" s="90">
        <f ca="1"/>
        <v>45770</v>
      </c>
      <c r="D67" s="89" t="str">
        <f ca="1"/>
        <v>Periódica</v>
      </c>
      <c r="E67" s="89">
        <f ca="1"/>
        <v>365</v>
      </c>
      <c r="F67" s="89">
        <f ca="1"/>
        <v>1</v>
      </c>
      <c r="G67" s="89" t="str">
        <f ca="1"/>
        <v>VENCIDA</v>
      </c>
    </row>
    <row r="68" spans="1:7" x14ac:dyDescent="0.3">
      <c r="A68" s="89" t="str">
        <f ca="1"/>
        <v>CEJAS, ALFREDO NICOLAS</v>
      </c>
      <c r="B68" s="89" t="str">
        <f ca="1"/>
        <v>Programa de Agua (Todos)</v>
      </c>
      <c r="C68" s="90">
        <f ca="1"/>
        <v>46160</v>
      </c>
      <c r="D68" s="89" t="str">
        <f ca="1"/>
        <v>Evento</v>
      </c>
      <c r="E68" s="89">
        <f ca="1"/>
        <v>0</v>
      </c>
      <c r="F68" s="89">
        <f ca="1"/>
        <v>1</v>
      </c>
      <c r="G68" s="89" t="str">
        <f ca="1"/>
        <v>VIGENTE</v>
      </c>
    </row>
    <row r="69" spans="1:7" x14ac:dyDescent="0.3">
      <c r="A69" s="89" t="str">
        <f ca="1"/>
        <v>DODDS, CARLOS DANIEL</v>
      </c>
      <c r="B69" s="89" t="str">
        <f ca="1"/>
        <v>Conciencia Ambiental</v>
      </c>
      <c r="C69" s="90">
        <f ca="1"/>
        <v>46162</v>
      </c>
      <c r="D69" s="89" t="str">
        <f ca="1"/>
        <v>Periódica</v>
      </c>
      <c r="E69" s="89">
        <f ca="1"/>
        <v>365</v>
      </c>
      <c r="F69" s="89">
        <f ca="1"/>
        <v>1</v>
      </c>
      <c r="G69" s="89" t="str">
        <f ca="1"/>
        <v>VIGENTE</v>
      </c>
    </row>
    <row r="70" spans="1:7" x14ac:dyDescent="0.3">
      <c r="A70" s="89" t="str">
        <f ca="1"/>
        <v>DODDS, CARLOS DANIEL</v>
      </c>
      <c r="B70" s="89" t="str">
        <f ca="1"/>
        <v>Seguridad Basada en el Comportamiento (Observation Program) // HSMS.043 / Autoridad de Detener el Trabajo</v>
      </c>
      <c r="C70" s="90">
        <f ca="1"/>
        <v>45838</v>
      </c>
      <c r="D70" s="89" t="str">
        <f ca="1"/>
        <v>Periódica</v>
      </c>
      <c r="E70" s="89">
        <f ca="1"/>
        <v>365</v>
      </c>
      <c r="F70" s="89">
        <f ca="1"/>
        <v>1</v>
      </c>
      <c r="G70" s="89" t="str">
        <f ca="1"/>
        <v>VENCIDA</v>
      </c>
    </row>
    <row r="71" spans="1:7" x14ac:dyDescent="0.3">
      <c r="A71" s="89" t="str">
        <f ca="1"/>
        <v>DODDS, CARLOS DANIEL</v>
      </c>
      <c r="B71" s="89" t="str">
        <f ca="1"/>
        <v>Identificacion de Peligros y Evaluacion de Riesgos</v>
      </c>
      <c r="C71" s="90">
        <f ca="1"/>
        <v>46017</v>
      </c>
      <c r="D71" s="89" t="str">
        <f ca="1"/>
        <v>Evento</v>
      </c>
      <c r="E71" s="89">
        <f ca="1"/>
        <v>0</v>
      </c>
      <c r="F71" s="89">
        <f ca="1"/>
        <v>1</v>
      </c>
      <c r="G71" s="89" t="str">
        <f ca="1"/>
        <v>VIGENTE</v>
      </c>
    </row>
    <row r="72" spans="1:7" x14ac:dyDescent="0.3">
      <c r="A72" s="89" t="str">
        <f ca="1"/>
        <v>DODDS, CARLOS DANIEL</v>
      </c>
      <c r="B72" s="89" t="str">
        <f ca="1"/>
        <v>Reporte y Gestion de Incidentes HSE (Todos)</v>
      </c>
      <c r="C72" s="90">
        <f ca="1"/>
        <v>46017</v>
      </c>
      <c r="D72" s="89" t="str">
        <f ca="1"/>
        <v>Periódica</v>
      </c>
      <c r="E72" s="89">
        <f ca="1"/>
        <v>365</v>
      </c>
      <c r="F72" s="89">
        <f ca="1"/>
        <v>1</v>
      </c>
      <c r="G72" s="89" t="str">
        <f ca="1"/>
        <v>VIGENTE</v>
      </c>
    </row>
    <row r="73" spans="1:7" x14ac:dyDescent="0.3">
      <c r="A73" s="89" t="str">
        <f ca="1"/>
        <v>DODDS, CARLOS DANIEL</v>
      </c>
      <c r="B73" s="89" t="str">
        <f ca="1"/>
        <v>HSMS.007 / Gruas y Equipos de Izaje (Operadores)</v>
      </c>
      <c r="C73" s="90">
        <f ca="1"/>
        <v>46140</v>
      </c>
      <c r="D73" s="89" t="str">
        <f ca="1"/>
        <v>Periódica</v>
      </c>
      <c r="E73" s="89">
        <f ca="1"/>
        <v>365</v>
      </c>
      <c r="F73" s="89">
        <f ca="1"/>
        <v>8</v>
      </c>
      <c r="G73" s="89" t="str">
        <f ca="1"/>
        <v>VIGENTE</v>
      </c>
    </row>
    <row r="74" spans="1:7" x14ac:dyDescent="0.3">
      <c r="A74" s="89" t="str">
        <f ca="1"/>
        <v>DODDS, CARLOS DANIEL</v>
      </c>
      <c r="B74" s="89" t="str">
        <f ca="1"/>
        <v>Proteccion Contra Incendios (Todos)</v>
      </c>
      <c r="C74" s="90">
        <f ca="1"/>
        <v>46017</v>
      </c>
      <c r="D74" s="89" t="str">
        <f ca="1"/>
        <v>Periódica</v>
      </c>
      <c r="E74" s="89">
        <f ca="1"/>
        <v>365</v>
      </c>
      <c r="F74" s="89">
        <f ca="1"/>
        <v>1</v>
      </c>
      <c r="G74" s="89" t="str">
        <f ca="1"/>
        <v>VIGENTE</v>
      </c>
    </row>
    <row r="75" spans="1:7" x14ac:dyDescent="0.3">
      <c r="A75" s="89" t="str">
        <f ca="1"/>
        <v>DODDS, CARLOS DANIEL</v>
      </c>
      <c r="B75" s="89" t="str">
        <f ca="1"/>
        <v>Control de Energias Peligrosas (LOTO) (Todos)</v>
      </c>
      <c r="C75" s="90">
        <f ca="1"/>
        <v>45838</v>
      </c>
      <c r="D75" s="89" t="str">
        <f ca="1"/>
        <v>Evento</v>
      </c>
      <c r="E75" s="89">
        <f ca="1"/>
        <v>0</v>
      </c>
      <c r="F75" s="89">
        <f ca="1"/>
        <v>1</v>
      </c>
      <c r="G75" s="89" t="str">
        <f ca="1"/>
        <v>VIGENTE</v>
      </c>
    </row>
    <row r="76" spans="1:7" x14ac:dyDescent="0.3">
      <c r="A76" s="89" t="str">
        <f ca="1"/>
        <v>DODDS, CARLOS DANIEL</v>
      </c>
      <c r="B76" s="89" t="str">
        <f ca="1"/>
        <v>Control de Energias Peligrosas (LOTO) (Empleados Autorizados)</v>
      </c>
      <c r="C76" s="90">
        <f ca="1"/>
        <v>46162</v>
      </c>
      <c r="D76" s="89" t="str">
        <f ca="1"/>
        <v>Periódica</v>
      </c>
      <c r="E76" s="89">
        <f ca="1"/>
        <v>365</v>
      </c>
      <c r="F76" s="89">
        <f ca="1"/>
        <v>2</v>
      </c>
      <c r="G76" s="89" t="str">
        <f ca="1"/>
        <v>VIGENTE</v>
      </c>
    </row>
    <row r="77" spans="1:7" x14ac:dyDescent="0.3">
      <c r="A77" s="89" t="str">
        <f ca="1"/>
        <v>DODDS, CARLOS DANIEL</v>
      </c>
      <c r="B77" s="89" t="str">
        <f ca="1"/>
        <v>Conduccion y Gestion de Viajes (Todos)</v>
      </c>
      <c r="C77" s="90">
        <f ca="1"/>
        <v>45838</v>
      </c>
      <c r="D77" s="89" t="str">
        <f ca="1"/>
        <v>Periódica</v>
      </c>
      <c r="E77" s="89">
        <f ca="1"/>
        <v>730</v>
      </c>
      <c r="F77" s="89">
        <f ca="1"/>
        <v>1</v>
      </c>
      <c r="G77" s="89" t="str">
        <f ca="1"/>
        <v>VIGENTE</v>
      </c>
    </row>
    <row r="78" spans="1:7" x14ac:dyDescent="0.3">
      <c r="A78" s="89" t="str">
        <f ca="1"/>
        <v>DODDS, CARLOS DANIEL</v>
      </c>
      <c r="B78" s="89" t="str">
        <f ca="1"/>
        <v>Conduccion y Gestion de Viajes (Conductores)</v>
      </c>
      <c r="C78" s="90">
        <f ca="1"/>
        <v>46034</v>
      </c>
      <c r="D78" s="89" t="str">
        <f ca="1"/>
        <v>Periódica</v>
      </c>
      <c r="E78" s="89">
        <f ca="1"/>
        <v>1095</v>
      </c>
      <c r="F78" s="89">
        <f ca="1"/>
        <v>5</v>
      </c>
      <c r="G78" s="89" t="str">
        <f ca="1"/>
        <v>VIGENTE</v>
      </c>
    </row>
    <row r="79" spans="1:7" x14ac:dyDescent="0.3">
      <c r="A79" s="89" t="str">
        <f ca="1"/>
        <v>DODDS, CARLOS DANIEL</v>
      </c>
      <c r="B79" s="89" t="str">
        <f ca="1"/>
        <v xml:space="preserve">Ergonomia //  / Levantamiento &amp; Seguridad en la Espalda </v>
      </c>
      <c r="C79" s="90">
        <f ca="1"/>
        <v>46017</v>
      </c>
      <c r="D79" s="89" t="str">
        <f ca="1"/>
        <v>Periódica</v>
      </c>
      <c r="E79" s="89">
        <f ca="1"/>
        <v>365</v>
      </c>
      <c r="F79" s="89">
        <f ca="1"/>
        <v>1</v>
      </c>
      <c r="G79" s="89" t="str">
        <f ca="1"/>
        <v>VIGENTE</v>
      </c>
    </row>
    <row r="80" spans="1:7" x14ac:dyDescent="0.3">
      <c r="A80" s="89" t="str">
        <f ca="1"/>
        <v>DODDS, CARLOS DANIEL</v>
      </c>
      <c r="B80" s="89" t="str">
        <f ca="1"/>
        <v>Superficies Elevadas (Todos)</v>
      </c>
      <c r="C80" s="90">
        <f ca="1"/>
        <v>46017</v>
      </c>
      <c r="D80" s="89" t="str">
        <f ca="1"/>
        <v>Periódica</v>
      </c>
      <c r="E80" s="89">
        <f ca="1"/>
        <v>365</v>
      </c>
      <c r="F80" s="89">
        <f ca="1"/>
        <v>1</v>
      </c>
      <c r="G80" s="89" t="str">
        <f ca="1"/>
        <v>VIGENTE</v>
      </c>
    </row>
    <row r="81" spans="1:7" x14ac:dyDescent="0.3">
      <c r="A81" s="89" t="str">
        <f ca="1"/>
        <v>DODDS, CARLOS DANIEL</v>
      </c>
      <c r="B81" s="89" t="str">
        <f ca="1"/>
        <v>Seguridad Quimica (Todos)</v>
      </c>
      <c r="C81" s="90">
        <f ca="1"/>
        <v>46017</v>
      </c>
      <c r="D81" s="89" t="str">
        <f ca="1"/>
        <v>Periódica</v>
      </c>
      <c r="E81" s="89">
        <f ca="1"/>
        <v>730</v>
      </c>
      <c r="F81" s="89">
        <f ca="1"/>
        <v>1</v>
      </c>
      <c r="G81" s="89" t="str">
        <f ca="1"/>
        <v>VIGENTE</v>
      </c>
    </row>
    <row r="82" spans="1:7" x14ac:dyDescent="0.3">
      <c r="A82" s="89" t="str">
        <f ca="1"/>
        <v>DODDS, CARLOS DANIEL</v>
      </c>
      <c r="B82" s="89" t="str">
        <f ca="1"/>
        <v>Seguridad para Trabajos en Caliente</v>
      </c>
      <c r="C82" s="90">
        <f ca="1"/>
        <v>46017</v>
      </c>
      <c r="D82" s="89" t="str">
        <f ca="1"/>
        <v>Periódica</v>
      </c>
      <c r="E82" s="89">
        <f ca="1"/>
        <v>365</v>
      </c>
      <c r="F82" s="89">
        <f ca="1"/>
        <v>1</v>
      </c>
      <c r="G82" s="89" t="str">
        <f ca="1"/>
        <v>VIGENTE</v>
      </c>
    </row>
    <row r="83" spans="1:7" x14ac:dyDescent="0.3">
      <c r="A83" s="89" t="str">
        <f ca="1"/>
        <v>DODDS, CARLOS DANIEL</v>
      </c>
      <c r="B83" s="89" t="str">
        <f ca="1"/>
        <v>Equipo de Proteccion Personal (PPE)</v>
      </c>
      <c r="C83" s="90">
        <f ca="1"/>
        <v>46017</v>
      </c>
      <c r="D83" s="89" t="str">
        <f ca="1"/>
        <v>Periódica</v>
      </c>
      <c r="E83" s="89">
        <f ca="1"/>
        <v>365</v>
      </c>
      <c r="F83" s="89">
        <f ca="1"/>
        <v>1</v>
      </c>
      <c r="G83" s="89" t="str">
        <f ca="1"/>
        <v>VIGENTE</v>
      </c>
    </row>
    <row r="84" spans="1:7" x14ac:dyDescent="0.3">
      <c r="A84" s="89" t="str">
        <f ca="1"/>
        <v>DODDS, CARLOS DANIEL</v>
      </c>
      <c r="B84" s="89" t="str">
        <f ca="1"/>
        <v xml:space="preserve">Seguridad con Escaleras </v>
      </c>
      <c r="C84" s="90">
        <f ca="1"/>
        <v>46017</v>
      </c>
      <c r="D84" s="89" t="str">
        <f ca="1"/>
        <v>Periódica</v>
      </c>
      <c r="E84" s="89">
        <f ca="1"/>
        <v>365</v>
      </c>
      <c r="F84" s="89">
        <f ca="1"/>
        <v>1</v>
      </c>
      <c r="G84" s="89" t="str">
        <f ca="1"/>
        <v>VIGENTE</v>
      </c>
    </row>
    <row r="85" spans="1:7" x14ac:dyDescent="0.3">
      <c r="A85" s="89" t="str">
        <f ca="1"/>
        <v>DODDS, CARLOS DANIEL</v>
      </c>
      <c r="B85" s="89" t="str">
        <f ca="1"/>
        <v>Programa de Agua (Todos)</v>
      </c>
      <c r="C85" s="90">
        <f ca="1"/>
        <v>46162</v>
      </c>
      <c r="D85" s="89" t="str">
        <f ca="1"/>
        <v>Evento</v>
      </c>
      <c r="E85" s="89">
        <f ca="1"/>
        <v>0</v>
      </c>
      <c r="F85" s="89">
        <f ca="1"/>
        <v>1</v>
      </c>
      <c r="G85" s="89" t="str">
        <f ca="1"/>
        <v>VIGENTE</v>
      </c>
    </row>
    <row r="86" spans="1:7" x14ac:dyDescent="0.3">
      <c r="A86" s="89" t="str">
        <f ca="1"/>
        <v>GOMEZ, PABLO JOAQUIN</v>
      </c>
      <c r="B86" s="89" t="str">
        <f ca="1"/>
        <v>Conciencia Ambiental</v>
      </c>
      <c r="C86" s="90">
        <f ca="1"/>
        <v>46147</v>
      </c>
      <c r="D86" s="89" t="str">
        <f ca="1"/>
        <v>Periódica</v>
      </c>
      <c r="E86" s="89">
        <f ca="1"/>
        <v>365</v>
      </c>
      <c r="F86" s="89">
        <f ca="1"/>
        <v>1</v>
      </c>
      <c r="G86" s="89" t="str">
        <f ca="1"/>
        <v>VIGENTE</v>
      </c>
    </row>
    <row r="87" spans="1:7" x14ac:dyDescent="0.3">
      <c r="A87" s="89" t="str">
        <f ca="1"/>
        <v>GOMEZ, PABLO JOAQUIN</v>
      </c>
      <c r="B87" s="89" t="str">
        <f ca="1"/>
        <v>Seguridad Basada en el Comportamiento (Observation Program) // HSMS.043 / Autoridad de Detener el Trabajo</v>
      </c>
      <c r="C87" s="90">
        <f ca="1"/>
        <v>45707</v>
      </c>
      <c r="D87" s="89" t="str">
        <f ca="1"/>
        <v>Periódica</v>
      </c>
      <c r="E87" s="89">
        <f ca="1"/>
        <v>365</v>
      </c>
      <c r="F87" s="89">
        <f ca="1"/>
        <v>1</v>
      </c>
      <c r="G87" s="89" t="str">
        <f ca="1"/>
        <v>VENCIDA</v>
      </c>
    </row>
    <row r="88" spans="1:7" x14ac:dyDescent="0.3">
      <c r="A88" s="89" t="str">
        <f ca="1"/>
        <v>GOMEZ, PABLO JOAQUIN</v>
      </c>
      <c r="B88" s="89" t="str">
        <f ca="1"/>
        <v>Identificacion de Peligros y Evaluacion de Riesgos</v>
      </c>
      <c r="C88" s="90">
        <f ca="1"/>
        <v>46020</v>
      </c>
      <c r="D88" s="89" t="str">
        <f ca="1"/>
        <v>Evento</v>
      </c>
      <c r="E88" s="89">
        <f ca="1"/>
        <v>0</v>
      </c>
      <c r="F88" s="89">
        <f ca="1"/>
        <v>1</v>
      </c>
      <c r="G88" s="89" t="str">
        <f ca="1"/>
        <v>VIGENTE</v>
      </c>
    </row>
    <row r="89" spans="1:7" x14ac:dyDescent="0.3">
      <c r="A89" s="89" t="str">
        <f ca="1"/>
        <v>GOMEZ, PABLO JOAQUIN</v>
      </c>
      <c r="B89" s="89" t="str">
        <f ca="1"/>
        <v>Reporte y Gestion de Incidentes HSE (Todos)</v>
      </c>
      <c r="C89" s="90">
        <f ca="1"/>
        <v>46008</v>
      </c>
      <c r="D89" s="89" t="str">
        <f ca="1"/>
        <v>Periódica</v>
      </c>
      <c r="E89" s="89">
        <f ca="1"/>
        <v>365</v>
      </c>
      <c r="F89" s="89">
        <f ca="1"/>
        <v>1</v>
      </c>
      <c r="G89" s="89" t="str">
        <f ca="1"/>
        <v>VIGENTE</v>
      </c>
    </row>
    <row r="90" spans="1:7" x14ac:dyDescent="0.3">
      <c r="A90" s="89" t="str">
        <f ca="1"/>
        <v>GOMEZ, PABLO JOAQUIN</v>
      </c>
      <c r="B90" s="89" t="str">
        <f ca="1"/>
        <v>HSMS.007 / Gruas y Equipos de Izaje (Operadores)</v>
      </c>
      <c r="C90" s="90">
        <f ca="1"/>
        <v>45776</v>
      </c>
      <c r="D90" s="89" t="str">
        <f ca="1"/>
        <v>Periódica</v>
      </c>
      <c r="E90" s="89">
        <f ca="1"/>
        <v>365</v>
      </c>
      <c r="F90" s="89">
        <f ca="1"/>
        <v>8</v>
      </c>
      <c r="G90" s="89" t="str">
        <f ca="1"/>
        <v>VENCIDA</v>
      </c>
    </row>
    <row r="91" spans="1:7" x14ac:dyDescent="0.3">
      <c r="A91" s="89" t="str">
        <f ca="1"/>
        <v>GOMEZ, PABLO JOAQUIN</v>
      </c>
      <c r="B91" s="89" t="str">
        <f ca="1"/>
        <v>Proteccion Contra Incendios (Todos)</v>
      </c>
      <c r="C91" s="90">
        <f ca="1"/>
        <v>46020</v>
      </c>
      <c r="D91" s="89" t="str">
        <f ca="1"/>
        <v>Periódica</v>
      </c>
      <c r="E91" s="89">
        <f ca="1"/>
        <v>365</v>
      </c>
      <c r="F91" s="89">
        <f ca="1"/>
        <v>1</v>
      </c>
      <c r="G91" s="89" t="str">
        <f ca="1"/>
        <v>VIGENTE</v>
      </c>
    </row>
    <row r="92" spans="1:7" x14ac:dyDescent="0.3">
      <c r="A92" s="89" t="str">
        <f ca="1"/>
        <v>GOMEZ, PABLO JOAQUIN</v>
      </c>
      <c r="B92" s="89" t="str">
        <f ca="1"/>
        <v>Control de Energias Peligrosas (LOTO) (Todos)</v>
      </c>
      <c r="C92" s="90">
        <f ca="1"/>
        <v>45707</v>
      </c>
      <c r="D92" s="89" t="str">
        <f ca="1"/>
        <v>Evento</v>
      </c>
      <c r="E92" s="89">
        <f ca="1"/>
        <v>0</v>
      </c>
      <c r="F92" s="89">
        <f ca="1"/>
        <v>1</v>
      </c>
      <c r="G92" s="89" t="str">
        <f ca="1"/>
        <v>VIGENTE</v>
      </c>
    </row>
    <row r="93" spans="1:7" x14ac:dyDescent="0.3">
      <c r="A93" s="89" t="str">
        <f ca="1"/>
        <v>GOMEZ, PABLO JOAQUIN</v>
      </c>
      <c r="B93" s="89" t="str">
        <f ca="1"/>
        <v>Control de Energias Peligrosas (LOTO) (Empleados Autorizados)</v>
      </c>
      <c r="C93" s="90">
        <f ca="1"/>
        <v>46147</v>
      </c>
      <c r="D93" s="89" t="str">
        <f ca="1"/>
        <v>Periódica</v>
      </c>
      <c r="E93" s="89">
        <f ca="1"/>
        <v>365</v>
      </c>
      <c r="F93" s="89">
        <f ca="1"/>
        <v>2</v>
      </c>
      <c r="G93" s="89" t="str">
        <f ca="1"/>
        <v>VIGENTE</v>
      </c>
    </row>
    <row r="94" spans="1:7" x14ac:dyDescent="0.3">
      <c r="A94" s="89" t="str">
        <f ca="1"/>
        <v>GOMEZ, PABLO JOAQUIN</v>
      </c>
      <c r="B94" s="89" t="str">
        <f ca="1"/>
        <v>Conduccion y Gestion de Viajes (Todos)</v>
      </c>
      <c r="C94" s="90">
        <f ca="1"/>
        <v>45805</v>
      </c>
      <c r="D94" s="89" t="str">
        <f ca="1"/>
        <v>Periódica</v>
      </c>
      <c r="E94" s="89">
        <f ca="1"/>
        <v>730</v>
      </c>
      <c r="F94" s="89">
        <f ca="1"/>
        <v>1</v>
      </c>
      <c r="G94" s="89" t="str">
        <f ca="1"/>
        <v>VIGENTE</v>
      </c>
    </row>
    <row r="95" spans="1:7" x14ac:dyDescent="0.3">
      <c r="A95" s="89" t="str">
        <f ca="1"/>
        <v>GOMEZ, PABLO JOAQUIN</v>
      </c>
      <c r="B95" s="89" t="str">
        <f ca="1"/>
        <v>Conduccion y Gestion de Viajes (Conductores)</v>
      </c>
      <c r="C95" s="90">
        <f ca="1"/>
        <v>47053</v>
      </c>
      <c r="D95" s="89" t="str">
        <f ca="1"/>
        <v>Periódica</v>
      </c>
      <c r="E95" s="89">
        <f ca="1"/>
        <v>1095</v>
      </c>
      <c r="F95" s="89">
        <f ca="1"/>
        <v>5</v>
      </c>
      <c r="G95" s="89" t="str">
        <f ca="1"/>
        <v>VIGENTE</v>
      </c>
    </row>
    <row r="96" spans="1:7" x14ac:dyDescent="0.3">
      <c r="A96" s="89" t="str">
        <f ca="1"/>
        <v>GOMEZ, PABLO JOAQUIN</v>
      </c>
      <c r="B96" s="89" t="str">
        <f ca="1"/>
        <v xml:space="preserve">Ergonomia //  / Levantamiento &amp; Seguridad en la Espalda </v>
      </c>
      <c r="C96" s="90">
        <f ca="1"/>
        <v>46008</v>
      </c>
      <c r="D96" s="89" t="str">
        <f ca="1"/>
        <v>Periódica</v>
      </c>
      <c r="E96" s="89">
        <f ca="1"/>
        <v>365</v>
      </c>
      <c r="F96" s="89">
        <f ca="1"/>
        <v>1</v>
      </c>
      <c r="G96" s="89" t="str">
        <f ca="1"/>
        <v>VIGENTE</v>
      </c>
    </row>
    <row r="97" spans="1:7" x14ac:dyDescent="0.3">
      <c r="A97" s="89" t="str">
        <f ca="1"/>
        <v>GOMEZ, PABLO JOAQUIN</v>
      </c>
      <c r="B97" s="89" t="str">
        <f ca="1"/>
        <v>Superficies Elevadas (Todos)</v>
      </c>
      <c r="C97" s="90">
        <f ca="1"/>
        <v>46020</v>
      </c>
      <c r="D97" s="89" t="str">
        <f ca="1"/>
        <v>Periódica</v>
      </c>
      <c r="E97" s="89">
        <f ca="1"/>
        <v>365</v>
      </c>
      <c r="F97" s="89">
        <f ca="1"/>
        <v>1</v>
      </c>
      <c r="G97" s="89" t="str">
        <f ca="1"/>
        <v>VIGENTE</v>
      </c>
    </row>
    <row r="98" spans="1:7" x14ac:dyDescent="0.3">
      <c r="A98" s="89" t="str">
        <f ca="1"/>
        <v>GOMEZ, PABLO JOAQUIN</v>
      </c>
      <c r="B98" s="89" t="str">
        <f ca="1"/>
        <v>Seguridad Quimica (Todos)</v>
      </c>
      <c r="C98" s="90">
        <f ca="1"/>
        <v>46020</v>
      </c>
      <c r="D98" s="89" t="str">
        <f ca="1"/>
        <v>Periódica</v>
      </c>
      <c r="E98" s="89">
        <f ca="1"/>
        <v>730</v>
      </c>
      <c r="F98" s="89">
        <f ca="1"/>
        <v>1</v>
      </c>
      <c r="G98" s="89" t="str">
        <f ca="1"/>
        <v>VIGENTE</v>
      </c>
    </row>
    <row r="99" spans="1:7" x14ac:dyDescent="0.3">
      <c r="A99" s="89" t="str">
        <f ca="1"/>
        <v>GOMEZ, PABLO JOAQUIN</v>
      </c>
      <c r="B99" s="89" t="str">
        <f ca="1"/>
        <v>Seguridad para Trabajos en Caliente</v>
      </c>
      <c r="C99" s="90">
        <f ca="1"/>
        <v>46020</v>
      </c>
      <c r="D99" s="89" t="str">
        <f ca="1"/>
        <v>Periódica</v>
      </c>
      <c r="E99" s="89">
        <f ca="1"/>
        <v>365</v>
      </c>
      <c r="F99" s="89">
        <f ca="1"/>
        <v>1</v>
      </c>
      <c r="G99" s="89" t="str">
        <f ca="1"/>
        <v>VIGENTE</v>
      </c>
    </row>
    <row r="100" spans="1:7" x14ac:dyDescent="0.3">
      <c r="A100" s="89" t="str">
        <f ca="1"/>
        <v>GOMEZ, PABLO JOAQUIN</v>
      </c>
      <c r="B100" s="89" t="str">
        <f ca="1"/>
        <v>Equipo de Proteccion Personal (PPE)</v>
      </c>
      <c r="C100" s="90">
        <f ca="1"/>
        <v>46020</v>
      </c>
      <c r="D100" s="89" t="str">
        <f ca="1"/>
        <v>Periódica</v>
      </c>
      <c r="E100" s="89">
        <f ca="1"/>
        <v>365</v>
      </c>
      <c r="F100" s="89">
        <f ca="1"/>
        <v>1</v>
      </c>
      <c r="G100" s="89" t="str">
        <f ca="1"/>
        <v>VIGENTE</v>
      </c>
    </row>
    <row r="101" spans="1:7" x14ac:dyDescent="0.3">
      <c r="A101" s="89" t="str">
        <f ca="1"/>
        <v>GOMEZ, PABLO JOAQUIN</v>
      </c>
      <c r="B101" s="89" t="str">
        <f ca="1"/>
        <v xml:space="preserve">Seguridad con Escaleras </v>
      </c>
      <c r="C101" s="90">
        <f ca="1"/>
        <v>46020</v>
      </c>
      <c r="D101" s="89" t="str">
        <f ca="1"/>
        <v>Periódica</v>
      </c>
      <c r="E101" s="89">
        <f ca="1"/>
        <v>365</v>
      </c>
      <c r="F101" s="89">
        <f ca="1"/>
        <v>1</v>
      </c>
      <c r="G101" s="89" t="str">
        <f ca="1"/>
        <v>VIGENTE</v>
      </c>
    </row>
    <row r="102" spans="1:7" x14ac:dyDescent="0.3">
      <c r="A102" s="89" t="str">
        <f ca="1"/>
        <v>GOMEZ, PABLO JOAQUIN</v>
      </c>
      <c r="B102" s="89" t="str">
        <f ca="1"/>
        <v>Programa de Agua (Todos)</v>
      </c>
      <c r="C102" s="90">
        <f ca="1"/>
        <v>46147</v>
      </c>
      <c r="D102" s="89" t="str">
        <f ca="1"/>
        <v>Evento</v>
      </c>
      <c r="E102" s="89">
        <f ca="1"/>
        <v>0</v>
      </c>
      <c r="F102" s="89">
        <f ca="1"/>
        <v>1</v>
      </c>
      <c r="G102" s="89" t="str">
        <f ca="1"/>
        <v>VIGENTE</v>
      </c>
    </row>
    <row r="103" spans="1:7" x14ac:dyDescent="0.3">
      <c r="A103" s="89" t="str">
        <f ca="1"/>
        <v>HERNANDEZ, PABLO SEBASTIAN</v>
      </c>
      <c r="B103" s="89" t="str">
        <f ca="1"/>
        <v>HSMS.007 / Gruas y Equipos de Izaje (Operadores)</v>
      </c>
      <c r="C103" s="90">
        <f ca="1"/>
        <v>46140</v>
      </c>
      <c r="D103" s="89" t="str">
        <f ca="1"/>
        <v>Periódica</v>
      </c>
      <c r="E103" s="89">
        <f ca="1"/>
        <v>365</v>
      </c>
      <c r="F103" s="89">
        <f ca="1"/>
        <v>8</v>
      </c>
      <c r="G103" s="89" t="str">
        <f ca="1"/>
        <v>VIGENTE</v>
      </c>
    </row>
    <row r="104" spans="1:7" x14ac:dyDescent="0.3">
      <c r="A104" s="89" t="str">
        <f ca="1"/>
        <v>HERNANDEZ, PABLO SEBASTIAN</v>
      </c>
      <c r="B104" s="89" t="str">
        <f ca="1"/>
        <v>Conduccion y Gestion de Viajes (Conductores)</v>
      </c>
      <c r="C104" s="90">
        <f ca="1"/>
        <v>46041</v>
      </c>
      <c r="D104" s="89" t="str">
        <f ca="1"/>
        <v>Periódica</v>
      </c>
      <c r="E104" s="89">
        <f ca="1"/>
        <v>1095</v>
      </c>
      <c r="F104" s="89">
        <f ca="1"/>
        <v>5</v>
      </c>
      <c r="G104" s="89" t="str">
        <f ca="1"/>
        <v>VIGENTE</v>
      </c>
    </row>
    <row r="105" spans="1:7" x14ac:dyDescent="0.3">
      <c r="A105" s="89" t="str">
        <f ca="1"/>
        <v>HERNANDEZ, PABLO SEBASTIAN</v>
      </c>
      <c r="B105" s="89" t="str">
        <f ca="1"/>
        <v>Seguridad para Trabajos en Caliente</v>
      </c>
      <c r="C105" s="90">
        <f ca="1"/>
        <v>45770</v>
      </c>
      <c r="D105" s="89" t="str">
        <f ca="1"/>
        <v>Periódica</v>
      </c>
      <c r="E105" s="89">
        <f ca="1"/>
        <v>365</v>
      </c>
      <c r="F105" s="89">
        <f ca="1"/>
        <v>1</v>
      </c>
      <c r="G105" s="89" t="str">
        <f ca="1"/>
        <v>VENCIDA</v>
      </c>
    </row>
    <row r="106" spans="1:7" x14ac:dyDescent="0.3">
      <c r="A106" s="89" t="str">
        <f ca="1"/>
        <v>MONTES DE OCA, EZEQUIEL NICOLAS</v>
      </c>
      <c r="B106" s="89" t="str">
        <f ca="1"/>
        <v>Conciencia Ambiental</v>
      </c>
      <c r="C106" s="90">
        <f ca="1"/>
        <v>46134</v>
      </c>
      <c r="D106" s="89" t="str">
        <f ca="1"/>
        <v>Periódica</v>
      </c>
      <c r="E106" s="89">
        <f ca="1"/>
        <v>365</v>
      </c>
      <c r="F106" s="89">
        <f ca="1"/>
        <v>1</v>
      </c>
      <c r="G106" s="89" t="str">
        <f ca="1"/>
        <v>VIGENTE</v>
      </c>
    </row>
    <row r="107" spans="1:7" x14ac:dyDescent="0.3">
      <c r="A107" s="89" t="str">
        <f ca="1"/>
        <v>MONTES DE OCA, EZEQUIEL NICOLAS</v>
      </c>
      <c r="B107" s="89" t="str">
        <f ca="1"/>
        <v>Seguridad Basada en el Comportamiento (Observation Program) // HSMS.043 / Autoridad de Detener el Trabajo</v>
      </c>
      <c r="C107" s="90">
        <f ca="1"/>
        <v>45827</v>
      </c>
      <c r="D107" s="89" t="str">
        <f ca="1"/>
        <v>Periódica</v>
      </c>
      <c r="E107" s="89">
        <f ca="1"/>
        <v>365</v>
      </c>
      <c r="F107" s="89">
        <f ca="1"/>
        <v>1</v>
      </c>
      <c r="G107" s="89" t="str">
        <f ca="1"/>
        <v>VENCIDA</v>
      </c>
    </row>
    <row r="108" spans="1:7" x14ac:dyDescent="0.3">
      <c r="A108" s="89" t="str">
        <f ca="1"/>
        <v>MONTES DE OCA, EZEQUIEL NICOLAS</v>
      </c>
      <c r="B108" s="89" t="str">
        <f ca="1"/>
        <v>Identificacion de Peligros y Evaluacion de Riesgos</v>
      </c>
      <c r="C108" s="90">
        <f ca="1"/>
        <v>46017</v>
      </c>
      <c r="D108" s="89" t="str">
        <f ca="1"/>
        <v>Evento</v>
      </c>
      <c r="E108" s="89">
        <f ca="1"/>
        <v>0</v>
      </c>
      <c r="F108" s="89">
        <f ca="1"/>
        <v>1</v>
      </c>
      <c r="G108" s="89" t="str">
        <f ca="1"/>
        <v>VIGENTE</v>
      </c>
    </row>
    <row r="109" spans="1:7" x14ac:dyDescent="0.3">
      <c r="A109" s="89" t="str">
        <f ca="1"/>
        <v>MONTES DE OCA, EZEQUIEL NICOLAS</v>
      </c>
      <c r="B109" s="89" t="str">
        <f ca="1"/>
        <v>Reporte y Gestion de Incidentes HSE (Todos)</v>
      </c>
      <c r="C109" s="90">
        <f ca="1"/>
        <v>46008</v>
      </c>
      <c r="D109" s="89" t="str">
        <f ca="1"/>
        <v>Periódica</v>
      </c>
      <c r="E109" s="89">
        <f ca="1"/>
        <v>365</v>
      </c>
      <c r="F109" s="89">
        <f ca="1"/>
        <v>1</v>
      </c>
      <c r="G109" s="89" t="str">
        <f ca="1"/>
        <v>VIGENTE</v>
      </c>
    </row>
    <row r="110" spans="1:7" x14ac:dyDescent="0.3">
      <c r="A110" s="89" t="str">
        <f ca="1"/>
        <v>MONTES DE OCA, EZEQUIEL NICOLAS</v>
      </c>
      <c r="B110" s="89" t="str">
        <f ca="1"/>
        <v>HSMS.007 / Gruas y Equipos de Izaje (Operadores)</v>
      </c>
      <c r="C110" s="90">
        <f ca="1"/>
        <v>45776</v>
      </c>
      <c r="D110" s="89" t="str">
        <f ca="1"/>
        <v>Periódica</v>
      </c>
      <c r="E110" s="89">
        <f ca="1"/>
        <v>365</v>
      </c>
      <c r="F110" s="89">
        <f ca="1"/>
        <v>8</v>
      </c>
      <c r="G110" s="89" t="str">
        <f ca="1"/>
        <v>VENCIDA</v>
      </c>
    </row>
    <row r="111" spans="1:7" x14ac:dyDescent="0.3">
      <c r="A111" s="89" t="str">
        <f ca="1"/>
        <v>MONTES DE OCA, EZEQUIEL NICOLAS</v>
      </c>
      <c r="B111" s="89" t="str">
        <f ca="1"/>
        <v>Proteccion Contra Incendios (Todos)</v>
      </c>
      <c r="C111" s="90">
        <f ca="1"/>
        <v>45835</v>
      </c>
      <c r="D111" s="89" t="str">
        <f ca="1"/>
        <v>Periódica</v>
      </c>
      <c r="E111" s="89">
        <f ca="1"/>
        <v>365</v>
      </c>
      <c r="F111" s="89">
        <f ca="1"/>
        <v>1</v>
      </c>
      <c r="G111" s="89" t="str">
        <f ca="1"/>
        <v>VENCIDA</v>
      </c>
    </row>
    <row r="112" spans="1:7" x14ac:dyDescent="0.3">
      <c r="A112" s="89" t="str">
        <f ca="1"/>
        <v>MONTES DE OCA, EZEQUIEL NICOLAS</v>
      </c>
      <c r="B112" s="89" t="str">
        <f ca="1"/>
        <v>Control de Energias Peligrosas (LOTO) (Todos)</v>
      </c>
      <c r="C112" s="90">
        <f ca="1"/>
        <v>45827</v>
      </c>
      <c r="D112" s="89" t="str">
        <f ca="1"/>
        <v>Evento</v>
      </c>
      <c r="E112" s="89">
        <f ca="1"/>
        <v>0</v>
      </c>
      <c r="F112" s="89">
        <f ca="1"/>
        <v>1</v>
      </c>
      <c r="G112" s="89" t="str">
        <f ca="1"/>
        <v>VIGENTE</v>
      </c>
    </row>
    <row r="113" spans="1:7" x14ac:dyDescent="0.3">
      <c r="A113" s="89" t="str">
        <f ca="1"/>
        <v>MONTES DE OCA, EZEQUIEL NICOLAS</v>
      </c>
      <c r="B113" s="89" t="str">
        <f ca="1"/>
        <v>Control de Energias Peligrosas (LOTO) (Empleados Autorizados)</v>
      </c>
      <c r="C113" s="90">
        <f ca="1"/>
        <v>46026</v>
      </c>
      <c r="D113" s="89" t="str">
        <f ca="1"/>
        <v>Periódica</v>
      </c>
      <c r="E113" s="89">
        <f ca="1"/>
        <v>365</v>
      </c>
      <c r="F113" s="89">
        <f ca="1"/>
        <v>2</v>
      </c>
      <c r="G113" s="89" t="str">
        <f ca="1"/>
        <v>VIGENTE</v>
      </c>
    </row>
    <row r="114" spans="1:7" x14ac:dyDescent="0.3">
      <c r="A114" s="89" t="str">
        <f ca="1"/>
        <v>MONTES DE OCA, EZEQUIEL NICOLAS</v>
      </c>
      <c r="B114" s="89" t="str">
        <f ca="1"/>
        <v>Conduccion y Gestion de Viajes (Todos)</v>
      </c>
      <c r="C114" s="90">
        <f ca="1"/>
        <v>45770</v>
      </c>
      <c r="D114" s="89" t="str">
        <f ca="1"/>
        <v>Periódica</v>
      </c>
      <c r="E114" s="89">
        <f ca="1"/>
        <v>730</v>
      </c>
      <c r="F114" s="89">
        <f ca="1"/>
        <v>1</v>
      </c>
      <c r="G114" s="89" t="str">
        <f ca="1"/>
        <v>VIGENTE</v>
      </c>
    </row>
    <row r="115" spans="1:7" x14ac:dyDescent="0.3">
      <c r="A115" s="89" t="str">
        <f ca="1"/>
        <v>MONTES DE OCA, EZEQUIEL NICOLAS</v>
      </c>
      <c r="B115" s="89" t="str">
        <f ca="1"/>
        <v>Conduccion y Gestion de Viajes (Conductores)</v>
      </c>
      <c r="C115" s="90">
        <f ca="1"/>
        <v>46361</v>
      </c>
      <c r="D115" s="89" t="str">
        <f ca="1"/>
        <v>Periódica</v>
      </c>
      <c r="E115" s="89">
        <f ca="1"/>
        <v>1095</v>
      </c>
      <c r="F115" s="89">
        <f ca="1"/>
        <v>5</v>
      </c>
      <c r="G115" s="89" t="str">
        <f ca="1"/>
        <v>VIGENTE</v>
      </c>
    </row>
    <row r="116" spans="1:7" x14ac:dyDescent="0.3">
      <c r="A116" s="89" t="str">
        <f ca="1"/>
        <v>MONTES DE OCA, EZEQUIEL NICOLAS</v>
      </c>
      <c r="B116" s="89" t="str">
        <f ca="1"/>
        <v xml:space="preserve">Ergonomia //  / Levantamiento &amp; Seguridad en la Espalda </v>
      </c>
      <c r="C116" s="90">
        <f ca="1"/>
        <v>46008</v>
      </c>
      <c r="D116" s="89" t="str">
        <f ca="1"/>
        <v>Periódica</v>
      </c>
      <c r="E116" s="89">
        <f ca="1"/>
        <v>365</v>
      </c>
      <c r="F116" s="89">
        <f ca="1"/>
        <v>1</v>
      </c>
      <c r="G116" s="89" t="str">
        <f ca="1"/>
        <v>VIGENTE</v>
      </c>
    </row>
    <row r="117" spans="1:7" x14ac:dyDescent="0.3">
      <c r="A117" s="89" t="str">
        <f ca="1"/>
        <v>MONTES DE OCA, EZEQUIEL NICOLAS</v>
      </c>
      <c r="B117" s="89" t="str">
        <f ca="1"/>
        <v>Superficies Elevadas (Todos)</v>
      </c>
      <c r="C117" s="90">
        <f ca="1"/>
        <v>46017</v>
      </c>
      <c r="D117" s="89" t="str">
        <f ca="1"/>
        <v>Periódica</v>
      </c>
      <c r="E117" s="89">
        <f ca="1"/>
        <v>365</v>
      </c>
      <c r="F117" s="89">
        <f ca="1"/>
        <v>1</v>
      </c>
      <c r="G117" s="89" t="str">
        <f ca="1"/>
        <v>VIGENTE</v>
      </c>
    </row>
    <row r="118" spans="1:7" x14ac:dyDescent="0.3">
      <c r="A118" s="89" t="str">
        <f ca="1"/>
        <v>MONTES DE OCA, EZEQUIEL NICOLAS</v>
      </c>
      <c r="B118" s="89" t="str">
        <f ca="1"/>
        <v>Seguridad Quimica (Todos)</v>
      </c>
      <c r="C118" s="90">
        <f ca="1"/>
        <v>46017</v>
      </c>
      <c r="D118" s="89" t="str">
        <f ca="1"/>
        <v>Periódica</v>
      </c>
      <c r="E118" s="89">
        <f ca="1"/>
        <v>730</v>
      </c>
      <c r="F118" s="89">
        <f ca="1"/>
        <v>1</v>
      </c>
      <c r="G118" s="89" t="str">
        <f ca="1"/>
        <v>VIGENTE</v>
      </c>
    </row>
    <row r="119" spans="1:7" x14ac:dyDescent="0.3">
      <c r="A119" s="89" t="str">
        <f ca="1"/>
        <v>MONTES DE OCA, EZEQUIEL NICOLAS</v>
      </c>
      <c r="B119" s="89" t="str">
        <f ca="1"/>
        <v>Seguridad para Trabajos en Caliente</v>
      </c>
      <c r="C119" s="90">
        <f ca="1"/>
        <v>45835</v>
      </c>
      <c r="D119" s="89" t="str">
        <f ca="1"/>
        <v>Periódica</v>
      </c>
      <c r="E119" s="89">
        <f ca="1"/>
        <v>365</v>
      </c>
      <c r="F119" s="89">
        <f ca="1"/>
        <v>1</v>
      </c>
      <c r="G119" s="89" t="str">
        <f ca="1"/>
        <v>VENCIDA</v>
      </c>
    </row>
    <row r="120" spans="1:7" x14ac:dyDescent="0.3">
      <c r="A120" s="89" t="str">
        <f ca="1"/>
        <v>MONTES DE OCA, EZEQUIEL NICOLAS</v>
      </c>
      <c r="B120" s="89" t="str">
        <f ca="1"/>
        <v>Seguridad con la Radiacion</v>
      </c>
      <c r="C120" s="90">
        <f ca="1"/>
        <v>46026</v>
      </c>
      <c r="D120" s="89" t="str">
        <f ca="1"/>
        <v>Periódica</v>
      </c>
      <c r="E120" s="89">
        <f ca="1"/>
        <v>365</v>
      </c>
      <c r="F120" s="89">
        <f ca="1"/>
        <v>2</v>
      </c>
      <c r="G120" s="89" t="str">
        <f ca="1"/>
        <v>VIGENTE</v>
      </c>
    </row>
    <row r="121" spans="1:7" x14ac:dyDescent="0.3">
      <c r="A121" s="89" t="str">
        <f ca="1"/>
        <v>MONTES DE OCA, EZEQUIEL NICOLAS</v>
      </c>
      <c r="B121" s="89" t="str">
        <f ca="1"/>
        <v>Equipo de Proteccion Personal (PPE)</v>
      </c>
      <c r="C121" s="90">
        <f ca="1"/>
        <v>46017</v>
      </c>
      <c r="D121" s="89" t="str">
        <f ca="1"/>
        <v>Periódica</v>
      </c>
      <c r="E121" s="89">
        <f ca="1"/>
        <v>365</v>
      </c>
      <c r="F121" s="89">
        <f ca="1"/>
        <v>1</v>
      </c>
      <c r="G121" s="89" t="str">
        <f ca="1"/>
        <v>VIGENTE</v>
      </c>
    </row>
    <row r="122" spans="1:7" x14ac:dyDescent="0.3">
      <c r="A122" s="89" t="str">
        <f ca="1"/>
        <v>MONTES DE OCA, EZEQUIEL NICOLAS</v>
      </c>
      <c r="B122" s="89" t="str">
        <f ca="1"/>
        <v xml:space="preserve">Seguridad con Escaleras </v>
      </c>
      <c r="C122" s="90">
        <f ca="1"/>
        <v>46017</v>
      </c>
      <c r="D122" s="89" t="str">
        <f ca="1"/>
        <v>Periódica</v>
      </c>
      <c r="E122" s="89">
        <f ca="1"/>
        <v>365</v>
      </c>
      <c r="F122" s="89">
        <f ca="1"/>
        <v>1</v>
      </c>
      <c r="G122" s="89" t="str">
        <f ca="1"/>
        <v>VIGENTE</v>
      </c>
    </row>
    <row r="123" spans="1:7" x14ac:dyDescent="0.3">
      <c r="A123" s="89" t="str">
        <f ca="1"/>
        <v>MONTES DE OCA, EZEQUIEL NICOLAS</v>
      </c>
      <c r="B123" s="89" t="str">
        <f ca="1"/>
        <v>Programa de Agua (Todos)</v>
      </c>
      <c r="C123" s="90">
        <f ca="1"/>
        <v>46134</v>
      </c>
      <c r="D123" s="89" t="str">
        <f ca="1"/>
        <v>Evento</v>
      </c>
      <c r="E123" s="89">
        <f ca="1"/>
        <v>0</v>
      </c>
      <c r="F123" s="89">
        <f ca="1"/>
        <v>1</v>
      </c>
      <c r="G123" s="89" t="str">
        <f ca="1"/>
        <v>VIGENTE</v>
      </c>
    </row>
    <row r="124" spans="1:7" x14ac:dyDescent="0.3">
      <c r="A124" s="89" t="str">
        <f ca="1"/>
        <v>NICKELS, BRAIAN MICHEL</v>
      </c>
      <c r="B124" s="89" t="str">
        <f ca="1"/>
        <v>Conciencia Ambiental</v>
      </c>
      <c r="C124" s="90">
        <f ca="1"/>
        <v>46163</v>
      </c>
      <c r="D124" s="89" t="str">
        <f ca="1"/>
        <v>Periódica</v>
      </c>
      <c r="E124" s="89">
        <f ca="1"/>
        <v>365</v>
      </c>
      <c r="F124" s="89">
        <f ca="1"/>
        <v>1</v>
      </c>
      <c r="G124" s="89" t="str">
        <f ca="1"/>
        <v>VIGENTE</v>
      </c>
    </row>
    <row r="125" spans="1:7" x14ac:dyDescent="0.3">
      <c r="A125" s="89" t="str">
        <f ca="1"/>
        <v>NICKELS, BRAIAN MICHEL</v>
      </c>
      <c r="B125" s="89" t="str">
        <f ca="1"/>
        <v>Seguridad Basada en el Comportamiento (Observation Program) // HSMS.043 / Autoridad de Detener el Trabajo</v>
      </c>
      <c r="C125" s="90">
        <f ca="1"/>
        <v>45664</v>
      </c>
      <c r="D125" s="89" t="str">
        <f ca="1"/>
        <v>Periódica</v>
      </c>
      <c r="E125" s="89">
        <f ca="1"/>
        <v>365</v>
      </c>
      <c r="F125" s="89">
        <f ca="1"/>
        <v>1</v>
      </c>
      <c r="G125" s="89" t="str">
        <f ca="1"/>
        <v>VENCIDA</v>
      </c>
    </row>
    <row r="126" spans="1:7" x14ac:dyDescent="0.3">
      <c r="A126" s="89" t="str">
        <f ca="1"/>
        <v>NICKELS, BRAIAN MICHEL</v>
      </c>
      <c r="B126" s="89" t="str">
        <f ca="1"/>
        <v>Identificacion de Peligros y Evaluacion de Riesgos</v>
      </c>
      <c r="C126" s="90">
        <f ca="1"/>
        <v>45967</v>
      </c>
      <c r="D126" s="89" t="str">
        <f ca="1"/>
        <v>Evento</v>
      </c>
      <c r="E126" s="89">
        <f ca="1"/>
        <v>0</v>
      </c>
      <c r="F126" s="89">
        <f ca="1"/>
        <v>1</v>
      </c>
      <c r="G126" s="89" t="str">
        <f ca="1"/>
        <v>VIGENTE</v>
      </c>
    </row>
    <row r="127" spans="1:7" x14ac:dyDescent="0.3">
      <c r="A127" s="89" t="str">
        <f ca="1"/>
        <v>NICKELS, BRAIAN MICHEL</v>
      </c>
      <c r="B127" s="89" t="str">
        <f ca="1"/>
        <v>Reporte y Gestion de Incidentes HSE (Todos)</v>
      </c>
      <c r="C127" s="90">
        <f ca="1"/>
        <v>46000</v>
      </c>
      <c r="D127" s="89" t="str">
        <f ca="1"/>
        <v>Periódica</v>
      </c>
      <c r="E127" s="89">
        <f ca="1"/>
        <v>365</v>
      </c>
      <c r="F127" s="89">
        <f ca="1"/>
        <v>1</v>
      </c>
      <c r="G127" s="89" t="str">
        <f ca="1"/>
        <v>VIGENTE</v>
      </c>
    </row>
    <row r="128" spans="1:7" x14ac:dyDescent="0.3">
      <c r="A128" s="89" t="str">
        <f ca="1"/>
        <v>NICKELS, BRAIAN MICHEL</v>
      </c>
      <c r="B128" s="89" t="str">
        <f ca="1"/>
        <v>Proteccion Contra Incendios (Todos)</v>
      </c>
      <c r="C128" s="90">
        <f ca="1"/>
        <v>45793</v>
      </c>
      <c r="D128" s="89" t="str">
        <f ca="1"/>
        <v>Periódica</v>
      </c>
      <c r="E128" s="89">
        <f ca="1"/>
        <v>365</v>
      </c>
      <c r="F128" s="89">
        <f ca="1"/>
        <v>1</v>
      </c>
      <c r="G128" s="89" t="str">
        <f ca="1"/>
        <v>VENCIDA</v>
      </c>
    </row>
    <row r="129" spans="1:7" x14ac:dyDescent="0.3">
      <c r="A129" s="89" t="str">
        <f ca="1"/>
        <v>NICKELS, BRAIAN MICHEL</v>
      </c>
      <c r="B129" s="89" t="str">
        <f ca="1"/>
        <v>Control de Energias Peligrosas (LOTO) (Todos)</v>
      </c>
      <c r="C129" s="90">
        <f ca="1"/>
        <v>45707</v>
      </c>
      <c r="D129" s="89" t="str">
        <f ca="1"/>
        <v>Evento</v>
      </c>
      <c r="E129" s="89">
        <f ca="1"/>
        <v>0</v>
      </c>
      <c r="F129" s="89">
        <f ca="1"/>
        <v>1</v>
      </c>
      <c r="G129" s="89" t="str">
        <f ca="1"/>
        <v>VIGENTE</v>
      </c>
    </row>
    <row r="130" spans="1:7" x14ac:dyDescent="0.3">
      <c r="A130" s="89" t="str">
        <f ca="1"/>
        <v>NICKELS, BRAIAN MICHEL</v>
      </c>
      <c r="B130" s="89" t="str">
        <f ca="1"/>
        <v>Control de Energias Peligrosas (LOTO) (Empleados Autorizados)</v>
      </c>
      <c r="C130" s="90">
        <f ca="1"/>
        <v>46026</v>
      </c>
      <c r="D130" s="89" t="str">
        <f ca="1"/>
        <v>Periódica</v>
      </c>
      <c r="E130" s="89">
        <f ca="1"/>
        <v>365</v>
      </c>
      <c r="F130" s="89">
        <f ca="1"/>
        <v>2</v>
      </c>
      <c r="G130" s="89" t="str">
        <f ca="1"/>
        <v>VIGENTE</v>
      </c>
    </row>
    <row r="131" spans="1:7" x14ac:dyDescent="0.3">
      <c r="A131" s="89" t="str">
        <f ca="1"/>
        <v>NICKELS, BRAIAN MICHEL</v>
      </c>
      <c r="B131" s="89" t="str">
        <f ca="1"/>
        <v>Conduccion y Gestion de Viajes (Todos)</v>
      </c>
      <c r="C131" s="90">
        <f ca="1"/>
        <v>45777</v>
      </c>
      <c r="D131" s="89" t="str">
        <f ca="1"/>
        <v>Periódica</v>
      </c>
      <c r="E131" s="89">
        <f ca="1"/>
        <v>730</v>
      </c>
      <c r="F131" s="89">
        <f ca="1"/>
        <v>1</v>
      </c>
      <c r="G131" s="89" t="str">
        <f ca="1"/>
        <v>VIGENTE</v>
      </c>
    </row>
    <row r="132" spans="1:7" x14ac:dyDescent="0.3">
      <c r="A132" s="89" t="str">
        <f ca="1"/>
        <v>NICKELS, BRAIAN MICHEL</v>
      </c>
      <c r="B132" s="89" t="str">
        <f ca="1"/>
        <v>Conduccion y Gestion de Viajes (Conductores)</v>
      </c>
      <c r="C132" s="90">
        <f ca="1"/>
        <v>45483</v>
      </c>
      <c r="D132" s="89" t="str">
        <f ca="1"/>
        <v>Periódica</v>
      </c>
      <c r="E132" s="89">
        <f ca="1"/>
        <v>1095</v>
      </c>
      <c r="F132" s="89">
        <f ca="1"/>
        <v>5</v>
      </c>
      <c r="G132" s="89" t="str">
        <f ca="1"/>
        <v>VIGENTE</v>
      </c>
    </row>
    <row r="133" spans="1:7" x14ac:dyDescent="0.3">
      <c r="A133" s="89" t="str">
        <f ca="1"/>
        <v>NICKELS, BRAIAN MICHEL</v>
      </c>
      <c r="B133" s="89" t="str">
        <f ca="1"/>
        <v xml:space="preserve">Ergonomia //  / Levantamiento &amp; Seguridad en la Espalda </v>
      </c>
      <c r="C133" s="90">
        <f ca="1"/>
        <v>46000</v>
      </c>
      <c r="D133" s="89" t="str">
        <f ca="1"/>
        <v>Periódica</v>
      </c>
      <c r="E133" s="89">
        <f ca="1"/>
        <v>365</v>
      </c>
      <c r="F133" s="89">
        <f ca="1"/>
        <v>1</v>
      </c>
      <c r="G133" s="89" t="str">
        <f ca="1"/>
        <v>VIGENTE</v>
      </c>
    </row>
    <row r="134" spans="1:7" x14ac:dyDescent="0.3">
      <c r="A134" s="89" t="str">
        <f ca="1"/>
        <v>NICKELS, BRAIAN MICHEL</v>
      </c>
      <c r="B134" s="89" t="str">
        <f ca="1"/>
        <v>Superficies Elevadas (Todos)</v>
      </c>
      <c r="C134" s="90">
        <f ca="1"/>
        <v>45838</v>
      </c>
      <c r="D134" s="89" t="str">
        <f ca="1"/>
        <v>Periódica</v>
      </c>
      <c r="E134" s="89">
        <f ca="1"/>
        <v>365</v>
      </c>
      <c r="F134" s="89">
        <f ca="1"/>
        <v>1</v>
      </c>
      <c r="G134" s="89" t="str">
        <f ca="1"/>
        <v>VENCIDA</v>
      </c>
    </row>
    <row r="135" spans="1:7" x14ac:dyDescent="0.3">
      <c r="A135" s="89" t="str">
        <f ca="1"/>
        <v>NICKELS, BRAIAN MICHEL</v>
      </c>
      <c r="B135" s="89" t="str">
        <f ca="1"/>
        <v>Superficies Elevadas (Personal Habilitado)</v>
      </c>
      <c r="C135" s="90">
        <f ca="1"/>
        <v>45503</v>
      </c>
      <c r="D135" s="89" t="str">
        <f ca="1"/>
        <v>Periódica</v>
      </c>
      <c r="E135" s="89">
        <f ca="1"/>
        <v>365</v>
      </c>
      <c r="F135" s="89">
        <f ca="1"/>
        <v>8</v>
      </c>
      <c r="G135" s="89" t="str">
        <f ca="1"/>
        <v>VENCIDA</v>
      </c>
    </row>
    <row r="136" spans="1:7" x14ac:dyDescent="0.3">
      <c r="A136" s="89" t="str">
        <f ca="1"/>
        <v>NICKELS, BRAIAN MICHEL</v>
      </c>
      <c r="B136" s="89" t="str">
        <f ca="1"/>
        <v>Seguridad Quimica (Todos)</v>
      </c>
      <c r="C136" s="90">
        <f ca="1"/>
        <v>45916</v>
      </c>
      <c r="D136" s="89" t="str">
        <f ca="1"/>
        <v>Periódica</v>
      </c>
      <c r="E136" s="89">
        <f ca="1"/>
        <v>730</v>
      </c>
      <c r="F136" s="89">
        <f ca="1"/>
        <v>1</v>
      </c>
      <c r="G136" s="89" t="str">
        <f ca="1"/>
        <v>VIGENTE</v>
      </c>
    </row>
    <row r="137" spans="1:7" x14ac:dyDescent="0.3">
      <c r="A137" s="89" t="str">
        <f ca="1"/>
        <v>NICKELS, BRAIAN MICHEL</v>
      </c>
      <c r="B137" s="89" t="str">
        <f ca="1"/>
        <v>Seguridad con la Radiacion</v>
      </c>
      <c r="C137" s="90">
        <f ca="1"/>
        <v>46026</v>
      </c>
      <c r="D137" s="89" t="str">
        <f ca="1"/>
        <v>Periódica</v>
      </c>
      <c r="E137" s="89">
        <f ca="1"/>
        <v>365</v>
      </c>
      <c r="F137" s="89">
        <f ca="1"/>
        <v>2</v>
      </c>
      <c r="G137" s="89" t="str">
        <f ca="1"/>
        <v>VIGENTE</v>
      </c>
    </row>
    <row r="138" spans="1:7" x14ac:dyDescent="0.3">
      <c r="A138" s="89" t="str">
        <f ca="1"/>
        <v>NICKELS, BRAIAN MICHEL</v>
      </c>
      <c r="B138" s="89" t="str">
        <f ca="1"/>
        <v>Equipo de Proteccion Personal (PPE)</v>
      </c>
      <c r="C138" s="90">
        <f ca="1"/>
        <v>45897</v>
      </c>
      <c r="D138" s="89" t="str">
        <f ca="1"/>
        <v>Periódica</v>
      </c>
      <c r="E138" s="89">
        <f ca="1"/>
        <v>365</v>
      </c>
      <c r="F138" s="89">
        <f ca="1"/>
        <v>1</v>
      </c>
      <c r="G138" s="89" t="str">
        <f ca="1"/>
        <v>POR VENCER</v>
      </c>
    </row>
    <row r="139" spans="1:7" x14ac:dyDescent="0.3">
      <c r="A139" s="89" t="str">
        <f ca="1"/>
        <v>NICKELS, BRAIAN MICHEL</v>
      </c>
      <c r="B139" s="89" t="str">
        <f ca="1"/>
        <v xml:space="preserve">Seguridad con Escaleras </v>
      </c>
      <c r="C139" s="90">
        <f ca="1"/>
        <v>45838</v>
      </c>
      <c r="D139" s="89" t="str">
        <f ca="1"/>
        <v>Periódica</v>
      </c>
      <c r="E139" s="89">
        <f ca="1"/>
        <v>365</v>
      </c>
      <c r="F139" s="89">
        <f ca="1"/>
        <v>1</v>
      </c>
      <c r="G139" s="89" t="str">
        <f ca="1"/>
        <v>VENCIDA</v>
      </c>
    </row>
    <row r="140" spans="1:7" x14ac:dyDescent="0.3">
      <c r="A140" s="89" t="str">
        <f ca="1"/>
        <v>NICKELS, BRAIAN MICHEL</v>
      </c>
      <c r="B140" s="89" t="str">
        <f ca="1"/>
        <v>Programa de Agua (Todos)</v>
      </c>
      <c r="C140" s="90">
        <f ca="1"/>
        <v>46163</v>
      </c>
      <c r="D140" s="89" t="str">
        <f ca="1"/>
        <v>Evento</v>
      </c>
      <c r="E140" s="89">
        <f ca="1"/>
        <v>0</v>
      </c>
      <c r="F140" s="89">
        <f ca="1"/>
        <v>1</v>
      </c>
      <c r="G140" s="89" t="str">
        <f ca="1"/>
        <v>VIGENTE</v>
      </c>
    </row>
    <row r="141" spans="1:7" x14ac:dyDescent="0.3">
      <c r="A141" s="89" t="str">
        <f ca="1"/>
        <v>SANDOVAL, MATIAS</v>
      </c>
      <c r="B141" s="89" t="str">
        <f ca="1"/>
        <v>Seguridad Basada en el Comportamiento (Observation Program) // HSMS.043 / Autoridad de Detener el Trabajo</v>
      </c>
      <c r="C141" s="90">
        <f ca="1"/>
        <v>45827</v>
      </c>
      <c r="D141" s="89" t="str">
        <f ca="1"/>
        <v>Periódica</v>
      </c>
      <c r="E141" s="89">
        <f ca="1"/>
        <v>365</v>
      </c>
      <c r="F141" s="89">
        <f ca="1"/>
        <v>1</v>
      </c>
      <c r="G141" s="89" t="str">
        <f ca="1"/>
        <v>VENCIDA</v>
      </c>
    </row>
    <row r="142" spans="1:7" x14ac:dyDescent="0.3">
      <c r="A142" s="89" t="str">
        <f ca="1"/>
        <v>SANDOVAL, MATIAS</v>
      </c>
      <c r="B142" s="89" t="str">
        <f ca="1"/>
        <v>HSMS.007 / Gruas y Equipos de Izaje (Operadores)</v>
      </c>
      <c r="C142" s="90">
        <f ca="1"/>
        <v>46141</v>
      </c>
      <c r="D142" s="89" t="str">
        <f ca="1"/>
        <v>Periódica</v>
      </c>
      <c r="E142" s="89">
        <f ca="1"/>
        <v>365</v>
      </c>
      <c r="F142" s="89">
        <f ca="1"/>
        <v>8</v>
      </c>
      <c r="G142" s="89" t="str">
        <f ca="1"/>
        <v>VIGENTE</v>
      </c>
    </row>
    <row r="143" spans="1:7" x14ac:dyDescent="0.3">
      <c r="A143" s="89" t="str">
        <f ca="1"/>
        <v>SANDOVAL, MATIAS</v>
      </c>
      <c r="B143" s="89" t="str">
        <f ca="1"/>
        <v>Proteccion Contra Incendios (Todos)</v>
      </c>
      <c r="C143" s="90">
        <f ca="1"/>
        <v>45835</v>
      </c>
      <c r="D143" s="89" t="str">
        <f ca="1"/>
        <v>Periódica</v>
      </c>
      <c r="E143" s="89">
        <f ca="1"/>
        <v>365</v>
      </c>
      <c r="F143" s="89">
        <f ca="1"/>
        <v>1</v>
      </c>
      <c r="G143" s="89" t="str">
        <f ca="1"/>
        <v>VENCIDA</v>
      </c>
    </row>
    <row r="144" spans="1:7" x14ac:dyDescent="0.3">
      <c r="A144" s="89" t="str">
        <f ca="1"/>
        <v>SANDOVAL, MATIAS</v>
      </c>
      <c r="B144" s="89" t="str">
        <f ca="1"/>
        <v>Control de Energias Peligrosas (LOTO) (Todos)</v>
      </c>
      <c r="C144" s="90">
        <f ca="1"/>
        <v>45827</v>
      </c>
      <c r="D144" s="89" t="str">
        <f ca="1"/>
        <v>Evento</v>
      </c>
      <c r="E144" s="89">
        <f ca="1"/>
        <v>0</v>
      </c>
      <c r="F144" s="89">
        <f ca="1"/>
        <v>1</v>
      </c>
      <c r="G144" s="89" t="str">
        <f ca="1"/>
        <v>VIGENTE</v>
      </c>
    </row>
    <row r="145" spans="1:7" x14ac:dyDescent="0.3">
      <c r="A145" s="89" t="str">
        <f ca="1"/>
        <v>SANDOVAL, MATIAS</v>
      </c>
      <c r="B145" s="89" t="str">
        <f ca="1"/>
        <v>Control de Energias Peligrosas (LOTO) (Empleados Autorizados)</v>
      </c>
      <c r="C145" s="90">
        <f ca="1"/>
        <v>46164</v>
      </c>
      <c r="D145" s="89" t="str">
        <f ca="1"/>
        <v>Periódica</v>
      </c>
      <c r="E145" s="89">
        <f ca="1"/>
        <v>365</v>
      </c>
      <c r="F145" s="89">
        <f ca="1"/>
        <v>2</v>
      </c>
      <c r="G145" s="89" t="str">
        <f ca="1"/>
        <v>VIGENTE</v>
      </c>
    </row>
    <row r="146" spans="1:7" x14ac:dyDescent="0.3">
      <c r="A146" s="89" t="str">
        <f ca="1"/>
        <v>SANDOVAL, MATIAS</v>
      </c>
      <c r="B146" s="89" t="str">
        <f ca="1"/>
        <v>Conduccion y Gestion de Viajes (Todos)</v>
      </c>
      <c r="C146" s="90">
        <f ca="1"/>
        <v>45827</v>
      </c>
      <c r="D146" s="89" t="str">
        <f ca="1"/>
        <v>Periódica</v>
      </c>
      <c r="E146" s="89">
        <f ca="1"/>
        <v>730</v>
      </c>
      <c r="F146" s="89">
        <f ca="1"/>
        <v>1</v>
      </c>
      <c r="G146" s="89" t="str">
        <f ca="1"/>
        <v>VIGENTE</v>
      </c>
    </row>
    <row r="147" spans="1:7" x14ac:dyDescent="0.3">
      <c r="A147" s="89" t="str">
        <f ca="1"/>
        <v>SANDOVAL, MATIAS</v>
      </c>
      <c r="B147" s="89" t="str">
        <f ca="1"/>
        <v>Conduccion y Gestion de Viajes (Conductores)</v>
      </c>
      <c r="C147" s="90">
        <f ca="1"/>
        <v>46034</v>
      </c>
      <c r="D147" s="89" t="str">
        <f ca="1"/>
        <v>Periódica</v>
      </c>
      <c r="E147" s="89">
        <f ca="1"/>
        <v>1095</v>
      </c>
      <c r="F147" s="89">
        <f ca="1"/>
        <v>5</v>
      </c>
      <c r="G147" s="89" t="str">
        <f ca="1"/>
        <v>VIGENTE</v>
      </c>
    </row>
    <row r="148" spans="1:7" x14ac:dyDescent="0.3">
      <c r="A148" s="89" t="str">
        <f ca="1"/>
        <v>SANDOVAL, MATIAS</v>
      </c>
      <c r="B148" s="89" t="str">
        <f ca="1"/>
        <v>Seguridad para Trabajos en Caliente</v>
      </c>
      <c r="C148" s="90">
        <f ca="1"/>
        <v>45835</v>
      </c>
      <c r="D148" s="89" t="str">
        <f ca="1"/>
        <v>Periódica</v>
      </c>
      <c r="E148" s="89">
        <f ca="1"/>
        <v>365</v>
      </c>
      <c r="F148" s="89">
        <f ca="1"/>
        <v>1</v>
      </c>
      <c r="G148" s="89" t="str">
        <f ca="1"/>
        <v>VENCIDA</v>
      </c>
    </row>
    <row r="149" spans="1:7" x14ac:dyDescent="0.3">
      <c r="A149" s="89" t="str">
        <f ca="1"/>
        <v>WOODLEY, ENRIQUE JAVIER</v>
      </c>
      <c r="B149" s="89" t="str">
        <f ca="1"/>
        <v>Identificacion de Peligros y Evaluacion de Riesgos</v>
      </c>
      <c r="C149" s="90">
        <f ca="1"/>
        <v>46020</v>
      </c>
      <c r="D149" s="89" t="str">
        <f ca="1"/>
        <v>Evento</v>
      </c>
      <c r="E149" s="89">
        <f ca="1"/>
        <v>0</v>
      </c>
      <c r="F149" s="89">
        <f ca="1"/>
        <v>1</v>
      </c>
      <c r="G149" s="89" t="str">
        <f ca="1"/>
        <v>VIGENTE</v>
      </c>
    </row>
    <row r="150" spans="1:7" x14ac:dyDescent="0.3">
      <c r="A150" s="89" t="str">
        <f ca="1"/>
        <v>WOODLEY, ENRIQUE JAVIER</v>
      </c>
      <c r="B150" s="89" t="str">
        <f ca="1"/>
        <v>Reporte y Gestion de Incidentes HSE (Todos)</v>
      </c>
      <c r="C150" s="90">
        <f ca="1"/>
        <v>46013</v>
      </c>
      <c r="D150" s="89" t="str">
        <f ca="1"/>
        <v>Periódica</v>
      </c>
      <c r="E150" s="89">
        <f ca="1"/>
        <v>365</v>
      </c>
      <c r="F150" s="89">
        <f ca="1"/>
        <v>1</v>
      </c>
      <c r="G150" s="89" t="str">
        <f ca="1"/>
        <v>VIGENTE</v>
      </c>
    </row>
    <row r="151" spans="1:7" x14ac:dyDescent="0.3">
      <c r="A151" s="89" t="str">
        <f ca="1"/>
        <v>WOODLEY, ENRIQUE JAVIER</v>
      </c>
      <c r="B151" s="89" t="str">
        <f ca="1"/>
        <v>HSMS.007 / Gruas y Equipos de Izaje (Operadores)</v>
      </c>
      <c r="C151" s="90">
        <f ca="1"/>
        <v>46141</v>
      </c>
      <c r="D151" s="89" t="str">
        <f ca="1"/>
        <v>Periódica</v>
      </c>
      <c r="E151" s="89">
        <f ca="1"/>
        <v>365</v>
      </c>
      <c r="F151" s="89">
        <f ca="1"/>
        <v>8</v>
      </c>
      <c r="G151" s="89" t="str">
        <f ca="1"/>
        <v>VIGENTE</v>
      </c>
    </row>
    <row r="152" spans="1:7" x14ac:dyDescent="0.3">
      <c r="A152" s="89" t="str">
        <f ca="1"/>
        <v>WOODLEY, ENRIQUE JAVIER</v>
      </c>
      <c r="B152" s="89" t="str">
        <f ca="1"/>
        <v>Proteccion Contra Incendios (Todos)</v>
      </c>
      <c r="C152" s="90">
        <f ca="1"/>
        <v>46021</v>
      </c>
      <c r="D152" s="89" t="str">
        <f ca="1"/>
        <v>Periódica</v>
      </c>
      <c r="E152" s="89">
        <f ca="1"/>
        <v>365</v>
      </c>
      <c r="F152" s="89">
        <f ca="1"/>
        <v>1</v>
      </c>
      <c r="G152" s="89" t="str">
        <f ca="1"/>
        <v>VIGENTE</v>
      </c>
    </row>
    <row r="153" spans="1:7" x14ac:dyDescent="0.3">
      <c r="A153" s="89" t="str">
        <f ca="1"/>
        <v>WOODLEY, ENRIQUE JAVIER</v>
      </c>
      <c r="B153" s="89" t="str">
        <f ca="1"/>
        <v>Control de Energias Peligrosas (LOTO) (Empleados Autorizados)</v>
      </c>
      <c r="C153" s="90">
        <f ca="1"/>
        <v>46134</v>
      </c>
      <c r="D153" s="89" t="str">
        <f ca="1"/>
        <v>Periódica</v>
      </c>
      <c r="E153" s="89">
        <f ca="1"/>
        <v>365</v>
      </c>
      <c r="F153" s="89">
        <f ca="1"/>
        <v>2</v>
      </c>
      <c r="G153" s="89" t="str">
        <f ca="1"/>
        <v>VIGENTE</v>
      </c>
    </row>
    <row r="154" spans="1:7" x14ac:dyDescent="0.3">
      <c r="A154" s="89" t="str">
        <f ca="1"/>
        <v>WOODLEY, ENRIQUE JAVIER</v>
      </c>
      <c r="B154" s="89" t="str">
        <f ca="1"/>
        <v>Conduccion y Gestion de Viajes (Todos)</v>
      </c>
      <c r="C154" s="90">
        <f ca="1"/>
        <v>45770</v>
      </c>
      <c r="D154" s="89" t="str">
        <f ca="1"/>
        <v>Periódica</v>
      </c>
      <c r="E154" s="89">
        <f ca="1"/>
        <v>730</v>
      </c>
      <c r="F154" s="89">
        <f ca="1"/>
        <v>1</v>
      </c>
      <c r="G154" s="89" t="str">
        <f ca="1"/>
        <v>VIGENTE</v>
      </c>
    </row>
    <row r="155" spans="1:7" x14ac:dyDescent="0.3">
      <c r="A155" s="89" t="str">
        <f ca="1"/>
        <v>WOODLEY, ENRIQUE JAVIER</v>
      </c>
      <c r="B155" s="89" t="str">
        <f ca="1"/>
        <v>Conduccion y Gestion de Viajes (Conductores)</v>
      </c>
      <c r="C155" s="90">
        <f ca="1"/>
        <v>46993</v>
      </c>
      <c r="D155" s="89" t="str">
        <f ca="1"/>
        <v>Periódica</v>
      </c>
      <c r="E155" s="89">
        <f ca="1"/>
        <v>1095</v>
      </c>
      <c r="F155" s="89">
        <f ca="1"/>
        <v>5</v>
      </c>
      <c r="G155" s="89" t="str">
        <f ca="1"/>
        <v>VIGENTE</v>
      </c>
    </row>
    <row r="156" spans="1:7" x14ac:dyDescent="0.3">
      <c r="A156" s="89" t="str">
        <f ca="1"/>
        <v>WOODLEY, ENRIQUE JAVIER</v>
      </c>
      <c r="B156" s="89" t="str">
        <f ca="1"/>
        <v xml:space="preserve">Ergonomia //  / Levantamiento &amp; Seguridad en la Espalda </v>
      </c>
      <c r="C156" s="90">
        <f ca="1"/>
        <v>46013</v>
      </c>
      <c r="D156" s="89" t="str">
        <f ca="1"/>
        <v>Periódica</v>
      </c>
      <c r="E156" s="89">
        <f ca="1"/>
        <v>365</v>
      </c>
      <c r="F156" s="89">
        <f ca="1"/>
        <v>1</v>
      </c>
      <c r="G156" s="89" t="str">
        <f ca="1"/>
        <v>VIGENTE</v>
      </c>
    </row>
    <row r="157" spans="1:7" x14ac:dyDescent="0.3">
      <c r="A157" s="89" t="str">
        <f ca="1"/>
        <v>WOODLEY, ENRIQUE JAVIER</v>
      </c>
      <c r="B157" s="89" t="str">
        <f ca="1"/>
        <v>Superficies Elevadas (Todos)</v>
      </c>
      <c r="C157" s="90">
        <f ca="1"/>
        <v>46021</v>
      </c>
      <c r="D157" s="89" t="str">
        <f ca="1"/>
        <v>Periódica</v>
      </c>
      <c r="E157" s="89">
        <f ca="1"/>
        <v>365</v>
      </c>
      <c r="F157" s="89">
        <f ca="1"/>
        <v>1</v>
      </c>
      <c r="G157" s="89" t="str">
        <f ca="1"/>
        <v>VIGENTE</v>
      </c>
    </row>
    <row r="158" spans="1:7" x14ac:dyDescent="0.3">
      <c r="A158" s="89" t="str">
        <f ca="1"/>
        <v>WOODLEY, ENRIQUE JAVIER</v>
      </c>
      <c r="B158" s="89" t="str">
        <f ca="1"/>
        <v>Seguridad Quimica (Todos)</v>
      </c>
      <c r="C158" s="90">
        <f ca="1"/>
        <v>46020</v>
      </c>
      <c r="D158" s="89" t="str">
        <f ca="1"/>
        <v>Periódica</v>
      </c>
      <c r="E158" s="89">
        <f ca="1"/>
        <v>730</v>
      </c>
      <c r="F158" s="89">
        <f ca="1"/>
        <v>1</v>
      </c>
      <c r="G158" s="89" t="str">
        <f ca="1"/>
        <v>VIGENTE</v>
      </c>
    </row>
    <row r="159" spans="1:7" x14ac:dyDescent="0.3">
      <c r="A159" s="89" t="str">
        <f ca="1"/>
        <v>WOODLEY, ENRIQUE JAVIER</v>
      </c>
      <c r="B159" s="89" t="str">
        <f ca="1"/>
        <v>Seguridad para Trabajos en Caliente</v>
      </c>
      <c r="C159" s="90">
        <f ca="1"/>
        <v>46021</v>
      </c>
      <c r="D159" s="89" t="str">
        <f ca="1"/>
        <v>Periódica</v>
      </c>
      <c r="E159" s="89">
        <f ca="1"/>
        <v>365</v>
      </c>
      <c r="F159" s="89">
        <f ca="1"/>
        <v>1</v>
      </c>
      <c r="G159" s="89" t="str">
        <f ca="1"/>
        <v>VIGENTE</v>
      </c>
    </row>
    <row r="160" spans="1:7" x14ac:dyDescent="0.3">
      <c r="A160" s="89" t="str">
        <f ca="1"/>
        <v>WOODLEY, ENRIQUE JAVIER</v>
      </c>
      <c r="B160" s="89" t="str">
        <f ca="1"/>
        <v>Seguridad con la Radiacion</v>
      </c>
      <c r="C160" s="90">
        <f ca="1"/>
        <v>46013</v>
      </c>
      <c r="D160" s="89" t="str">
        <f ca="1"/>
        <v>Periódica</v>
      </c>
      <c r="E160" s="89">
        <f ca="1"/>
        <v>365</v>
      </c>
      <c r="F160" s="89">
        <f ca="1"/>
        <v>2</v>
      </c>
      <c r="G160" s="89" t="str">
        <f ca="1"/>
        <v>VIGENTE</v>
      </c>
    </row>
    <row r="161" spans="1:7" x14ac:dyDescent="0.3">
      <c r="A161" s="89" t="str">
        <f ca="1"/>
        <v>WOODLEY, ENRIQUE JAVIER</v>
      </c>
      <c r="B161" s="89" t="str">
        <f ca="1"/>
        <v>Equipo de Proteccion Personal (PPE)</v>
      </c>
      <c r="C161" s="90">
        <f ca="1"/>
        <v>46021</v>
      </c>
      <c r="D161" s="89" t="str">
        <f ca="1"/>
        <v>Periódica</v>
      </c>
      <c r="E161" s="89">
        <f ca="1"/>
        <v>365</v>
      </c>
      <c r="F161" s="89">
        <f ca="1"/>
        <v>1</v>
      </c>
      <c r="G161" s="89" t="str">
        <f ca="1"/>
        <v>VIGENTE</v>
      </c>
    </row>
    <row r="162" spans="1:7" x14ac:dyDescent="0.3">
      <c r="A162" s="89" t="str">
        <f ca="1"/>
        <v>WOODLEY, ENRIQUE JAVIER</v>
      </c>
      <c r="B162" s="89" t="str">
        <f ca="1"/>
        <v xml:space="preserve">Seguridad con Escaleras </v>
      </c>
      <c r="C162" s="90">
        <f ca="1"/>
        <v>46021</v>
      </c>
      <c r="D162" s="89" t="str">
        <f ca="1"/>
        <v>Periódica</v>
      </c>
      <c r="E162" s="89">
        <f ca="1"/>
        <v>365</v>
      </c>
      <c r="F162" s="89">
        <f ca="1"/>
        <v>1</v>
      </c>
      <c r="G162" s="89" t="str">
        <f ca="1"/>
        <v>VIGENTE</v>
      </c>
    </row>
  </sheetData>
  <sheetProtection algorithmName="SHA-512" hashValue="iN/LS62iV4959SEt7yalaqNzS0AwelPpxU+x9h8dcZ4QfdETAwNIPWR5ujoU0MTNzgBJL2UM7h8xvDInzYIf4w==" saltValue="8Kz2dnZTdDyXbDf36HmZwQ==" spinCount="100000" sheet="1" objects="1" scenarios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03065-DF20-4F7E-AC3B-282B17075D82}">
  <sheetPr codeName="Hoja7">
    <tabColor theme="0" tint="-4.9989318521683403E-2"/>
  </sheetPr>
  <dimension ref="A1:A6"/>
  <sheetViews>
    <sheetView workbookViewId="0">
      <selection activeCell="A8" sqref="A8"/>
    </sheetView>
  </sheetViews>
  <sheetFormatPr baseColWidth="10" defaultColWidth="10.88671875" defaultRowHeight="14.4" x14ac:dyDescent="0.3"/>
  <cols>
    <col min="1" max="1" width="28.88671875" style="89" customWidth="1"/>
    <col min="2" max="2" width="32.33203125" style="89" bestFit="1" customWidth="1"/>
    <col min="3" max="16384" width="10.88671875" style="89"/>
  </cols>
  <sheetData>
    <row r="1" spans="1:1" x14ac:dyDescent="0.3">
      <c r="A1" s="61" t="s">
        <v>30</v>
      </c>
    </row>
    <row r="2" spans="1:1" x14ac:dyDescent="0.3">
      <c r="A2" s="89" t="str" cm="1">
        <f t="array" ref="A2:A6">_xlfn.UNIQUE(_xlfn._xlws.FILTER('Requisito x Tarea'!$B:$B,('Requisito x Tarea'!$B:$B&lt;&gt;"")*('Requisito x Tarea'!$B:$B&lt;&gt;"TAREA")))</f>
        <v>SUPERVISOR</v>
      </c>
    </row>
    <row r="3" spans="1:1" x14ac:dyDescent="0.3">
      <c r="A3" s="89" t="str">
        <v>CONDUCCION DE VEHICULOS</v>
      </c>
    </row>
    <row r="4" spans="1:1" x14ac:dyDescent="0.3">
      <c r="A4" s="89" t="str">
        <v>OPERADOR WCH</v>
      </c>
    </row>
    <row r="5" spans="1:1" x14ac:dyDescent="0.3">
      <c r="A5" s="89" t="str">
        <v>AYUDANTE WCH</v>
      </c>
    </row>
    <row r="6" spans="1:1" x14ac:dyDescent="0.3">
      <c r="A6" s="89" t="str">
        <v>RELEVO EN BASE</v>
      </c>
    </row>
  </sheetData>
  <sheetProtection algorithmName="SHA-512" hashValue="29zojF1ydC76YntqdbidJdxTDwuDTrgskroELdPYpKgfZbERePrAOkAHMWsXk6KocO8fjQxau2WFieFh/sqDBg==" saltValue="/saSq/1z1qkDt3OQVPQnUw==" spinCount="100000" sheet="1" objects="1" scenarios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8B244-F24C-4B63-B220-37BA369A92A6}">
  <sheetPr codeName="Hoja15">
    <tabColor theme="0" tint="-4.9989318521683403E-2"/>
  </sheetPr>
  <dimension ref="A1:I10000"/>
  <sheetViews>
    <sheetView workbookViewId="0">
      <selection activeCell="I6" sqref="I6"/>
    </sheetView>
  </sheetViews>
  <sheetFormatPr baseColWidth="10" defaultColWidth="10.88671875" defaultRowHeight="14.4" x14ac:dyDescent="0.3"/>
  <cols>
    <col min="1" max="1" width="28.109375" style="89" bestFit="1" customWidth="1"/>
    <col min="2" max="2" width="24.88671875" style="89" customWidth="1"/>
    <col min="3" max="3" width="9.109375" style="90" bestFit="1" customWidth="1"/>
    <col min="4" max="4" width="9" style="89" bestFit="1" customWidth="1"/>
    <col min="5" max="5" width="9.88671875" style="89" bestFit="1" customWidth="1"/>
    <col min="6" max="6" width="10.88671875" style="89"/>
    <col min="7" max="7" width="11.44140625" style="89" bestFit="1" customWidth="1"/>
    <col min="8" max="16384" width="10.88671875" style="89"/>
  </cols>
  <sheetData>
    <row r="1" spans="1:9" x14ac:dyDescent="0.3">
      <c r="A1" s="86" t="s">
        <v>423</v>
      </c>
      <c r="B1" s="87" t="s">
        <v>50</v>
      </c>
      <c r="C1" s="88" t="s">
        <v>424</v>
      </c>
      <c r="D1" s="87" t="s">
        <v>425</v>
      </c>
      <c r="E1" s="87" t="s">
        <v>426</v>
      </c>
      <c r="F1" s="87" t="s">
        <v>844</v>
      </c>
      <c r="G1" s="87" t="s">
        <v>427</v>
      </c>
    </row>
    <row r="2" spans="1:9" x14ac:dyDescent="0.3">
      <c r="A2" s="89" t="str" cm="1">
        <f t="array" ref="A2:A5941">IFERROR(
INDEX('Matriz de Comp. Personas'!$D$8:$D$106,
INT((_xlfn.SEQUENCE(ROWS('Matriz de Comp. Personas'!$N$8:$BU$106)*COLUMNS('Matriz de Comp. Personas'!$N$8:$BU$106),1,1,1)-1)/
COLUMNS('Matriz de Comp. Personas'!$N$8:$BU$106))+1
),
""
)</f>
        <v>ALDRICH, SERGIO RUBEN</v>
      </c>
      <c r="B2" s="89" t="str" cm="1">
        <f t="array" ref="B2:B5941">IFERROR(
INDEX('Matriz de Comp. Personas'!$N$7:$BU$7,
1,
MOD(
_xlfn.SEQUENCE(ROWS('Matriz de Comp. Personas'!$N$8:$BU$106)*COLUMNS('Matriz de Comp. Personas'!$N$8:$BU$106),1,1,1)-1,
COLUMNS('Matriz de Comp. Personas'!$N$8:$BU$106)
)+1
),
""
)</f>
        <v>Programa de Aire</v>
      </c>
      <c r="C2" s="90" t="str" cm="1">
        <f t="array" ref="C2:C5941">IFERROR(
_xlfn.LET(
_xlpm.d,INDEX('Matriz de Comp. Personas'!$N$8:$BU$106,
INT((_xlfn.SEQUENCE(ROWS('Matriz de Comp. Personas'!$N$8:$BU$106)*COLUMNS('Matriz de Comp. Personas'!$N$8:$BU$106),1,1,1)-1)/COLUMNS('Matriz de Comp. Personas'!$N$8:$BU$106))+1,
MOD(_xlfn.SEQUENCE(ROWS('Matriz de Comp. Personas'!$N$8:$BU$106)*COLUMNS('Matriz de Comp. Personas'!$N$8:$BU$106),1,1,1)-1,COLUMNS('Matriz de Comp. Personas'!$N$8:$BU$106))+1
),
IF(_xlpm.d=0,"",_xlpm.d)
),
""
)</f>
        <v/>
      </c>
      <c r="D2" s="89" t="str" cm="1">
        <f t="array" ref="D2:D5941">IFERROR(
INDEX('Matriz de Comp. Personas'!$N$4:$BU$4,
1,
MOD(
_xlfn.SEQUENCE(ROWS('Matriz de Comp. Personas'!$N$8:$BU$106)*COLUMNS('Matriz de Comp. Personas'!$N$8:$BU$106),1,1,1)-1,
COLUMNS('Matriz de Comp. Personas'!$N$8:$BU$106)
)+1
),
""
)</f>
        <v>Evento</v>
      </c>
      <c r="E2" s="89" cm="1">
        <f t="array" ref="E2:E5941">IFERROR(
INDEX('Matriz de Comp. Personas'!$N$5:$BU$5,
1,
MOD(
_xlfn.SEQUENCE(ROWS('Matriz de Comp. Personas'!$N$8:$BU$106)*COLUMNS('Matriz de Comp. Personas'!$N$8:$BU$106),1,1,1)-1,
COLUMNS('Matriz de Comp. Personas'!$N$8:$BU$106)
)+1
),
""
)</f>
        <v>0</v>
      </c>
      <c r="F2" s="89" cm="1">
        <f t="array" ref="F2:F10000">IFERROR(
IF(A2:A10000="","",_xlfn.XLOOKUP(B2:B10000,'Criterio de matriz competencias'!A:A,'Criterio de matriz competencias'!N:N,"")),
"")</f>
        <v>1</v>
      </c>
      <c r="G2" s="89" t="str" cm="1">
        <f t="array" aca="1" ref="G2:G5941" ca="1">IF(_xlfn.ANCHORARRAY(A2)="","",
IF(_xlfn.ANCHORARRAY(C2)="","SIN FECHA",
IF(TRIM(_xlfn.ANCHORARRAY(D2))="Periódica",
IF(TODAY()&gt;_xlfn.ANCHORARRAY(C2)+_xlfn.ANCHORARRAY(E2),"VENCIDA",IF(TODAY()&gt;=_xlfn.ANCHORARRAY(C2)+_xlfn.ANCHORARRAY(E2)-60,"POR VENCER","VIGENTE")),
"VIGENTE"
)))</f>
        <v>SIN FECHA</v>
      </c>
    </row>
    <row r="3" spans="1:9" x14ac:dyDescent="0.3">
      <c r="A3" s="89" t="str">
        <v>ALDRICH, SERGIO RUBEN</v>
      </c>
      <c r="B3" s="89" t="str">
        <v>Conciencia Ambiental</v>
      </c>
      <c r="C3" s="90">
        <v>46134</v>
      </c>
      <c r="D3" s="89" t="str">
        <v>Periódica</v>
      </c>
      <c r="E3" s="89">
        <v>365</v>
      </c>
      <c r="F3" s="89">
        <v>1</v>
      </c>
      <c r="G3" s="89" t="str">
        <f ca="1"/>
        <v>VIGENTE</v>
      </c>
    </row>
    <row r="4" spans="1:9" x14ac:dyDescent="0.3">
      <c r="A4" s="89" t="str">
        <v>ALDRICH, SERGIO RUBEN</v>
      </c>
      <c r="B4" s="89" t="str">
        <v xml:space="preserve">Control de Documentos e Informacion de HSE </v>
      </c>
      <c r="C4" s="90" t="str">
        <v/>
      </c>
      <c r="D4" s="89" t="str">
        <v>Evento</v>
      </c>
      <c r="E4" s="89">
        <v>0</v>
      </c>
      <c r="F4" s="89">
        <v>1</v>
      </c>
      <c r="G4" s="89" t="str">
        <f ca="1"/>
        <v>SIN FECHA</v>
      </c>
    </row>
    <row r="5" spans="1:9" x14ac:dyDescent="0.3">
      <c r="A5" s="89" t="str">
        <v>ALDRICH, SERGIO RUBEN</v>
      </c>
      <c r="B5" s="89" t="str">
        <v xml:space="preserve"> Acciones Correctivas y Preventivas (CAPA)</v>
      </c>
      <c r="C5" s="90" t="str">
        <v/>
      </c>
      <c r="D5" s="89" t="str">
        <v>Evento</v>
      </c>
      <c r="E5" s="89">
        <v>0</v>
      </c>
      <c r="F5" s="89">
        <v>1</v>
      </c>
      <c r="G5" s="89" t="str">
        <f ca="1"/>
        <v>SIN FECHA</v>
      </c>
    </row>
    <row r="6" spans="1:9" x14ac:dyDescent="0.3">
      <c r="A6" s="89" t="str">
        <v>ALDRICH, SERGIO RUBEN</v>
      </c>
      <c r="B6" s="89" t="str">
        <v>Seguridad Basada en el Comportamiento (Observation Program) // HSMS.043 / Autoridad de Detener el Trabajo</v>
      </c>
      <c r="C6" s="90">
        <v>45827</v>
      </c>
      <c r="D6" s="89" t="str">
        <v>Periódica</v>
      </c>
      <c r="E6" s="89">
        <v>365</v>
      </c>
      <c r="F6" s="89">
        <v>1</v>
      </c>
      <c r="G6" s="89" t="str">
        <f ca="1"/>
        <v>VENCIDA</v>
      </c>
      <c r="I6" s="89">
        <f ca="1">COUNTIFS(BASE_OK!G:G,"VENCIDA",BASE_OK!C:C,"&lt;&gt;")</f>
        <v>25</v>
      </c>
    </row>
    <row r="7" spans="1:9" x14ac:dyDescent="0.3">
      <c r="A7" s="89" t="str">
        <v>ALDRICH, SERGIO RUBEN</v>
      </c>
      <c r="B7" s="89" t="str">
        <v>Identificacion de Peligros y Evaluacion de Riesgos</v>
      </c>
      <c r="C7" s="90">
        <v>46006</v>
      </c>
      <c r="D7" s="89" t="str">
        <v>Evento</v>
      </c>
      <c r="E7" s="89">
        <v>0</v>
      </c>
      <c r="F7" s="89">
        <v>1</v>
      </c>
      <c r="G7" s="89" t="str">
        <f ca="1"/>
        <v>VIGENTE</v>
      </c>
    </row>
    <row r="8" spans="1:9" x14ac:dyDescent="0.3">
      <c r="A8" s="89" t="str">
        <v>ALDRICH, SERGIO RUBEN</v>
      </c>
      <c r="B8" s="89" t="str">
        <v xml:space="preserve"> Plan de Respuesta ante Eemergencias / HSMS.010 /Primeros Axulios &amp; RCP/DEA / HSMSWT-002 / Patogenos Trasnmitidos por la Sangre</v>
      </c>
      <c r="C8" s="90" t="str">
        <v/>
      </c>
      <c r="D8" s="89" t="str">
        <v>Periódica</v>
      </c>
      <c r="E8" s="89">
        <v>365</v>
      </c>
      <c r="F8" s="89">
        <v>1</v>
      </c>
      <c r="G8" s="89" t="str">
        <f ca="1"/>
        <v>SIN FECHA</v>
      </c>
    </row>
    <row r="9" spans="1:9" x14ac:dyDescent="0.3">
      <c r="A9" s="89" t="str">
        <v>ALDRICH, SERGIO RUBEN</v>
      </c>
      <c r="B9" s="89" t="str">
        <v>Reporte y Gestion de Incidentes HSE (Todos)</v>
      </c>
      <c r="C9" s="90">
        <v>46006</v>
      </c>
      <c r="D9" s="89" t="str">
        <v>Periódica</v>
      </c>
      <c r="E9" s="89">
        <v>365</v>
      </c>
      <c r="F9" s="89">
        <v>1</v>
      </c>
      <c r="G9" s="89" t="str">
        <f ca="1"/>
        <v>VIGENTE</v>
      </c>
    </row>
    <row r="10" spans="1:9" x14ac:dyDescent="0.3">
      <c r="A10" s="89" t="str">
        <v>ALDRICH, SERGIO RUBEN</v>
      </c>
      <c r="B10" s="89" t="str">
        <v>Reporte, Gestion e Investigacion de Incidentes HSE (supervisores / investigadores (rol))</v>
      </c>
      <c r="C10" s="90" t="str">
        <v/>
      </c>
      <c r="D10" s="89" t="str">
        <v>Periódica</v>
      </c>
      <c r="E10" s="89">
        <v>1095</v>
      </c>
      <c r="F10" s="89">
        <v>2</v>
      </c>
      <c r="G10" s="89" t="str">
        <f ca="1"/>
        <v>SIN FECHA</v>
      </c>
    </row>
    <row r="11" spans="1:9" x14ac:dyDescent="0.3">
      <c r="A11" s="89" t="str">
        <v>ALDRICH, SERGIO RUBEN</v>
      </c>
      <c r="B11" s="89" t="str">
        <v>Gruas y Equipos de Izaje (Todos)</v>
      </c>
      <c r="C11" s="90" t="str">
        <v/>
      </c>
      <c r="D11" s="89" t="str">
        <v>Periódica</v>
      </c>
      <c r="E11" s="89">
        <v>365</v>
      </c>
      <c r="F11" s="89">
        <v>2</v>
      </c>
      <c r="G11" s="89" t="str">
        <f ca="1"/>
        <v>SIN FECHA</v>
      </c>
    </row>
    <row r="12" spans="1:9" x14ac:dyDescent="0.3">
      <c r="A12" s="89" t="str">
        <v>ALDRICH, SERGIO RUBEN</v>
      </c>
      <c r="B12" s="89" t="str">
        <v>HSMS.007 / Gruas y Equipos de Izaje (Operadores)</v>
      </c>
      <c r="C12" s="90">
        <v>46141</v>
      </c>
      <c r="D12" s="89" t="str">
        <v>Periódica</v>
      </c>
      <c r="E12" s="89">
        <v>365</v>
      </c>
      <c r="F12" s="89">
        <v>8</v>
      </c>
      <c r="G12" s="89" t="str">
        <f ca="1"/>
        <v>VIGENTE</v>
      </c>
    </row>
    <row r="13" spans="1:9" x14ac:dyDescent="0.3">
      <c r="A13" s="89" t="str">
        <v>ALDRICH, SERGIO RUBEN</v>
      </c>
      <c r="B13" s="89" t="str">
        <v>Proteccion Contra Incendios (Todos)</v>
      </c>
      <c r="C13" s="90">
        <v>45835</v>
      </c>
      <c r="D13" s="89" t="str">
        <v>Periódica</v>
      </c>
      <c r="E13" s="89">
        <v>365</v>
      </c>
      <c r="F13" s="89">
        <v>1</v>
      </c>
      <c r="G13" s="89" t="str">
        <f ca="1"/>
        <v>VENCIDA</v>
      </c>
    </row>
    <row r="14" spans="1:9" x14ac:dyDescent="0.3">
      <c r="A14" s="89" t="str">
        <v>ALDRICH, SERGIO RUBEN</v>
      </c>
      <c r="B14" s="89" t="str">
        <v>Proteccion Contra Incendios (Brigadistas)</v>
      </c>
      <c r="C14" s="90" t="str">
        <v/>
      </c>
      <c r="D14" s="89" t="str">
        <v>Periódica</v>
      </c>
      <c r="E14" s="89">
        <v>365</v>
      </c>
      <c r="F14" s="89">
        <v>2</v>
      </c>
      <c r="G14" s="89" t="str">
        <f ca="1"/>
        <v>SIN FECHA</v>
      </c>
    </row>
    <row r="15" spans="1:9" x14ac:dyDescent="0.3">
      <c r="A15" s="89" t="str">
        <v>ALDRICH, SERGIO RUBEN</v>
      </c>
      <c r="B15" s="89" t="str">
        <v>Primeros Auxilios (Brigadistas)</v>
      </c>
      <c r="C15" s="90" t="str">
        <v/>
      </c>
      <c r="D15" s="89" t="str">
        <v>Periódica</v>
      </c>
      <c r="E15" s="89">
        <v>365</v>
      </c>
      <c r="F15" s="89">
        <v>2</v>
      </c>
      <c r="G15" s="89" t="str">
        <f ca="1"/>
        <v>SIN FECHA</v>
      </c>
    </row>
    <row r="16" spans="1:9" x14ac:dyDescent="0.3">
      <c r="A16" s="89" t="str">
        <v>ALDRICH, SERGIO RUBEN</v>
      </c>
      <c r="B16" s="89" t="str">
        <v>Seguridad Electrica (Todos)</v>
      </c>
      <c r="C16" s="90" t="str">
        <v/>
      </c>
      <c r="D16" s="89" t="str">
        <v>Periódica</v>
      </c>
      <c r="E16" s="89">
        <v>365</v>
      </c>
      <c r="F16" s="89">
        <v>1</v>
      </c>
      <c r="G16" s="89" t="str">
        <f ca="1"/>
        <v>SIN FECHA</v>
      </c>
    </row>
    <row r="17" spans="1:7" x14ac:dyDescent="0.3">
      <c r="A17" s="89" t="str">
        <v>ALDRICH, SERGIO RUBEN</v>
      </c>
      <c r="B17" s="89" t="str">
        <v>Seguridad Electrica (Personal Autorizado)</v>
      </c>
      <c r="C17" s="90" t="str">
        <v/>
      </c>
      <c r="D17" s="89" t="str">
        <v>Periódica</v>
      </c>
      <c r="E17" s="89">
        <v>1095</v>
      </c>
      <c r="F17" s="89">
        <v>4</v>
      </c>
      <c r="G17" s="89" t="str">
        <f ca="1"/>
        <v>SIN FECHA</v>
      </c>
    </row>
    <row r="18" spans="1:7" x14ac:dyDescent="0.3">
      <c r="A18" s="89" t="str">
        <v>ALDRICH, SERGIO RUBEN</v>
      </c>
      <c r="B18" s="89" t="str">
        <v>Camiones Industriales Motorizados (PIT) (Todos)</v>
      </c>
      <c r="C18" s="90" t="str">
        <v/>
      </c>
      <c r="D18" s="89" t="str">
        <v>Periódica</v>
      </c>
      <c r="E18" s="89">
        <v>365</v>
      </c>
      <c r="F18" s="89">
        <v>1</v>
      </c>
      <c r="G18" s="89" t="str">
        <f ca="1"/>
        <v>SIN FECHA</v>
      </c>
    </row>
    <row r="19" spans="1:7" x14ac:dyDescent="0.3">
      <c r="A19" s="89" t="str">
        <v>ALDRICH, SERGIO RUBEN</v>
      </c>
      <c r="B19" s="89" t="str">
        <v>Camiones Industriales Motorizados (PIT) (Op. Montacargas)</v>
      </c>
      <c r="C19" s="90" t="str">
        <v/>
      </c>
      <c r="D19" s="89" t="str">
        <v>Periódica</v>
      </c>
      <c r="E19" s="89">
        <v>365</v>
      </c>
      <c r="F19" s="89">
        <v>8</v>
      </c>
      <c r="G19" s="89" t="str">
        <f ca="1"/>
        <v>SIN FECHA</v>
      </c>
    </row>
    <row r="20" spans="1:7" x14ac:dyDescent="0.3">
      <c r="A20" s="89" t="str">
        <v>ALDRICH, SERGIO RUBEN</v>
      </c>
      <c r="B20" s="89" t="str">
        <v>Control de Energias Peligrosas (LOTO) (Todos)</v>
      </c>
      <c r="C20" s="90">
        <v>45827</v>
      </c>
      <c r="D20" s="89" t="str">
        <v>Evento</v>
      </c>
      <c r="E20" s="89">
        <v>0</v>
      </c>
      <c r="F20" s="89">
        <v>1</v>
      </c>
      <c r="G20" s="89" t="str">
        <f ca="1"/>
        <v>VIGENTE</v>
      </c>
    </row>
    <row r="21" spans="1:7" x14ac:dyDescent="0.3">
      <c r="A21" s="89" t="str">
        <v>ALDRICH, SERGIO RUBEN</v>
      </c>
      <c r="B21" s="89" t="str">
        <v>Control de Energias Peligrosas (LOTO) (Empleados Autorizados)</v>
      </c>
      <c r="C21" s="90">
        <v>46026</v>
      </c>
      <c r="D21" s="89" t="str">
        <v>Periódica</v>
      </c>
      <c r="E21" s="89">
        <v>365</v>
      </c>
      <c r="F21" s="89">
        <v>2</v>
      </c>
      <c r="G21" s="89" t="str">
        <f ca="1"/>
        <v>VIGENTE</v>
      </c>
    </row>
    <row r="22" spans="1:7" x14ac:dyDescent="0.3">
      <c r="A22" s="89" t="str">
        <v>ALDRICH, SERGIO RUBEN</v>
      </c>
      <c r="B22" s="89" t="str">
        <v>Seguridad aplicada al Pozo &amp; Yacimiento</v>
      </c>
      <c r="C22" s="90" t="str">
        <v/>
      </c>
      <c r="D22" s="89" t="str">
        <v>Periódica</v>
      </c>
      <c r="E22" s="89">
        <v>365</v>
      </c>
      <c r="F22" s="89">
        <v>1</v>
      </c>
      <c r="G22" s="89" t="str">
        <f ca="1"/>
        <v>SIN FECHA</v>
      </c>
    </row>
    <row r="23" spans="1:7" x14ac:dyDescent="0.3">
      <c r="A23" s="89" t="str">
        <v>ALDRICH, SERGIO RUBEN</v>
      </c>
      <c r="B23" s="89" t="str">
        <v>Las Reglas que Salvan Vidas</v>
      </c>
      <c r="C23" s="90" t="str">
        <v/>
      </c>
      <c r="D23" s="89" t="str">
        <v>Periódica</v>
      </c>
      <c r="E23" s="89">
        <v>365</v>
      </c>
      <c r="F23" s="89">
        <v>1</v>
      </c>
      <c r="G23" s="89" t="str">
        <f ca="1"/>
        <v>SIN FECHA</v>
      </c>
    </row>
    <row r="24" spans="1:7" x14ac:dyDescent="0.3">
      <c r="A24" s="89" t="str">
        <v>ALDRICH, SERGIO RUBEN</v>
      </c>
      <c r="B24" s="89" t="str">
        <v xml:space="preserve">Resguardo de Maquinas &amp; Equipos </v>
      </c>
      <c r="C24" s="90" t="str">
        <v/>
      </c>
      <c r="D24" s="89" t="str">
        <v>Periódica</v>
      </c>
      <c r="E24" s="89">
        <v>365</v>
      </c>
      <c r="F24" s="89">
        <v>1</v>
      </c>
      <c r="G24" s="89" t="str">
        <f ca="1"/>
        <v>SIN FECHA</v>
      </c>
    </row>
    <row r="25" spans="1:7" x14ac:dyDescent="0.3">
      <c r="A25" s="89" t="str">
        <v>ALDRICH, SERGIO RUBEN</v>
      </c>
      <c r="B25" s="89" t="str">
        <v>Conduccion y Gestion de Viajes (Todos)</v>
      </c>
      <c r="C25" s="90">
        <v>45770</v>
      </c>
      <c r="D25" s="89" t="str">
        <v>Periódica</v>
      </c>
      <c r="E25" s="89">
        <v>730</v>
      </c>
      <c r="F25" s="89">
        <v>1</v>
      </c>
      <c r="G25" s="89" t="str">
        <f ca="1"/>
        <v>VIGENTE</v>
      </c>
    </row>
    <row r="26" spans="1:7" x14ac:dyDescent="0.3">
      <c r="A26" s="89" t="str">
        <v>ALDRICH, SERGIO RUBEN</v>
      </c>
      <c r="B26" s="89" t="str">
        <v>Conduccion y Gestion de Viajes (Conductores)</v>
      </c>
      <c r="C26" s="90">
        <v>46211</v>
      </c>
      <c r="D26" s="89" t="str">
        <v>Periódica</v>
      </c>
      <c r="E26" s="89">
        <v>1095</v>
      </c>
      <c r="F26" s="89">
        <v>5</v>
      </c>
      <c r="G26" s="89" t="str">
        <f ca="1"/>
        <v>VIGENTE</v>
      </c>
    </row>
    <row r="27" spans="1:7" x14ac:dyDescent="0.3">
      <c r="A27" s="89" t="str">
        <v>ALDRICH, SERGIO RUBEN</v>
      </c>
      <c r="B27" s="89" t="str">
        <v>Patogenos Transmitidos por la Sangre</v>
      </c>
      <c r="C27" s="90" t="str">
        <v/>
      </c>
      <c r="D27" s="89" t="str">
        <v>Periódica</v>
      </c>
      <c r="E27" s="89">
        <v>365</v>
      </c>
      <c r="F27" s="89">
        <v>1</v>
      </c>
      <c r="G27" s="89" t="str">
        <f ca="1"/>
        <v>SIN FECHA</v>
      </c>
    </row>
    <row r="28" spans="1:7" x14ac:dyDescent="0.3">
      <c r="A28" s="89" t="str">
        <v>ALDRICH, SERGIO RUBEN</v>
      </c>
      <c r="B28" s="89" t="str">
        <v>Conservacion Auditiva</v>
      </c>
      <c r="C28" s="90" t="str">
        <v/>
      </c>
      <c r="D28" s="89" t="str">
        <v>Periódica</v>
      </c>
      <c r="E28" s="89">
        <v>365</v>
      </c>
      <c r="F28" s="89">
        <v>1</v>
      </c>
      <c r="G28" s="89" t="str">
        <f ca="1"/>
        <v>SIN FECHA</v>
      </c>
    </row>
    <row r="29" spans="1:7" x14ac:dyDescent="0.3">
      <c r="A29" s="89" t="str">
        <v>ALDRICH, SERGIO RUBEN</v>
      </c>
      <c r="B29" s="89" t="str">
        <v xml:space="preserve">Ergonomia //  / Levantamiento &amp; Seguridad en la Espalda </v>
      </c>
      <c r="C29" s="90">
        <v>46006</v>
      </c>
      <c r="D29" s="89" t="str">
        <v>Periódica</v>
      </c>
      <c r="E29" s="89">
        <v>365</v>
      </c>
      <c r="F29" s="89">
        <v>1</v>
      </c>
      <c r="G29" s="89" t="str">
        <f ca="1"/>
        <v>VIGENTE</v>
      </c>
    </row>
    <row r="30" spans="1:7" x14ac:dyDescent="0.3">
      <c r="A30" s="89" t="str">
        <v>ALDRICH, SERGIO RUBEN</v>
      </c>
      <c r="B30" s="89" t="str">
        <v>Superficies Elevadas (Todos)</v>
      </c>
      <c r="C30" s="90">
        <v>46006</v>
      </c>
      <c r="D30" s="89" t="str">
        <v>Periódica</v>
      </c>
      <c r="E30" s="89">
        <v>365</v>
      </c>
      <c r="F30" s="89">
        <v>1</v>
      </c>
      <c r="G30" s="89" t="str">
        <f ca="1"/>
        <v>VIGENTE</v>
      </c>
    </row>
    <row r="31" spans="1:7" x14ac:dyDescent="0.3">
      <c r="A31" s="89" t="str">
        <v>ALDRICH, SERGIO RUBEN</v>
      </c>
      <c r="B31" s="89" t="str">
        <v>Superficies Elevadas (Personal Habilitado)</v>
      </c>
      <c r="C31" s="90" t="str">
        <v/>
      </c>
      <c r="D31" s="89" t="str">
        <v>Periódica</v>
      </c>
      <c r="E31" s="89">
        <v>365</v>
      </c>
      <c r="F31" s="89">
        <v>8</v>
      </c>
      <c r="G31" s="89" t="str">
        <f ca="1"/>
        <v>SIN FECHA</v>
      </c>
    </row>
    <row r="32" spans="1:7" x14ac:dyDescent="0.3">
      <c r="A32" s="89" t="str">
        <v>ALDRICH, SERGIO RUBEN</v>
      </c>
      <c r="B32" s="89" t="str">
        <v>Seguridad Quimica (Todos)</v>
      </c>
      <c r="C32" s="90">
        <v>46006</v>
      </c>
      <c r="D32" s="89" t="str">
        <v>Periódica</v>
      </c>
      <c r="E32" s="89">
        <v>730</v>
      </c>
      <c r="F32" s="89">
        <v>1</v>
      </c>
      <c r="G32" s="89" t="str">
        <f ca="1"/>
        <v>VIGENTE</v>
      </c>
    </row>
    <row r="33" spans="1:7" x14ac:dyDescent="0.3">
      <c r="A33" s="89" t="str">
        <v>ALDRICH, SERGIO RUBEN</v>
      </c>
      <c r="B33" s="89" t="str">
        <v>Seguridad Quimica (Mantenimiento)</v>
      </c>
      <c r="C33" s="90" t="str">
        <v/>
      </c>
      <c r="D33" s="89" t="str">
        <v>Periódica</v>
      </c>
      <c r="E33" s="89">
        <v>365</v>
      </c>
      <c r="F33" s="89">
        <v>1</v>
      </c>
      <c r="G33" s="89" t="str">
        <f ca="1"/>
        <v>SIN FECHA</v>
      </c>
    </row>
    <row r="34" spans="1:7" x14ac:dyDescent="0.3">
      <c r="A34" s="89" t="str">
        <v>ALDRICH, SERGIO RUBEN</v>
      </c>
      <c r="B34" s="89" t="str">
        <v>Seguridad Quimica (Contratistas)</v>
      </c>
      <c r="C34" s="90" t="str">
        <v/>
      </c>
      <c r="D34" s="89" t="str">
        <v>Periódica</v>
      </c>
      <c r="E34" s="89">
        <v>365</v>
      </c>
      <c r="F34" s="89">
        <v>1</v>
      </c>
      <c r="G34" s="89" t="str">
        <f ca="1"/>
        <v>SIN FECHA</v>
      </c>
    </row>
    <row r="35" spans="1:7" x14ac:dyDescent="0.3">
      <c r="A35" s="89" t="str">
        <v>ALDRICH, SERGIO RUBEN</v>
      </c>
      <c r="B35" s="89" t="str">
        <v>Seguridad para Trabajos en Caliente</v>
      </c>
      <c r="C35" s="90">
        <v>45835</v>
      </c>
      <c r="D35" s="89" t="str">
        <v>Periódica</v>
      </c>
      <c r="E35" s="89">
        <v>365</v>
      </c>
      <c r="F35" s="89">
        <v>1</v>
      </c>
      <c r="G35" s="89" t="str">
        <f ca="1"/>
        <v>VENCIDA</v>
      </c>
    </row>
    <row r="36" spans="1:7" x14ac:dyDescent="0.3">
      <c r="A36" s="89" t="str">
        <v>ALDRICH, SERGIO RUBEN</v>
      </c>
      <c r="B36" s="89" t="str">
        <v>Seguridad con la Radiacion</v>
      </c>
      <c r="C36" s="90">
        <v>46013</v>
      </c>
      <c r="D36" s="89" t="str">
        <v>Periódica</v>
      </c>
      <c r="E36" s="89">
        <v>365</v>
      </c>
      <c r="F36" s="89">
        <v>2</v>
      </c>
      <c r="G36" s="89" t="str">
        <f ca="1"/>
        <v>VIGENTE</v>
      </c>
    </row>
    <row r="37" spans="1:7" x14ac:dyDescent="0.3">
      <c r="A37" s="89" t="str">
        <v>ALDRICH, SERGIO RUBEN</v>
      </c>
      <c r="B37" s="89" t="str">
        <v>Equipo de Proteccion Personal (PPE)</v>
      </c>
      <c r="C37" s="90">
        <v>46006</v>
      </c>
      <c r="D37" s="89" t="str">
        <v>Periódica</v>
      </c>
      <c r="E37" s="89">
        <v>365</v>
      </c>
      <c r="F37" s="89">
        <v>1</v>
      </c>
      <c r="G37" s="89" t="str">
        <f ca="1"/>
        <v>VIGENTE</v>
      </c>
    </row>
    <row r="38" spans="1:7" x14ac:dyDescent="0.3">
      <c r="A38" s="89" t="str">
        <v>ALDRICH, SERGIO RUBEN</v>
      </c>
      <c r="B38" s="89" t="str">
        <v>Proteccion Respiratoria</v>
      </c>
      <c r="C38" s="90" t="str">
        <v/>
      </c>
      <c r="D38" s="89" t="str">
        <v>Periódica</v>
      </c>
      <c r="E38" s="89">
        <v>365</v>
      </c>
      <c r="F38" s="89">
        <v>1</v>
      </c>
      <c r="G38" s="89" t="str">
        <f ca="1"/>
        <v>SIN FECHA</v>
      </c>
    </row>
    <row r="39" spans="1:7" x14ac:dyDescent="0.3">
      <c r="A39" s="89" t="str">
        <v>ALDRICH, SERGIO RUBEN</v>
      </c>
      <c r="B39" s="89" t="str">
        <v xml:space="preserve">Seguridad con Escaleras </v>
      </c>
      <c r="C39" s="90">
        <v>46006</v>
      </c>
      <c r="D39" s="89" t="str">
        <v>Periódica</v>
      </c>
      <c r="E39" s="89">
        <v>365</v>
      </c>
      <c r="F39" s="89">
        <v>1</v>
      </c>
      <c r="G39" s="89" t="str">
        <f ca="1"/>
        <v>VIGENTE</v>
      </c>
    </row>
    <row r="40" spans="1:7" x14ac:dyDescent="0.3">
      <c r="A40" s="89" t="str">
        <v>ALDRICH, SERGIO RUBEN</v>
      </c>
      <c r="B40" s="89" t="str">
        <v>Seguridad con Escaleras // Estantes de Almacenamiento</v>
      </c>
      <c r="C40" s="90" t="str">
        <v/>
      </c>
      <c r="D40" s="89" t="str">
        <v>Periódica</v>
      </c>
      <c r="E40" s="89">
        <v>365</v>
      </c>
      <c r="F40" s="89">
        <v>1</v>
      </c>
      <c r="G40" s="89" t="str">
        <f ca="1"/>
        <v>SIN FECHA</v>
      </c>
    </row>
    <row r="41" spans="1:7" x14ac:dyDescent="0.3">
      <c r="A41" s="89" t="str">
        <v>ALDRICH, SERGIO RUBEN</v>
      </c>
      <c r="B41" s="89" t="str">
        <v>Responsabilidades del Supervisor</v>
      </c>
      <c r="C41" s="90">
        <v>46163</v>
      </c>
      <c r="D41" s="89" t="str">
        <v>Periódica</v>
      </c>
      <c r="E41" s="89">
        <v>365</v>
      </c>
      <c r="F41" s="89">
        <v>1</v>
      </c>
      <c r="G41" s="89" t="str">
        <f ca="1"/>
        <v>VIGENTE</v>
      </c>
    </row>
    <row r="42" spans="1:7" x14ac:dyDescent="0.3">
      <c r="A42" s="89" t="str">
        <v>ALDRICH, SERGIO RUBEN</v>
      </c>
      <c r="B42" s="89" t="str">
        <v>Espacios Confinados (Todos)</v>
      </c>
      <c r="C42" s="90" t="str">
        <v/>
      </c>
      <c r="D42" s="89" t="str">
        <v>Periódica</v>
      </c>
      <c r="E42" s="89">
        <v>365</v>
      </c>
      <c r="F42" s="89">
        <v>1</v>
      </c>
      <c r="G42" s="89" t="str">
        <f ca="1"/>
        <v>SIN FECHA</v>
      </c>
    </row>
    <row r="43" spans="1:7" x14ac:dyDescent="0.3">
      <c r="A43" s="89" t="str">
        <v>ALDRICH, SERGIO RUBEN</v>
      </c>
      <c r="B43" s="89" t="str">
        <v>HSMS.017 / Espacios Confinados (Entrantes)</v>
      </c>
      <c r="C43" s="90" t="str">
        <v/>
      </c>
      <c r="D43" s="89" t="str">
        <v>Evento</v>
      </c>
      <c r="E43" s="89">
        <v>0</v>
      </c>
      <c r="F43" s="89">
        <v>8</v>
      </c>
      <c r="G43" s="89" t="str">
        <f ca="1"/>
        <v>SIN FECHA</v>
      </c>
    </row>
    <row r="44" spans="1:7" x14ac:dyDescent="0.3">
      <c r="A44" s="89" t="str">
        <v>ALDRICH, SERGIO RUBEN</v>
      </c>
      <c r="B44" s="89" t="str">
        <v>Programa de Agua (Todos)</v>
      </c>
      <c r="C44" s="90">
        <v>46134</v>
      </c>
      <c r="D44" s="89" t="str">
        <v>Evento</v>
      </c>
      <c r="E44" s="89">
        <v>0</v>
      </c>
      <c r="F44" s="89">
        <v>1</v>
      </c>
      <c r="G44" s="89" t="str">
        <f ca="1"/>
        <v>VIGENTE</v>
      </c>
    </row>
    <row r="45" spans="1:7" x14ac:dyDescent="0.3">
      <c r="A45" s="89" t="str">
        <v>ALDRICH, SERGIO RUBEN</v>
      </c>
      <c r="B45" s="89" t="str">
        <v>Programa de Agua (HSE)</v>
      </c>
      <c r="C45" s="90" t="str">
        <v/>
      </c>
      <c r="D45" s="89" t="str">
        <v>Evento</v>
      </c>
      <c r="E45" s="89">
        <v>0</v>
      </c>
      <c r="F45" s="89">
        <v>1</v>
      </c>
      <c r="G45" s="89" t="str">
        <f ca="1"/>
        <v>SIN FECHA</v>
      </c>
    </row>
    <row r="46" spans="1:7" x14ac:dyDescent="0.3">
      <c r="A46" s="89" t="str">
        <v>ALDRICH, SERGIO RUBEN</v>
      </c>
      <c r="B46" s="89" t="str">
        <v>HIV/SIDA y otras enfermedades de transmisión sexual (ETS)</v>
      </c>
      <c r="C46" s="90" t="str">
        <v/>
      </c>
      <c r="D46" s="89" t="str">
        <v>Periódica</v>
      </c>
      <c r="E46" s="89">
        <v>365</v>
      </c>
      <c r="F46" s="89">
        <v>1</v>
      </c>
      <c r="G46" s="89" t="str">
        <f ca="1"/>
        <v>SIN FECHA</v>
      </c>
    </row>
    <row r="47" spans="1:7" x14ac:dyDescent="0.3">
      <c r="A47" s="89" t="str">
        <v>ALDRICH, SERGIO RUBEN</v>
      </c>
      <c r="B47" s="89" t="str">
        <v>Drogas de abuso (concientización y prevención)</v>
      </c>
      <c r="C47" s="90" t="str">
        <v/>
      </c>
      <c r="D47" s="89" t="str">
        <v>Periódica</v>
      </c>
      <c r="E47" s="89">
        <v>365</v>
      </c>
      <c r="F47" s="89">
        <v>1</v>
      </c>
      <c r="G47" s="89" t="str">
        <f ca="1"/>
        <v>SIN FECHA</v>
      </c>
    </row>
    <row r="48" spans="1:7" x14ac:dyDescent="0.3">
      <c r="A48" s="89" t="str">
        <v>ALDRICH, SERGIO RUBEN</v>
      </c>
      <c r="B48" s="89" t="str">
        <v>Vida saludable (hábitos, autocuidado y bienestar)</v>
      </c>
      <c r="C48" s="90" t="str">
        <v/>
      </c>
      <c r="D48" s="89" t="str">
        <v>Periódica</v>
      </c>
      <c r="E48" s="89">
        <v>365</v>
      </c>
      <c r="F48" s="89">
        <v>1</v>
      </c>
      <c r="G48" s="89" t="str">
        <f ca="1"/>
        <v>SIN FECHA</v>
      </c>
    </row>
    <row r="49" spans="1:7" x14ac:dyDescent="0.3">
      <c r="A49" s="89" t="str">
        <v>ALDRICH, SERGIO RUBEN</v>
      </c>
      <c r="B49" s="89" t="str">
        <v>Primeros auxilios y Reanimación Cardio Pulmonar (RCP)</v>
      </c>
      <c r="C49" s="90" t="str">
        <v/>
      </c>
      <c r="D49" s="89" t="str">
        <v>Periódica</v>
      </c>
      <c r="E49" s="89">
        <v>365</v>
      </c>
      <c r="F49" s="89">
        <v>4</v>
      </c>
      <c r="G49" s="89" t="str">
        <f ca="1"/>
        <v>SIN FECHA</v>
      </c>
    </row>
    <row r="50" spans="1:7" x14ac:dyDescent="0.3">
      <c r="A50" s="89" t="str">
        <v>ALDRICH, SERGIO RUBEN</v>
      </c>
      <c r="B50" s="89" t="str">
        <v>Prevención cardiovascular (factores de riesgo y señales de alarma)</v>
      </c>
      <c r="C50" s="90" t="str">
        <v/>
      </c>
      <c r="D50" s="89" t="str">
        <v>Periódica</v>
      </c>
      <c r="E50" s="89">
        <v>365</v>
      </c>
      <c r="F50" s="89">
        <v>1</v>
      </c>
      <c r="G50" s="89" t="str">
        <f ca="1"/>
        <v>SIN FECHA</v>
      </c>
    </row>
    <row r="51" spans="1:7" x14ac:dyDescent="0.3">
      <c r="A51" s="89" t="str">
        <v>ALDRICH, SERGIO RUBEN</v>
      </c>
      <c r="B51" s="89" t="str">
        <v>Efectos del tabaco sobre la salud</v>
      </c>
      <c r="C51" s="90" t="str">
        <v/>
      </c>
      <c r="D51" s="89" t="str">
        <v>Periódica</v>
      </c>
      <c r="E51" s="89">
        <v>365</v>
      </c>
      <c r="F51" s="89">
        <v>1</v>
      </c>
      <c r="G51" s="89" t="str">
        <f ca="1"/>
        <v>SIN FECHA</v>
      </c>
    </row>
    <row r="52" spans="1:7" x14ac:dyDescent="0.3">
      <c r="A52" s="89" t="str">
        <v>ALDRICH, SERGIO RUBEN</v>
      </c>
      <c r="B52" s="89" t="str">
        <v>Cargadora (Op. Montacargas)</v>
      </c>
      <c r="C52" s="90" t="str">
        <v/>
      </c>
      <c r="D52" s="89" t="str">
        <v>Periódica</v>
      </c>
      <c r="E52" s="89">
        <v>365</v>
      </c>
      <c r="F52" s="89">
        <v>8</v>
      </c>
      <c r="G52" s="89" t="str">
        <f ca="1"/>
        <v>SIN FECHA</v>
      </c>
    </row>
    <row r="53" spans="1:7" x14ac:dyDescent="0.3">
      <c r="A53" s="89" t="str">
        <v>ALDRICH, SERGIO RUBEN</v>
      </c>
      <c r="B53" s="89">
        <v>0</v>
      </c>
      <c r="C53" s="90" t="str">
        <v/>
      </c>
      <c r="D53" s="89" t="str">
        <v/>
      </c>
      <c r="E53" s="89" t="str">
        <v/>
      </c>
      <c r="F53" s="89" t="str">
        <v/>
      </c>
      <c r="G53" s="89" t="str">
        <f ca="1"/>
        <v>SIN FECHA</v>
      </c>
    </row>
    <row r="54" spans="1:7" x14ac:dyDescent="0.3">
      <c r="A54" s="89" t="str">
        <v>ALDRICH, SERGIO RUBEN</v>
      </c>
      <c r="B54" s="89">
        <v>0</v>
      </c>
      <c r="C54" s="90" t="str">
        <v/>
      </c>
      <c r="D54" s="89" t="str">
        <v/>
      </c>
      <c r="E54" s="89" t="str">
        <v/>
      </c>
      <c r="F54" s="89" t="str">
        <v/>
      </c>
      <c r="G54" s="89" t="str">
        <f ca="1"/>
        <v>SIN FECHA</v>
      </c>
    </row>
    <row r="55" spans="1:7" x14ac:dyDescent="0.3">
      <c r="A55" s="89" t="str">
        <v>ALDRICH, SERGIO RUBEN</v>
      </c>
      <c r="B55" s="89">
        <v>0</v>
      </c>
      <c r="C55" s="90" t="str">
        <v/>
      </c>
      <c r="D55" s="89" t="str">
        <v/>
      </c>
      <c r="E55" s="89" t="str">
        <v/>
      </c>
      <c r="F55" s="89" t="str">
        <v/>
      </c>
      <c r="G55" s="89" t="str">
        <f ca="1"/>
        <v>SIN FECHA</v>
      </c>
    </row>
    <row r="56" spans="1:7" x14ac:dyDescent="0.3">
      <c r="A56" s="89" t="str">
        <v>ALDRICH, SERGIO RUBEN</v>
      </c>
      <c r="B56" s="89">
        <v>0</v>
      </c>
      <c r="C56" s="90" t="str">
        <v/>
      </c>
      <c r="D56" s="89" t="str">
        <v/>
      </c>
      <c r="E56" s="89" t="str">
        <v/>
      </c>
      <c r="F56" s="89" t="str">
        <v/>
      </c>
      <c r="G56" s="89" t="str">
        <f ca="1"/>
        <v>SIN FECHA</v>
      </c>
    </row>
    <row r="57" spans="1:7" x14ac:dyDescent="0.3">
      <c r="A57" s="89" t="str">
        <v>ALDRICH, SERGIO RUBEN</v>
      </c>
      <c r="B57" s="89">
        <v>0</v>
      </c>
      <c r="C57" s="90" t="str">
        <v/>
      </c>
      <c r="D57" s="89" t="str">
        <v/>
      </c>
      <c r="E57" s="89" t="str">
        <v/>
      </c>
      <c r="F57" s="89" t="str">
        <v/>
      </c>
      <c r="G57" s="89" t="str">
        <f ca="1"/>
        <v>SIN FECHA</v>
      </c>
    </row>
    <row r="58" spans="1:7" x14ac:dyDescent="0.3">
      <c r="A58" s="89" t="str">
        <v>ALDRICH, SERGIO RUBEN</v>
      </c>
      <c r="B58" s="89">
        <v>0</v>
      </c>
      <c r="C58" s="90" t="str">
        <v/>
      </c>
      <c r="D58" s="89" t="str">
        <v/>
      </c>
      <c r="E58" s="89" t="str">
        <v/>
      </c>
      <c r="F58" s="89" t="str">
        <v/>
      </c>
      <c r="G58" s="89" t="str">
        <f ca="1"/>
        <v>SIN FECHA</v>
      </c>
    </row>
    <row r="59" spans="1:7" x14ac:dyDescent="0.3">
      <c r="A59" s="89" t="str">
        <v>ALDRICH, SERGIO RUBEN</v>
      </c>
      <c r="B59" s="89">
        <v>0</v>
      </c>
      <c r="C59" s="90" t="str">
        <v/>
      </c>
      <c r="D59" s="89" t="str">
        <v/>
      </c>
      <c r="E59" s="89" t="str">
        <v/>
      </c>
      <c r="F59" s="89" t="str">
        <v/>
      </c>
      <c r="G59" s="89" t="str">
        <f ca="1"/>
        <v>SIN FECHA</v>
      </c>
    </row>
    <row r="60" spans="1:7" x14ac:dyDescent="0.3">
      <c r="A60" s="89" t="str">
        <v>ALDRICH, SERGIO RUBEN</v>
      </c>
      <c r="B60" s="89">
        <v>0</v>
      </c>
      <c r="C60" s="90" t="str">
        <v/>
      </c>
      <c r="D60" s="89" t="str">
        <v/>
      </c>
      <c r="E60" s="89" t="str">
        <v/>
      </c>
      <c r="F60" s="89" t="str">
        <v/>
      </c>
      <c r="G60" s="89" t="str">
        <f ca="1"/>
        <v>SIN FECHA</v>
      </c>
    </row>
    <row r="61" spans="1:7" x14ac:dyDescent="0.3">
      <c r="A61" s="89" t="str">
        <v>ALDRICH, SERGIO RUBEN</v>
      </c>
      <c r="B61" s="89">
        <v>0</v>
      </c>
      <c r="C61" s="90" t="str">
        <v/>
      </c>
      <c r="D61" s="89" t="str">
        <v/>
      </c>
      <c r="E61" s="89" t="str">
        <v/>
      </c>
      <c r="F61" s="89" t="str">
        <v/>
      </c>
      <c r="G61" s="89" t="str">
        <f ca="1"/>
        <v>SIN FECHA</v>
      </c>
    </row>
    <row r="62" spans="1:7" x14ac:dyDescent="0.3">
      <c r="A62" s="89" t="str">
        <v>ALVARADO, JOSE RAMON</v>
      </c>
      <c r="B62" s="89" t="str">
        <v>Programa de Aire</v>
      </c>
      <c r="C62" s="90" t="str">
        <v/>
      </c>
      <c r="D62" s="89" t="str">
        <v>Evento</v>
      </c>
      <c r="E62" s="89">
        <v>0</v>
      </c>
      <c r="F62" s="89">
        <v>1</v>
      </c>
      <c r="G62" s="89" t="str">
        <f ca="1"/>
        <v>SIN FECHA</v>
      </c>
    </row>
    <row r="63" spans="1:7" x14ac:dyDescent="0.3">
      <c r="A63" s="89" t="str">
        <v>ALVARADO, JOSE RAMON</v>
      </c>
      <c r="B63" s="89" t="str">
        <v>Conciencia Ambiental</v>
      </c>
      <c r="C63" s="90">
        <v>46162</v>
      </c>
      <c r="D63" s="89" t="str">
        <v>Periódica</v>
      </c>
      <c r="E63" s="89">
        <v>365</v>
      </c>
      <c r="F63" s="89">
        <v>1</v>
      </c>
      <c r="G63" s="89" t="str">
        <f ca="1"/>
        <v>VIGENTE</v>
      </c>
    </row>
    <row r="64" spans="1:7" x14ac:dyDescent="0.3">
      <c r="A64" s="89" t="str">
        <v>ALVARADO, JOSE RAMON</v>
      </c>
      <c r="B64" s="89" t="str">
        <v xml:space="preserve">Control de Documentos e Informacion de HSE </v>
      </c>
      <c r="C64" s="90" t="str">
        <v/>
      </c>
      <c r="D64" s="89" t="str">
        <v>Evento</v>
      </c>
      <c r="E64" s="89">
        <v>0</v>
      </c>
      <c r="F64" s="89">
        <v>1</v>
      </c>
      <c r="G64" s="89" t="str">
        <f ca="1"/>
        <v>SIN FECHA</v>
      </c>
    </row>
    <row r="65" spans="1:7" x14ac:dyDescent="0.3">
      <c r="A65" s="89" t="str">
        <v>ALVARADO, JOSE RAMON</v>
      </c>
      <c r="B65" s="89" t="str">
        <v xml:space="preserve"> Acciones Correctivas y Preventivas (CAPA)</v>
      </c>
      <c r="C65" s="90" t="str">
        <v/>
      </c>
      <c r="D65" s="89" t="str">
        <v>Evento</v>
      </c>
      <c r="E65" s="89">
        <v>0</v>
      </c>
      <c r="F65" s="89">
        <v>1</v>
      </c>
      <c r="G65" s="89" t="str">
        <f ca="1"/>
        <v>SIN FECHA</v>
      </c>
    </row>
    <row r="66" spans="1:7" x14ac:dyDescent="0.3">
      <c r="A66" s="89" t="str">
        <v>ALVARADO, JOSE RAMON</v>
      </c>
      <c r="B66" s="89" t="str">
        <v>Seguridad Basada en el Comportamiento (Observation Program) // HSMS.043 / Autoridad de Detener el Trabajo</v>
      </c>
      <c r="C66" s="90">
        <v>45838</v>
      </c>
      <c r="D66" s="89" t="str">
        <v>Periódica</v>
      </c>
      <c r="E66" s="89">
        <v>365</v>
      </c>
      <c r="F66" s="89">
        <v>1</v>
      </c>
      <c r="G66" s="89" t="str">
        <f ca="1"/>
        <v>VENCIDA</v>
      </c>
    </row>
    <row r="67" spans="1:7" x14ac:dyDescent="0.3">
      <c r="A67" s="89" t="str">
        <v>ALVARADO, JOSE RAMON</v>
      </c>
      <c r="B67" s="89" t="str">
        <v>Identificacion de Peligros y Evaluacion de Riesgos</v>
      </c>
      <c r="C67" s="90">
        <v>46009</v>
      </c>
      <c r="D67" s="89" t="str">
        <v>Evento</v>
      </c>
      <c r="E67" s="89">
        <v>0</v>
      </c>
      <c r="F67" s="89">
        <v>1</v>
      </c>
      <c r="G67" s="89" t="str">
        <f ca="1"/>
        <v>VIGENTE</v>
      </c>
    </row>
    <row r="68" spans="1:7" x14ac:dyDescent="0.3">
      <c r="A68" s="89" t="str">
        <v>ALVARADO, JOSE RAMON</v>
      </c>
      <c r="B68" s="89" t="str">
        <v xml:space="preserve"> Plan de Respuesta ante Eemergencias / HSMS.010 /Primeros Axulios &amp; RCP/DEA / HSMSWT-002 / Patogenos Trasnmitidos por la Sangre</v>
      </c>
      <c r="C68" s="90" t="str">
        <v/>
      </c>
      <c r="D68" s="89" t="str">
        <v>Periódica</v>
      </c>
      <c r="E68" s="89">
        <v>365</v>
      </c>
      <c r="F68" s="89">
        <v>1</v>
      </c>
      <c r="G68" s="89" t="str">
        <f ca="1"/>
        <v>SIN FECHA</v>
      </c>
    </row>
    <row r="69" spans="1:7" x14ac:dyDescent="0.3">
      <c r="A69" s="89" t="str">
        <v>ALVARADO, JOSE RAMON</v>
      </c>
      <c r="B69" s="89" t="str">
        <v>Reporte y Gestion de Incidentes HSE (Todos)</v>
      </c>
      <c r="C69" s="90">
        <v>46009</v>
      </c>
      <c r="D69" s="89" t="str">
        <v>Periódica</v>
      </c>
      <c r="E69" s="89">
        <v>365</v>
      </c>
      <c r="F69" s="89">
        <v>1</v>
      </c>
      <c r="G69" s="89" t="str">
        <f ca="1"/>
        <v>VIGENTE</v>
      </c>
    </row>
    <row r="70" spans="1:7" x14ac:dyDescent="0.3">
      <c r="A70" s="89" t="str">
        <v>ALVARADO, JOSE RAMON</v>
      </c>
      <c r="B70" s="89" t="str">
        <v>Reporte, Gestion e Investigacion de Incidentes HSE (supervisores / investigadores (rol))</v>
      </c>
      <c r="C70" s="90" t="str">
        <v/>
      </c>
      <c r="D70" s="89" t="str">
        <v>Periódica</v>
      </c>
      <c r="E70" s="89">
        <v>1095</v>
      </c>
      <c r="F70" s="89">
        <v>2</v>
      </c>
      <c r="G70" s="89" t="str">
        <f ca="1"/>
        <v>SIN FECHA</v>
      </c>
    </row>
    <row r="71" spans="1:7" x14ac:dyDescent="0.3">
      <c r="A71" s="89" t="str">
        <v>ALVARADO, JOSE RAMON</v>
      </c>
      <c r="B71" s="89" t="str">
        <v>Gruas y Equipos de Izaje (Todos)</v>
      </c>
      <c r="C71" s="90" t="str">
        <v/>
      </c>
      <c r="D71" s="89" t="str">
        <v>Periódica</v>
      </c>
      <c r="E71" s="89">
        <v>365</v>
      </c>
      <c r="F71" s="89">
        <v>2</v>
      </c>
      <c r="G71" s="89" t="str">
        <f ca="1"/>
        <v>SIN FECHA</v>
      </c>
    </row>
    <row r="72" spans="1:7" x14ac:dyDescent="0.3">
      <c r="A72" s="89" t="str">
        <v>ALVARADO, JOSE RAMON</v>
      </c>
      <c r="B72" s="89" t="str">
        <v>HSMS.007 / Gruas y Equipos de Izaje (Operadores)</v>
      </c>
      <c r="C72" s="90">
        <v>46140</v>
      </c>
      <c r="D72" s="89" t="str">
        <v>Periódica</v>
      </c>
      <c r="E72" s="89">
        <v>365</v>
      </c>
      <c r="F72" s="89">
        <v>8</v>
      </c>
      <c r="G72" s="89" t="str">
        <f ca="1"/>
        <v>VIGENTE</v>
      </c>
    </row>
    <row r="73" spans="1:7" x14ac:dyDescent="0.3">
      <c r="A73" s="89" t="str">
        <v>ALVARADO, JOSE RAMON</v>
      </c>
      <c r="B73" s="89" t="str">
        <v>Proteccion Contra Incendios (Todos)</v>
      </c>
      <c r="C73" s="90">
        <v>46014</v>
      </c>
      <c r="D73" s="89" t="str">
        <v>Periódica</v>
      </c>
      <c r="E73" s="89">
        <v>365</v>
      </c>
      <c r="F73" s="89">
        <v>1</v>
      </c>
      <c r="G73" s="89" t="str">
        <f ca="1"/>
        <v>VIGENTE</v>
      </c>
    </row>
    <row r="74" spans="1:7" x14ac:dyDescent="0.3">
      <c r="A74" s="89" t="str">
        <v>ALVARADO, JOSE RAMON</v>
      </c>
      <c r="B74" s="89" t="str">
        <v>Proteccion Contra Incendios (Brigadistas)</v>
      </c>
      <c r="C74" s="90" t="str">
        <v/>
      </c>
      <c r="D74" s="89" t="str">
        <v>Periódica</v>
      </c>
      <c r="E74" s="89">
        <v>365</v>
      </c>
      <c r="F74" s="89">
        <v>2</v>
      </c>
      <c r="G74" s="89" t="str">
        <f ca="1"/>
        <v>SIN FECHA</v>
      </c>
    </row>
    <row r="75" spans="1:7" x14ac:dyDescent="0.3">
      <c r="A75" s="89" t="str">
        <v>ALVARADO, JOSE RAMON</v>
      </c>
      <c r="B75" s="89" t="str">
        <v>Primeros Auxilios (Brigadistas)</v>
      </c>
      <c r="C75" s="90" t="str">
        <v/>
      </c>
      <c r="D75" s="89" t="str">
        <v>Periódica</v>
      </c>
      <c r="E75" s="89">
        <v>365</v>
      </c>
      <c r="F75" s="89">
        <v>2</v>
      </c>
      <c r="G75" s="89" t="str">
        <f ca="1"/>
        <v>SIN FECHA</v>
      </c>
    </row>
    <row r="76" spans="1:7" x14ac:dyDescent="0.3">
      <c r="A76" s="89" t="str">
        <v>ALVARADO, JOSE RAMON</v>
      </c>
      <c r="B76" s="89" t="str">
        <v>Seguridad Electrica (Todos)</v>
      </c>
      <c r="C76" s="90" t="str">
        <v/>
      </c>
      <c r="D76" s="89" t="str">
        <v>Periódica</v>
      </c>
      <c r="E76" s="89">
        <v>365</v>
      </c>
      <c r="F76" s="89">
        <v>1</v>
      </c>
      <c r="G76" s="89" t="str">
        <f ca="1"/>
        <v>SIN FECHA</v>
      </c>
    </row>
    <row r="77" spans="1:7" x14ac:dyDescent="0.3">
      <c r="A77" s="89" t="str">
        <v>ALVARADO, JOSE RAMON</v>
      </c>
      <c r="B77" s="89" t="str">
        <v>Seguridad Electrica (Personal Autorizado)</v>
      </c>
      <c r="C77" s="90" t="str">
        <v/>
      </c>
      <c r="D77" s="89" t="str">
        <v>Periódica</v>
      </c>
      <c r="E77" s="89">
        <v>1095</v>
      </c>
      <c r="F77" s="89">
        <v>4</v>
      </c>
      <c r="G77" s="89" t="str">
        <f ca="1"/>
        <v>SIN FECHA</v>
      </c>
    </row>
    <row r="78" spans="1:7" x14ac:dyDescent="0.3">
      <c r="A78" s="89" t="str">
        <v>ALVARADO, JOSE RAMON</v>
      </c>
      <c r="B78" s="89" t="str">
        <v>Camiones Industriales Motorizados (PIT) (Todos)</v>
      </c>
      <c r="C78" s="90" t="str">
        <v/>
      </c>
      <c r="D78" s="89" t="str">
        <v>Periódica</v>
      </c>
      <c r="E78" s="89">
        <v>365</v>
      </c>
      <c r="F78" s="89">
        <v>1</v>
      </c>
      <c r="G78" s="89" t="str">
        <f ca="1"/>
        <v>SIN FECHA</v>
      </c>
    </row>
    <row r="79" spans="1:7" x14ac:dyDescent="0.3">
      <c r="A79" s="89" t="str">
        <v>ALVARADO, JOSE RAMON</v>
      </c>
      <c r="B79" s="89" t="str">
        <v>Camiones Industriales Motorizados (PIT) (Op. Montacargas)</v>
      </c>
      <c r="C79" s="90" t="str">
        <v/>
      </c>
      <c r="D79" s="89" t="str">
        <v>Periódica</v>
      </c>
      <c r="E79" s="89">
        <v>365</v>
      </c>
      <c r="F79" s="89">
        <v>8</v>
      </c>
      <c r="G79" s="89" t="str">
        <f ca="1"/>
        <v>SIN FECHA</v>
      </c>
    </row>
    <row r="80" spans="1:7" x14ac:dyDescent="0.3">
      <c r="A80" s="89" t="str">
        <v>ALVARADO, JOSE RAMON</v>
      </c>
      <c r="B80" s="89" t="str">
        <v>Control de Energias Peligrosas (LOTO) (Todos)</v>
      </c>
      <c r="C80" s="90">
        <v>45838</v>
      </c>
      <c r="D80" s="89" t="str">
        <v>Evento</v>
      </c>
      <c r="E80" s="89">
        <v>0</v>
      </c>
      <c r="F80" s="89">
        <v>1</v>
      </c>
      <c r="G80" s="89" t="str">
        <f ca="1"/>
        <v>VIGENTE</v>
      </c>
    </row>
    <row r="81" spans="1:7" x14ac:dyDescent="0.3">
      <c r="A81" s="89" t="str">
        <v>ALVARADO, JOSE RAMON</v>
      </c>
      <c r="B81" s="89" t="str">
        <v>Control de Energias Peligrosas (LOTO) (Empleados Autorizados)</v>
      </c>
      <c r="C81" s="90">
        <v>46162</v>
      </c>
      <c r="D81" s="89" t="str">
        <v>Periódica</v>
      </c>
      <c r="E81" s="89">
        <v>365</v>
      </c>
      <c r="F81" s="89">
        <v>2</v>
      </c>
      <c r="G81" s="89" t="str">
        <f ca="1"/>
        <v>VIGENTE</v>
      </c>
    </row>
    <row r="82" spans="1:7" x14ac:dyDescent="0.3">
      <c r="A82" s="89" t="str">
        <v>ALVARADO, JOSE RAMON</v>
      </c>
      <c r="B82" s="89" t="str">
        <v>Seguridad aplicada al Pozo &amp; Yacimiento</v>
      </c>
      <c r="C82" s="90" t="str">
        <v/>
      </c>
      <c r="D82" s="89" t="str">
        <v>Periódica</v>
      </c>
      <c r="E82" s="89">
        <v>365</v>
      </c>
      <c r="F82" s="89">
        <v>1</v>
      </c>
      <c r="G82" s="89" t="str">
        <f ca="1"/>
        <v>SIN FECHA</v>
      </c>
    </row>
    <row r="83" spans="1:7" x14ac:dyDescent="0.3">
      <c r="A83" s="89" t="str">
        <v>ALVARADO, JOSE RAMON</v>
      </c>
      <c r="B83" s="89" t="str">
        <v>Las Reglas que Salvan Vidas</v>
      </c>
      <c r="C83" s="90" t="str">
        <v/>
      </c>
      <c r="D83" s="89" t="str">
        <v>Periódica</v>
      </c>
      <c r="E83" s="89">
        <v>365</v>
      </c>
      <c r="F83" s="89">
        <v>1</v>
      </c>
      <c r="G83" s="89" t="str">
        <f ca="1"/>
        <v>SIN FECHA</v>
      </c>
    </row>
    <row r="84" spans="1:7" x14ac:dyDescent="0.3">
      <c r="A84" s="89" t="str">
        <v>ALVARADO, JOSE RAMON</v>
      </c>
      <c r="B84" s="89" t="str">
        <v xml:space="preserve">Resguardo de Maquinas &amp; Equipos </v>
      </c>
      <c r="C84" s="90" t="str">
        <v/>
      </c>
      <c r="D84" s="89" t="str">
        <v>Periódica</v>
      </c>
      <c r="E84" s="89">
        <v>365</v>
      </c>
      <c r="F84" s="89">
        <v>1</v>
      </c>
      <c r="G84" s="89" t="str">
        <f ca="1"/>
        <v>SIN FECHA</v>
      </c>
    </row>
    <row r="85" spans="1:7" x14ac:dyDescent="0.3">
      <c r="A85" s="89" t="str">
        <v>ALVARADO, JOSE RAMON</v>
      </c>
      <c r="B85" s="89" t="str">
        <v>Conduccion y Gestion de Viajes (Todos)</v>
      </c>
      <c r="C85" s="90">
        <v>45770</v>
      </c>
      <c r="D85" s="89" t="str">
        <v>Periódica</v>
      </c>
      <c r="E85" s="89">
        <v>730</v>
      </c>
      <c r="F85" s="89">
        <v>1</v>
      </c>
      <c r="G85" s="89" t="str">
        <f ca="1"/>
        <v>VIGENTE</v>
      </c>
    </row>
    <row r="86" spans="1:7" x14ac:dyDescent="0.3">
      <c r="A86" s="89" t="str">
        <v>ALVARADO, JOSE RAMON</v>
      </c>
      <c r="B86" s="89" t="str">
        <v>Conduccion y Gestion de Viajes (Conductores)</v>
      </c>
      <c r="C86" s="90">
        <v>46743</v>
      </c>
      <c r="D86" s="89" t="str">
        <v>Periódica</v>
      </c>
      <c r="E86" s="89">
        <v>1095</v>
      </c>
      <c r="F86" s="89">
        <v>5</v>
      </c>
      <c r="G86" s="89" t="str">
        <f ca="1"/>
        <v>VIGENTE</v>
      </c>
    </row>
    <row r="87" spans="1:7" x14ac:dyDescent="0.3">
      <c r="A87" s="89" t="str">
        <v>ALVARADO, JOSE RAMON</v>
      </c>
      <c r="B87" s="89" t="str">
        <v>Patogenos Transmitidos por la Sangre</v>
      </c>
      <c r="C87" s="90" t="str">
        <v/>
      </c>
      <c r="D87" s="89" t="str">
        <v>Periódica</v>
      </c>
      <c r="E87" s="89">
        <v>365</v>
      </c>
      <c r="F87" s="89">
        <v>1</v>
      </c>
      <c r="G87" s="89" t="str">
        <f ca="1"/>
        <v>SIN FECHA</v>
      </c>
    </row>
    <row r="88" spans="1:7" x14ac:dyDescent="0.3">
      <c r="A88" s="89" t="str">
        <v>ALVARADO, JOSE RAMON</v>
      </c>
      <c r="B88" s="89" t="str">
        <v>Conservacion Auditiva</v>
      </c>
      <c r="C88" s="90" t="str">
        <v/>
      </c>
      <c r="D88" s="89" t="str">
        <v>Periódica</v>
      </c>
      <c r="E88" s="89">
        <v>365</v>
      </c>
      <c r="F88" s="89">
        <v>1</v>
      </c>
      <c r="G88" s="89" t="str">
        <f ca="1"/>
        <v>SIN FECHA</v>
      </c>
    </row>
    <row r="89" spans="1:7" x14ac:dyDescent="0.3">
      <c r="A89" s="89" t="str">
        <v>ALVARADO, JOSE RAMON</v>
      </c>
      <c r="B89" s="89" t="str">
        <v xml:space="preserve">Ergonomia //  / Levantamiento &amp; Seguridad en la Espalda </v>
      </c>
      <c r="C89" s="90">
        <v>46009</v>
      </c>
      <c r="D89" s="89" t="str">
        <v>Periódica</v>
      </c>
      <c r="E89" s="89">
        <v>365</v>
      </c>
      <c r="F89" s="89">
        <v>1</v>
      </c>
      <c r="G89" s="89" t="str">
        <f ca="1"/>
        <v>VIGENTE</v>
      </c>
    </row>
    <row r="90" spans="1:7" x14ac:dyDescent="0.3">
      <c r="A90" s="89" t="str">
        <v>ALVARADO, JOSE RAMON</v>
      </c>
      <c r="B90" s="89" t="str">
        <v>Superficies Elevadas (Todos)</v>
      </c>
      <c r="C90" s="90">
        <v>46014</v>
      </c>
      <c r="D90" s="89" t="str">
        <v>Periódica</v>
      </c>
      <c r="E90" s="89">
        <v>365</v>
      </c>
      <c r="F90" s="89">
        <v>1</v>
      </c>
      <c r="G90" s="89" t="str">
        <f ca="1"/>
        <v>VIGENTE</v>
      </c>
    </row>
    <row r="91" spans="1:7" x14ac:dyDescent="0.3">
      <c r="A91" s="89" t="str">
        <v>ALVARADO, JOSE RAMON</v>
      </c>
      <c r="B91" s="89" t="str">
        <v>Superficies Elevadas (Personal Habilitado)</v>
      </c>
      <c r="C91" s="90" t="str">
        <v/>
      </c>
      <c r="D91" s="89" t="str">
        <v>Periódica</v>
      </c>
      <c r="E91" s="89">
        <v>365</v>
      </c>
      <c r="F91" s="89">
        <v>8</v>
      </c>
      <c r="G91" s="89" t="str">
        <f ca="1"/>
        <v>SIN FECHA</v>
      </c>
    </row>
    <row r="92" spans="1:7" x14ac:dyDescent="0.3">
      <c r="A92" s="89" t="str">
        <v>ALVARADO, JOSE RAMON</v>
      </c>
      <c r="B92" s="89" t="str">
        <v>Seguridad Quimica (Todos)</v>
      </c>
      <c r="C92" s="90">
        <v>46014</v>
      </c>
      <c r="D92" s="89" t="str">
        <v>Periódica</v>
      </c>
      <c r="E92" s="89">
        <v>730</v>
      </c>
      <c r="F92" s="89">
        <v>1</v>
      </c>
      <c r="G92" s="89" t="str">
        <f ca="1"/>
        <v>VIGENTE</v>
      </c>
    </row>
    <row r="93" spans="1:7" x14ac:dyDescent="0.3">
      <c r="A93" s="89" t="str">
        <v>ALVARADO, JOSE RAMON</v>
      </c>
      <c r="B93" s="89" t="str">
        <v>Seguridad Quimica (Mantenimiento)</v>
      </c>
      <c r="C93" s="90" t="str">
        <v/>
      </c>
      <c r="D93" s="89" t="str">
        <v>Periódica</v>
      </c>
      <c r="E93" s="89">
        <v>365</v>
      </c>
      <c r="F93" s="89">
        <v>1</v>
      </c>
      <c r="G93" s="89" t="str">
        <f ca="1"/>
        <v>SIN FECHA</v>
      </c>
    </row>
    <row r="94" spans="1:7" x14ac:dyDescent="0.3">
      <c r="A94" s="89" t="str">
        <v>ALVARADO, JOSE RAMON</v>
      </c>
      <c r="B94" s="89" t="str">
        <v>Seguridad Quimica (Contratistas)</v>
      </c>
      <c r="C94" s="90" t="str">
        <v/>
      </c>
      <c r="D94" s="89" t="str">
        <v>Periódica</v>
      </c>
      <c r="E94" s="89">
        <v>365</v>
      </c>
      <c r="F94" s="89">
        <v>1</v>
      </c>
      <c r="G94" s="89" t="str">
        <f ca="1"/>
        <v>SIN FECHA</v>
      </c>
    </row>
    <row r="95" spans="1:7" x14ac:dyDescent="0.3">
      <c r="A95" s="89" t="str">
        <v>ALVARADO, JOSE RAMON</v>
      </c>
      <c r="B95" s="89" t="str">
        <v>Seguridad para Trabajos en Caliente</v>
      </c>
      <c r="C95" s="90">
        <v>46014</v>
      </c>
      <c r="D95" s="89" t="str">
        <v>Periódica</v>
      </c>
      <c r="E95" s="89">
        <v>365</v>
      </c>
      <c r="F95" s="89">
        <v>1</v>
      </c>
      <c r="G95" s="89" t="str">
        <f ca="1"/>
        <v>VIGENTE</v>
      </c>
    </row>
    <row r="96" spans="1:7" x14ac:dyDescent="0.3">
      <c r="A96" s="89" t="str">
        <v>ALVARADO, JOSE RAMON</v>
      </c>
      <c r="B96" s="89" t="str">
        <v>Seguridad con la Radiacion</v>
      </c>
      <c r="C96" s="90" t="str">
        <v/>
      </c>
      <c r="D96" s="89" t="str">
        <v>Periódica</v>
      </c>
      <c r="E96" s="89">
        <v>365</v>
      </c>
      <c r="F96" s="89">
        <v>2</v>
      </c>
      <c r="G96" s="89" t="str">
        <f ca="1"/>
        <v>SIN FECHA</v>
      </c>
    </row>
    <row r="97" spans="1:7" x14ac:dyDescent="0.3">
      <c r="A97" s="89" t="str">
        <v>ALVARADO, JOSE RAMON</v>
      </c>
      <c r="B97" s="89" t="str">
        <v>Equipo de Proteccion Personal (PPE)</v>
      </c>
      <c r="C97" s="90">
        <v>46014</v>
      </c>
      <c r="D97" s="89" t="str">
        <v>Periódica</v>
      </c>
      <c r="E97" s="89">
        <v>365</v>
      </c>
      <c r="F97" s="89">
        <v>1</v>
      </c>
      <c r="G97" s="89" t="str">
        <f ca="1"/>
        <v>VIGENTE</v>
      </c>
    </row>
    <row r="98" spans="1:7" x14ac:dyDescent="0.3">
      <c r="A98" s="89" t="str">
        <v>ALVARADO, JOSE RAMON</v>
      </c>
      <c r="B98" s="89" t="str">
        <v>Proteccion Respiratoria</v>
      </c>
      <c r="C98" s="90" t="str">
        <v/>
      </c>
      <c r="D98" s="89" t="str">
        <v>Periódica</v>
      </c>
      <c r="E98" s="89">
        <v>365</v>
      </c>
      <c r="F98" s="89">
        <v>1</v>
      </c>
      <c r="G98" s="89" t="str">
        <f ca="1"/>
        <v>SIN FECHA</v>
      </c>
    </row>
    <row r="99" spans="1:7" x14ac:dyDescent="0.3">
      <c r="A99" s="89" t="str">
        <v>ALVARADO, JOSE RAMON</v>
      </c>
      <c r="B99" s="89" t="str">
        <v xml:space="preserve">Seguridad con Escaleras </v>
      </c>
      <c r="C99" s="90">
        <v>46014</v>
      </c>
      <c r="D99" s="89" t="str">
        <v>Periódica</v>
      </c>
      <c r="E99" s="89">
        <v>365</v>
      </c>
      <c r="F99" s="89">
        <v>1</v>
      </c>
      <c r="G99" s="89" t="str">
        <f ca="1"/>
        <v>VIGENTE</v>
      </c>
    </row>
    <row r="100" spans="1:7" x14ac:dyDescent="0.3">
      <c r="A100" s="89" t="str">
        <v>ALVARADO, JOSE RAMON</v>
      </c>
      <c r="B100" s="89" t="str">
        <v>Seguridad con Escaleras // Estantes de Almacenamiento</v>
      </c>
      <c r="C100" s="90" t="str">
        <v/>
      </c>
      <c r="D100" s="89" t="str">
        <v>Periódica</v>
      </c>
      <c r="E100" s="89">
        <v>365</v>
      </c>
      <c r="F100" s="89">
        <v>1</v>
      </c>
      <c r="G100" s="89" t="str">
        <f ca="1"/>
        <v>SIN FECHA</v>
      </c>
    </row>
    <row r="101" spans="1:7" x14ac:dyDescent="0.3">
      <c r="A101" s="89" t="str">
        <v>ALVARADO, JOSE RAMON</v>
      </c>
      <c r="B101" s="89" t="str">
        <v>Responsabilidades del Supervisor</v>
      </c>
      <c r="C101" s="90" t="str">
        <v/>
      </c>
      <c r="D101" s="89" t="str">
        <v>Periódica</v>
      </c>
      <c r="E101" s="89">
        <v>365</v>
      </c>
      <c r="F101" s="89">
        <v>1</v>
      </c>
      <c r="G101" s="89" t="str">
        <f ca="1"/>
        <v>SIN FECHA</v>
      </c>
    </row>
    <row r="102" spans="1:7" x14ac:dyDescent="0.3">
      <c r="A102" s="89" t="str">
        <v>ALVARADO, JOSE RAMON</v>
      </c>
      <c r="B102" s="89" t="str">
        <v>Espacios Confinados (Todos)</v>
      </c>
      <c r="C102" s="90" t="str">
        <v/>
      </c>
      <c r="D102" s="89" t="str">
        <v>Periódica</v>
      </c>
      <c r="E102" s="89">
        <v>365</v>
      </c>
      <c r="F102" s="89">
        <v>1</v>
      </c>
      <c r="G102" s="89" t="str">
        <f ca="1"/>
        <v>SIN FECHA</v>
      </c>
    </row>
    <row r="103" spans="1:7" x14ac:dyDescent="0.3">
      <c r="A103" s="89" t="str">
        <v>ALVARADO, JOSE RAMON</v>
      </c>
      <c r="B103" s="89" t="str">
        <v>HSMS.017 / Espacios Confinados (Entrantes)</v>
      </c>
      <c r="C103" s="90" t="str">
        <v/>
      </c>
      <c r="D103" s="89" t="str">
        <v>Evento</v>
      </c>
      <c r="E103" s="89">
        <v>0</v>
      </c>
      <c r="F103" s="89">
        <v>8</v>
      </c>
      <c r="G103" s="89" t="str">
        <f ca="1"/>
        <v>SIN FECHA</v>
      </c>
    </row>
    <row r="104" spans="1:7" x14ac:dyDescent="0.3">
      <c r="A104" s="89" t="str">
        <v>ALVARADO, JOSE RAMON</v>
      </c>
      <c r="B104" s="89" t="str">
        <v>Programa de Agua (Todos)</v>
      </c>
      <c r="C104" s="90" t="str">
        <v/>
      </c>
      <c r="D104" s="89" t="str">
        <v>Evento</v>
      </c>
      <c r="E104" s="89">
        <v>0</v>
      </c>
      <c r="F104" s="89">
        <v>1</v>
      </c>
      <c r="G104" s="89" t="str">
        <f ca="1"/>
        <v>SIN FECHA</v>
      </c>
    </row>
    <row r="105" spans="1:7" x14ac:dyDescent="0.3">
      <c r="A105" s="89" t="str">
        <v>ALVARADO, JOSE RAMON</v>
      </c>
      <c r="B105" s="89" t="str">
        <v>Programa de Agua (HSE)</v>
      </c>
      <c r="C105" s="90" t="str">
        <v/>
      </c>
      <c r="D105" s="89" t="str">
        <v>Evento</v>
      </c>
      <c r="E105" s="89">
        <v>0</v>
      </c>
      <c r="F105" s="89">
        <v>1</v>
      </c>
      <c r="G105" s="89" t="str">
        <f ca="1"/>
        <v>SIN FECHA</v>
      </c>
    </row>
    <row r="106" spans="1:7" x14ac:dyDescent="0.3">
      <c r="A106" s="89" t="str">
        <v>ALVARADO, JOSE RAMON</v>
      </c>
      <c r="B106" s="89" t="str">
        <v>HIV/SIDA y otras enfermedades de transmisión sexual (ETS)</v>
      </c>
      <c r="C106" s="90" t="str">
        <v/>
      </c>
      <c r="D106" s="89" t="str">
        <v>Periódica</v>
      </c>
      <c r="E106" s="89">
        <v>365</v>
      </c>
      <c r="F106" s="89">
        <v>1</v>
      </c>
      <c r="G106" s="89" t="str">
        <f ca="1"/>
        <v>SIN FECHA</v>
      </c>
    </row>
    <row r="107" spans="1:7" x14ac:dyDescent="0.3">
      <c r="A107" s="89" t="str">
        <v>ALVARADO, JOSE RAMON</v>
      </c>
      <c r="B107" s="89" t="str">
        <v>Drogas de abuso (concientización y prevención)</v>
      </c>
      <c r="C107" s="90" t="str">
        <v/>
      </c>
      <c r="D107" s="89" t="str">
        <v>Periódica</v>
      </c>
      <c r="E107" s="89">
        <v>365</v>
      </c>
      <c r="F107" s="89">
        <v>1</v>
      </c>
      <c r="G107" s="89" t="str">
        <f ca="1"/>
        <v>SIN FECHA</v>
      </c>
    </row>
    <row r="108" spans="1:7" x14ac:dyDescent="0.3">
      <c r="A108" s="89" t="str">
        <v>ALVARADO, JOSE RAMON</v>
      </c>
      <c r="B108" s="89" t="str">
        <v>Vida saludable (hábitos, autocuidado y bienestar)</v>
      </c>
      <c r="C108" s="90" t="str">
        <v/>
      </c>
      <c r="D108" s="89" t="str">
        <v>Periódica</v>
      </c>
      <c r="E108" s="89">
        <v>365</v>
      </c>
      <c r="F108" s="89">
        <v>1</v>
      </c>
      <c r="G108" s="89" t="str">
        <f ca="1"/>
        <v>SIN FECHA</v>
      </c>
    </row>
    <row r="109" spans="1:7" x14ac:dyDescent="0.3">
      <c r="A109" s="89" t="str">
        <v>ALVARADO, JOSE RAMON</v>
      </c>
      <c r="B109" s="89" t="str">
        <v>Primeros auxilios y Reanimación Cardio Pulmonar (RCP)</v>
      </c>
      <c r="C109" s="90" t="str">
        <v/>
      </c>
      <c r="D109" s="89" t="str">
        <v>Periódica</v>
      </c>
      <c r="E109" s="89">
        <v>365</v>
      </c>
      <c r="F109" s="89">
        <v>4</v>
      </c>
      <c r="G109" s="89" t="str">
        <f ca="1"/>
        <v>SIN FECHA</v>
      </c>
    </row>
    <row r="110" spans="1:7" x14ac:dyDescent="0.3">
      <c r="A110" s="89" t="str">
        <v>ALVARADO, JOSE RAMON</v>
      </c>
      <c r="B110" s="89" t="str">
        <v>Prevención cardiovascular (factores de riesgo y señales de alarma)</v>
      </c>
      <c r="C110" s="90" t="str">
        <v/>
      </c>
      <c r="D110" s="89" t="str">
        <v>Periódica</v>
      </c>
      <c r="E110" s="89">
        <v>365</v>
      </c>
      <c r="F110" s="89">
        <v>1</v>
      </c>
      <c r="G110" s="89" t="str">
        <f ca="1"/>
        <v>SIN FECHA</v>
      </c>
    </row>
    <row r="111" spans="1:7" x14ac:dyDescent="0.3">
      <c r="A111" s="89" t="str">
        <v>ALVARADO, JOSE RAMON</v>
      </c>
      <c r="B111" s="89" t="str">
        <v>Efectos del tabaco sobre la salud</v>
      </c>
      <c r="C111" s="90" t="str">
        <v/>
      </c>
      <c r="D111" s="89" t="str">
        <v>Periódica</v>
      </c>
      <c r="E111" s="89">
        <v>365</v>
      </c>
      <c r="F111" s="89">
        <v>1</v>
      </c>
      <c r="G111" s="89" t="str">
        <f ca="1"/>
        <v>SIN FECHA</v>
      </c>
    </row>
    <row r="112" spans="1:7" x14ac:dyDescent="0.3">
      <c r="A112" s="89" t="str">
        <v>ALVARADO, JOSE RAMON</v>
      </c>
      <c r="B112" s="89" t="str">
        <v>Cargadora (Op. Montacargas)</v>
      </c>
      <c r="C112" s="90" t="str">
        <v/>
      </c>
      <c r="D112" s="89" t="str">
        <v>Periódica</v>
      </c>
      <c r="E112" s="89">
        <v>365</v>
      </c>
      <c r="F112" s="89">
        <v>8</v>
      </c>
      <c r="G112" s="89" t="str">
        <f ca="1"/>
        <v>SIN FECHA</v>
      </c>
    </row>
    <row r="113" spans="1:7" x14ac:dyDescent="0.3">
      <c r="A113" s="89" t="str">
        <v>ALVARADO, JOSE RAMON</v>
      </c>
      <c r="B113" s="89">
        <v>0</v>
      </c>
      <c r="C113" s="90" t="str">
        <v/>
      </c>
      <c r="D113" s="89" t="str">
        <v/>
      </c>
      <c r="E113" s="89" t="str">
        <v/>
      </c>
      <c r="F113" s="89" t="str">
        <v/>
      </c>
      <c r="G113" s="89" t="str">
        <f ca="1"/>
        <v>SIN FECHA</v>
      </c>
    </row>
    <row r="114" spans="1:7" x14ac:dyDescent="0.3">
      <c r="A114" s="89" t="str">
        <v>ALVARADO, JOSE RAMON</v>
      </c>
      <c r="B114" s="89">
        <v>0</v>
      </c>
      <c r="C114" s="90" t="str">
        <v/>
      </c>
      <c r="D114" s="89" t="str">
        <v/>
      </c>
      <c r="E114" s="89" t="str">
        <v/>
      </c>
      <c r="F114" s="89" t="str">
        <v/>
      </c>
      <c r="G114" s="89" t="str">
        <f ca="1"/>
        <v>SIN FECHA</v>
      </c>
    </row>
    <row r="115" spans="1:7" x14ac:dyDescent="0.3">
      <c r="A115" s="89" t="str">
        <v>ALVARADO, JOSE RAMON</v>
      </c>
      <c r="B115" s="89">
        <v>0</v>
      </c>
      <c r="C115" s="90" t="str">
        <v/>
      </c>
      <c r="D115" s="89" t="str">
        <v/>
      </c>
      <c r="E115" s="89" t="str">
        <v/>
      </c>
      <c r="F115" s="89" t="str">
        <v/>
      </c>
      <c r="G115" s="89" t="str">
        <f ca="1"/>
        <v>SIN FECHA</v>
      </c>
    </row>
    <row r="116" spans="1:7" x14ac:dyDescent="0.3">
      <c r="A116" s="89" t="str">
        <v>ALVARADO, JOSE RAMON</v>
      </c>
      <c r="B116" s="89">
        <v>0</v>
      </c>
      <c r="C116" s="90" t="str">
        <v/>
      </c>
      <c r="D116" s="89" t="str">
        <v/>
      </c>
      <c r="E116" s="89" t="str">
        <v/>
      </c>
      <c r="F116" s="89" t="str">
        <v/>
      </c>
      <c r="G116" s="89" t="str">
        <f ca="1"/>
        <v>SIN FECHA</v>
      </c>
    </row>
    <row r="117" spans="1:7" x14ac:dyDescent="0.3">
      <c r="A117" s="89" t="str">
        <v>ALVARADO, JOSE RAMON</v>
      </c>
      <c r="B117" s="89">
        <v>0</v>
      </c>
      <c r="C117" s="90" t="str">
        <v/>
      </c>
      <c r="D117" s="89" t="str">
        <v/>
      </c>
      <c r="E117" s="89" t="str">
        <v/>
      </c>
      <c r="F117" s="89" t="str">
        <v/>
      </c>
      <c r="G117" s="89" t="str">
        <f ca="1"/>
        <v>SIN FECHA</v>
      </c>
    </row>
    <row r="118" spans="1:7" x14ac:dyDescent="0.3">
      <c r="A118" s="89" t="str">
        <v>ALVARADO, JOSE RAMON</v>
      </c>
      <c r="B118" s="89">
        <v>0</v>
      </c>
      <c r="C118" s="90" t="str">
        <v/>
      </c>
      <c r="D118" s="89" t="str">
        <v/>
      </c>
      <c r="E118" s="89" t="str">
        <v/>
      </c>
      <c r="F118" s="89" t="str">
        <v/>
      </c>
      <c r="G118" s="89" t="str">
        <f ca="1"/>
        <v>SIN FECHA</v>
      </c>
    </row>
    <row r="119" spans="1:7" x14ac:dyDescent="0.3">
      <c r="A119" s="89" t="str">
        <v>ALVARADO, JOSE RAMON</v>
      </c>
      <c r="B119" s="89">
        <v>0</v>
      </c>
      <c r="C119" s="90" t="str">
        <v/>
      </c>
      <c r="D119" s="89" t="str">
        <v/>
      </c>
      <c r="E119" s="89" t="str">
        <v/>
      </c>
      <c r="F119" s="89" t="str">
        <v/>
      </c>
      <c r="G119" s="89" t="str">
        <f ca="1"/>
        <v>SIN FECHA</v>
      </c>
    </row>
    <row r="120" spans="1:7" x14ac:dyDescent="0.3">
      <c r="A120" s="89" t="str">
        <v>ALVARADO, JOSE RAMON</v>
      </c>
      <c r="B120" s="89">
        <v>0</v>
      </c>
      <c r="C120" s="90" t="str">
        <v/>
      </c>
      <c r="D120" s="89" t="str">
        <v/>
      </c>
      <c r="E120" s="89" t="str">
        <v/>
      </c>
      <c r="F120" s="89" t="str">
        <v/>
      </c>
      <c r="G120" s="89" t="str">
        <f ca="1"/>
        <v>SIN FECHA</v>
      </c>
    </row>
    <row r="121" spans="1:7" x14ac:dyDescent="0.3">
      <c r="A121" s="89" t="str">
        <v>ALVARADO, JOSE RAMON</v>
      </c>
      <c r="B121" s="89">
        <v>0</v>
      </c>
      <c r="C121" s="90" t="str">
        <v/>
      </c>
      <c r="D121" s="89" t="str">
        <v/>
      </c>
      <c r="E121" s="89" t="str">
        <v/>
      </c>
      <c r="F121" s="89" t="str">
        <v/>
      </c>
      <c r="G121" s="89" t="str">
        <f ca="1"/>
        <v>SIN FECHA</v>
      </c>
    </row>
    <row r="122" spans="1:7" x14ac:dyDescent="0.3">
      <c r="A122" s="89" t="str">
        <v>CAPURRO, GERARDO DANIEL</v>
      </c>
      <c r="B122" s="89" t="str">
        <v>Programa de Aire</v>
      </c>
      <c r="C122" s="90" t="str">
        <v/>
      </c>
      <c r="D122" s="89" t="str">
        <v>Evento</v>
      </c>
      <c r="E122" s="89">
        <v>0</v>
      </c>
      <c r="F122" s="89">
        <v>1</v>
      </c>
      <c r="G122" s="89" t="str">
        <f ca="1"/>
        <v>SIN FECHA</v>
      </c>
    </row>
    <row r="123" spans="1:7" x14ac:dyDescent="0.3">
      <c r="A123" s="89" t="str">
        <v>CAPURRO, GERARDO DANIEL</v>
      </c>
      <c r="B123" s="89" t="str">
        <v>Conciencia Ambiental</v>
      </c>
      <c r="C123" s="90" t="str">
        <v/>
      </c>
      <c r="D123" s="89" t="str">
        <v>Periódica</v>
      </c>
      <c r="E123" s="89">
        <v>365</v>
      </c>
      <c r="F123" s="89">
        <v>1</v>
      </c>
      <c r="G123" s="89" t="str">
        <f ca="1"/>
        <v>SIN FECHA</v>
      </c>
    </row>
    <row r="124" spans="1:7" x14ac:dyDescent="0.3">
      <c r="A124" s="89" t="str">
        <v>CAPURRO, GERARDO DANIEL</v>
      </c>
      <c r="B124" s="89" t="str">
        <v xml:space="preserve">Control de Documentos e Informacion de HSE </v>
      </c>
      <c r="C124" s="90" t="str">
        <v/>
      </c>
      <c r="D124" s="89" t="str">
        <v>Evento</v>
      </c>
      <c r="E124" s="89">
        <v>0</v>
      </c>
      <c r="F124" s="89">
        <v>1</v>
      </c>
      <c r="G124" s="89" t="str">
        <f ca="1"/>
        <v>SIN FECHA</v>
      </c>
    </row>
    <row r="125" spans="1:7" x14ac:dyDescent="0.3">
      <c r="A125" s="89" t="str">
        <v>CAPURRO, GERARDO DANIEL</v>
      </c>
      <c r="B125" s="89" t="str">
        <v xml:space="preserve"> Acciones Correctivas y Preventivas (CAPA)</v>
      </c>
      <c r="C125" s="90" t="str">
        <v/>
      </c>
      <c r="D125" s="89" t="str">
        <v>Evento</v>
      </c>
      <c r="E125" s="89">
        <v>0</v>
      </c>
      <c r="F125" s="89">
        <v>1</v>
      </c>
      <c r="G125" s="89" t="str">
        <f ca="1"/>
        <v>SIN FECHA</v>
      </c>
    </row>
    <row r="126" spans="1:7" x14ac:dyDescent="0.3">
      <c r="A126" s="89" t="str">
        <v>CAPURRO, GERARDO DANIEL</v>
      </c>
      <c r="B126" s="89" t="str">
        <v>Seguridad Basada en el Comportamiento (Observation Program) // HSMS.043 / Autoridad de Detener el Trabajo</v>
      </c>
      <c r="C126" s="90">
        <v>45827</v>
      </c>
      <c r="D126" s="89" t="str">
        <v>Periódica</v>
      </c>
      <c r="E126" s="89">
        <v>365</v>
      </c>
      <c r="F126" s="89">
        <v>1</v>
      </c>
      <c r="G126" s="89" t="str">
        <f ca="1"/>
        <v>VENCIDA</v>
      </c>
    </row>
    <row r="127" spans="1:7" x14ac:dyDescent="0.3">
      <c r="A127" s="89" t="str">
        <v>CAPURRO, GERARDO DANIEL</v>
      </c>
      <c r="B127" s="89" t="str">
        <v>Identificacion de Peligros y Evaluacion de Riesgos</v>
      </c>
      <c r="C127" s="90">
        <v>46009</v>
      </c>
      <c r="D127" s="89" t="str">
        <v>Evento</v>
      </c>
      <c r="E127" s="89">
        <v>0</v>
      </c>
      <c r="F127" s="89">
        <v>1</v>
      </c>
      <c r="G127" s="89" t="str">
        <f ca="1"/>
        <v>VIGENTE</v>
      </c>
    </row>
    <row r="128" spans="1:7" x14ac:dyDescent="0.3">
      <c r="A128" s="89" t="str">
        <v>CAPURRO, GERARDO DANIEL</v>
      </c>
      <c r="B128" s="89" t="str">
        <v xml:space="preserve"> Plan de Respuesta ante Eemergencias / HSMS.010 /Primeros Axulios &amp; RCP/DEA / HSMSWT-002 / Patogenos Trasnmitidos por la Sangre</v>
      </c>
      <c r="C128" s="90" t="str">
        <v/>
      </c>
      <c r="D128" s="89" t="str">
        <v>Periódica</v>
      </c>
      <c r="E128" s="89">
        <v>365</v>
      </c>
      <c r="F128" s="89">
        <v>1</v>
      </c>
      <c r="G128" s="89" t="str">
        <f ca="1"/>
        <v>SIN FECHA</v>
      </c>
    </row>
    <row r="129" spans="1:7" x14ac:dyDescent="0.3">
      <c r="A129" s="89" t="str">
        <v>CAPURRO, GERARDO DANIEL</v>
      </c>
      <c r="B129" s="89" t="str">
        <v>Reporte y Gestion de Incidentes HSE (Todos)</v>
      </c>
      <c r="C129" s="90">
        <v>46009</v>
      </c>
      <c r="D129" s="89" t="str">
        <v>Periódica</v>
      </c>
      <c r="E129" s="89">
        <v>365</v>
      </c>
      <c r="F129" s="89">
        <v>1</v>
      </c>
      <c r="G129" s="89" t="str">
        <f ca="1"/>
        <v>VIGENTE</v>
      </c>
    </row>
    <row r="130" spans="1:7" x14ac:dyDescent="0.3">
      <c r="A130" s="89" t="str">
        <v>CAPURRO, GERARDO DANIEL</v>
      </c>
      <c r="B130" s="89" t="str">
        <v>Reporte, Gestion e Investigacion de Incidentes HSE (supervisores / investigadores (rol))</v>
      </c>
      <c r="C130" s="90" t="str">
        <v/>
      </c>
      <c r="D130" s="89" t="str">
        <v>Periódica</v>
      </c>
      <c r="E130" s="89">
        <v>1095</v>
      </c>
      <c r="F130" s="89">
        <v>2</v>
      </c>
      <c r="G130" s="89" t="str">
        <f ca="1"/>
        <v>SIN FECHA</v>
      </c>
    </row>
    <row r="131" spans="1:7" x14ac:dyDescent="0.3">
      <c r="A131" s="89" t="str">
        <v>CAPURRO, GERARDO DANIEL</v>
      </c>
      <c r="B131" s="89" t="str">
        <v>Gruas y Equipos de Izaje (Todos)</v>
      </c>
      <c r="C131" s="90" t="str">
        <v/>
      </c>
      <c r="D131" s="89" t="str">
        <v>Periódica</v>
      </c>
      <c r="E131" s="89">
        <v>365</v>
      </c>
      <c r="F131" s="89">
        <v>2</v>
      </c>
      <c r="G131" s="89" t="str">
        <f ca="1"/>
        <v>SIN FECHA</v>
      </c>
    </row>
    <row r="132" spans="1:7" x14ac:dyDescent="0.3">
      <c r="A132" s="89" t="str">
        <v>CAPURRO, GERARDO DANIEL</v>
      </c>
      <c r="B132" s="89" t="str">
        <v>HSMS.007 / Gruas y Equipos de Izaje (Operadores)</v>
      </c>
      <c r="C132" s="90">
        <v>46140</v>
      </c>
      <c r="D132" s="89" t="str">
        <v>Periódica</v>
      </c>
      <c r="E132" s="89">
        <v>365</v>
      </c>
      <c r="F132" s="89">
        <v>8</v>
      </c>
      <c r="G132" s="89" t="str">
        <f ca="1"/>
        <v>VIGENTE</v>
      </c>
    </row>
    <row r="133" spans="1:7" x14ac:dyDescent="0.3">
      <c r="A133" s="89" t="str">
        <v>CAPURRO, GERARDO DANIEL</v>
      </c>
      <c r="B133" s="89" t="str">
        <v>Proteccion Contra Incendios (Todos)</v>
      </c>
      <c r="C133" s="90">
        <v>45835</v>
      </c>
      <c r="D133" s="89" t="str">
        <v>Periódica</v>
      </c>
      <c r="E133" s="89">
        <v>365</v>
      </c>
      <c r="F133" s="89">
        <v>1</v>
      </c>
      <c r="G133" s="89" t="str">
        <f ca="1"/>
        <v>VENCIDA</v>
      </c>
    </row>
    <row r="134" spans="1:7" x14ac:dyDescent="0.3">
      <c r="A134" s="89" t="str">
        <v>CAPURRO, GERARDO DANIEL</v>
      </c>
      <c r="B134" s="89" t="str">
        <v>Proteccion Contra Incendios (Brigadistas)</v>
      </c>
      <c r="C134" s="90" t="str">
        <v/>
      </c>
      <c r="D134" s="89" t="str">
        <v>Periódica</v>
      </c>
      <c r="E134" s="89">
        <v>365</v>
      </c>
      <c r="F134" s="89">
        <v>2</v>
      </c>
      <c r="G134" s="89" t="str">
        <f ca="1"/>
        <v>SIN FECHA</v>
      </c>
    </row>
    <row r="135" spans="1:7" x14ac:dyDescent="0.3">
      <c r="A135" s="89" t="str">
        <v>CAPURRO, GERARDO DANIEL</v>
      </c>
      <c r="B135" s="89" t="str">
        <v>Primeros Auxilios (Brigadistas)</v>
      </c>
      <c r="C135" s="90" t="str">
        <v/>
      </c>
      <c r="D135" s="89" t="str">
        <v>Periódica</v>
      </c>
      <c r="E135" s="89">
        <v>365</v>
      </c>
      <c r="F135" s="89">
        <v>2</v>
      </c>
      <c r="G135" s="89" t="str">
        <f ca="1"/>
        <v>SIN FECHA</v>
      </c>
    </row>
    <row r="136" spans="1:7" x14ac:dyDescent="0.3">
      <c r="A136" s="89" t="str">
        <v>CAPURRO, GERARDO DANIEL</v>
      </c>
      <c r="B136" s="89" t="str">
        <v>Seguridad Electrica (Todos)</v>
      </c>
      <c r="C136" s="90" t="str">
        <v/>
      </c>
      <c r="D136" s="89" t="str">
        <v>Periódica</v>
      </c>
      <c r="E136" s="89">
        <v>365</v>
      </c>
      <c r="F136" s="89">
        <v>1</v>
      </c>
      <c r="G136" s="89" t="str">
        <f ca="1"/>
        <v>SIN FECHA</v>
      </c>
    </row>
    <row r="137" spans="1:7" x14ac:dyDescent="0.3">
      <c r="A137" s="89" t="str">
        <v>CAPURRO, GERARDO DANIEL</v>
      </c>
      <c r="B137" s="89" t="str">
        <v>Seguridad Electrica (Personal Autorizado)</v>
      </c>
      <c r="C137" s="90" t="str">
        <v/>
      </c>
      <c r="D137" s="89" t="str">
        <v>Periódica</v>
      </c>
      <c r="E137" s="89">
        <v>1095</v>
      </c>
      <c r="F137" s="89">
        <v>4</v>
      </c>
      <c r="G137" s="89" t="str">
        <f ca="1"/>
        <v>SIN FECHA</v>
      </c>
    </row>
    <row r="138" spans="1:7" x14ac:dyDescent="0.3">
      <c r="A138" s="89" t="str">
        <v>CAPURRO, GERARDO DANIEL</v>
      </c>
      <c r="B138" s="89" t="str">
        <v>Camiones Industriales Motorizados (PIT) (Todos)</v>
      </c>
      <c r="C138" s="90" t="str">
        <v/>
      </c>
      <c r="D138" s="89" t="str">
        <v>Periódica</v>
      </c>
      <c r="E138" s="89">
        <v>365</v>
      </c>
      <c r="F138" s="89">
        <v>1</v>
      </c>
      <c r="G138" s="89" t="str">
        <f ca="1"/>
        <v>SIN FECHA</v>
      </c>
    </row>
    <row r="139" spans="1:7" x14ac:dyDescent="0.3">
      <c r="A139" s="89" t="str">
        <v>CAPURRO, GERARDO DANIEL</v>
      </c>
      <c r="B139" s="89" t="str">
        <v>Camiones Industriales Motorizados (PIT) (Op. Montacargas)</v>
      </c>
      <c r="C139" s="90" t="str">
        <v/>
      </c>
      <c r="D139" s="89" t="str">
        <v>Periódica</v>
      </c>
      <c r="E139" s="89">
        <v>365</v>
      </c>
      <c r="F139" s="89">
        <v>8</v>
      </c>
      <c r="G139" s="89" t="str">
        <f ca="1"/>
        <v>SIN FECHA</v>
      </c>
    </row>
    <row r="140" spans="1:7" x14ac:dyDescent="0.3">
      <c r="A140" s="89" t="str">
        <v>CAPURRO, GERARDO DANIEL</v>
      </c>
      <c r="B140" s="89" t="str">
        <v>Control de Energias Peligrosas (LOTO) (Todos)</v>
      </c>
      <c r="C140" s="90">
        <v>45827</v>
      </c>
      <c r="D140" s="89" t="str">
        <v>Evento</v>
      </c>
      <c r="E140" s="89">
        <v>0</v>
      </c>
      <c r="F140" s="89">
        <v>1</v>
      </c>
      <c r="G140" s="89" t="str">
        <f ca="1"/>
        <v>VIGENTE</v>
      </c>
    </row>
    <row r="141" spans="1:7" x14ac:dyDescent="0.3">
      <c r="A141" s="89" t="str">
        <v>CAPURRO, GERARDO DANIEL</v>
      </c>
      <c r="B141" s="89" t="str">
        <v>Control de Energias Peligrosas (LOTO) (Empleados Autorizados)</v>
      </c>
      <c r="C141" s="90">
        <v>46164</v>
      </c>
      <c r="D141" s="89" t="str">
        <v>Periódica</v>
      </c>
      <c r="E141" s="89">
        <v>365</v>
      </c>
      <c r="F141" s="89">
        <v>2</v>
      </c>
      <c r="G141" s="89" t="str">
        <f ca="1"/>
        <v>VIGENTE</v>
      </c>
    </row>
    <row r="142" spans="1:7" x14ac:dyDescent="0.3">
      <c r="A142" s="89" t="str">
        <v>CAPURRO, GERARDO DANIEL</v>
      </c>
      <c r="B142" s="89" t="str">
        <v>Seguridad aplicada al Pozo &amp; Yacimiento</v>
      </c>
      <c r="C142" s="90" t="str">
        <v/>
      </c>
      <c r="D142" s="89" t="str">
        <v>Periódica</v>
      </c>
      <c r="E142" s="89">
        <v>365</v>
      </c>
      <c r="F142" s="89">
        <v>1</v>
      </c>
      <c r="G142" s="89" t="str">
        <f ca="1"/>
        <v>SIN FECHA</v>
      </c>
    </row>
    <row r="143" spans="1:7" x14ac:dyDescent="0.3">
      <c r="A143" s="89" t="str">
        <v>CAPURRO, GERARDO DANIEL</v>
      </c>
      <c r="B143" s="89" t="str">
        <v>Las Reglas que Salvan Vidas</v>
      </c>
      <c r="C143" s="90" t="str">
        <v/>
      </c>
      <c r="D143" s="89" t="str">
        <v>Periódica</v>
      </c>
      <c r="E143" s="89">
        <v>365</v>
      </c>
      <c r="F143" s="89">
        <v>1</v>
      </c>
      <c r="G143" s="89" t="str">
        <f ca="1"/>
        <v>SIN FECHA</v>
      </c>
    </row>
    <row r="144" spans="1:7" x14ac:dyDescent="0.3">
      <c r="A144" s="89" t="str">
        <v>CAPURRO, GERARDO DANIEL</v>
      </c>
      <c r="B144" s="89" t="str">
        <v xml:space="preserve">Resguardo de Maquinas &amp; Equipos </v>
      </c>
      <c r="C144" s="90" t="str">
        <v/>
      </c>
      <c r="D144" s="89" t="str">
        <v>Periódica</v>
      </c>
      <c r="E144" s="89">
        <v>365</v>
      </c>
      <c r="F144" s="89">
        <v>1</v>
      </c>
      <c r="G144" s="89" t="str">
        <f ca="1"/>
        <v>SIN FECHA</v>
      </c>
    </row>
    <row r="145" spans="1:7" x14ac:dyDescent="0.3">
      <c r="A145" s="89" t="str">
        <v>CAPURRO, GERARDO DANIEL</v>
      </c>
      <c r="B145" s="89" t="str">
        <v>Conduccion y Gestion de Viajes (Todos)</v>
      </c>
      <c r="C145" s="90">
        <v>45827</v>
      </c>
      <c r="D145" s="89" t="str">
        <v>Periódica</v>
      </c>
      <c r="E145" s="89">
        <v>730</v>
      </c>
      <c r="F145" s="89">
        <v>1</v>
      </c>
      <c r="G145" s="89" t="str">
        <f ca="1"/>
        <v>VIGENTE</v>
      </c>
    </row>
    <row r="146" spans="1:7" x14ac:dyDescent="0.3">
      <c r="A146" s="89" t="str">
        <v>CAPURRO, GERARDO DANIEL</v>
      </c>
      <c r="B146" s="89" t="str">
        <v>Conduccion y Gestion de Viajes (Conductores)</v>
      </c>
      <c r="C146" s="90">
        <v>47056</v>
      </c>
      <c r="D146" s="89" t="str">
        <v>Periódica</v>
      </c>
      <c r="E146" s="89">
        <v>1095</v>
      </c>
      <c r="F146" s="89">
        <v>5</v>
      </c>
      <c r="G146" s="89" t="str">
        <f ca="1"/>
        <v>VIGENTE</v>
      </c>
    </row>
    <row r="147" spans="1:7" x14ac:dyDescent="0.3">
      <c r="A147" s="89" t="str">
        <v>CAPURRO, GERARDO DANIEL</v>
      </c>
      <c r="B147" s="89" t="str">
        <v>Patogenos Transmitidos por la Sangre</v>
      </c>
      <c r="C147" s="90" t="str">
        <v/>
      </c>
      <c r="D147" s="89" t="str">
        <v>Periódica</v>
      </c>
      <c r="E147" s="89">
        <v>365</v>
      </c>
      <c r="F147" s="89">
        <v>1</v>
      </c>
      <c r="G147" s="89" t="str">
        <f ca="1"/>
        <v>SIN FECHA</v>
      </c>
    </row>
    <row r="148" spans="1:7" x14ac:dyDescent="0.3">
      <c r="A148" s="89" t="str">
        <v>CAPURRO, GERARDO DANIEL</v>
      </c>
      <c r="B148" s="89" t="str">
        <v>Conservacion Auditiva</v>
      </c>
      <c r="C148" s="90" t="str">
        <v/>
      </c>
      <c r="D148" s="89" t="str">
        <v>Periódica</v>
      </c>
      <c r="E148" s="89">
        <v>365</v>
      </c>
      <c r="F148" s="89">
        <v>1</v>
      </c>
      <c r="G148" s="89" t="str">
        <f ca="1"/>
        <v>SIN FECHA</v>
      </c>
    </row>
    <row r="149" spans="1:7" x14ac:dyDescent="0.3">
      <c r="A149" s="89" t="str">
        <v>CAPURRO, GERARDO DANIEL</v>
      </c>
      <c r="B149" s="89" t="str">
        <v xml:space="preserve">Ergonomia //  / Levantamiento &amp; Seguridad en la Espalda </v>
      </c>
      <c r="C149" s="90">
        <v>46009</v>
      </c>
      <c r="D149" s="89" t="str">
        <v>Periódica</v>
      </c>
      <c r="E149" s="89">
        <v>365</v>
      </c>
      <c r="F149" s="89">
        <v>1</v>
      </c>
      <c r="G149" s="89" t="str">
        <f ca="1"/>
        <v>VIGENTE</v>
      </c>
    </row>
    <row r="150" spans="1:7" x14ac:dyDescent="0.3">
      <c r="A150" s="89" t="str">
        <v>CAPURRO, GERARDO DANIEL</v>
      </c>
      <c r="B150" s="89" t="str">
        <v>Superficies Elevadas (Todos)</v>
      </c>
      <c r="C150" s="90" t="str">
        <v/>
      </c>
      <c r="D150" s="89" t="str">
        <v>Periódica</v>
      </c>
      <c r="E150" s="89">
        <v>365</v>
      </c>
      <c r="F150" s="89">
        <v>1</v>
      </c>
      <c r="G150" s="89" t="str">
        <f ca="1"/>
        <v>SIN FECHA</v>
      </c>
    </row>
    <row r="151" spans="1:7" x14ac:dyDescent="0.3">
      <c r="A151" s="89" t="str">
        <v>CAPURRO, GERARDO DANIEL</v>
      </c>
      <c r="B151" s="89" t="str">
        <v>Superficies Elevadas (Personal Habilitado)</v>
      </c>
      <c r="C151" s="90" t="str">
        <v/>
      </c>
      <c r="D151" s="89" t="str">
        <v>Periódica</v>
      </c>
      <c r="E151" s="89">
        <v>365</v>
      </c>
      <c r="F151" s="89">
        <v>8</v>
      </c>
      <c r="G151" s="89" t="str">
        <f ca="1"/>
        <v>SIN FECHA</v>
      </c>
    </row>
    <row r="152" spans="1:7" x14ac:dyDescent="0.3">
      <c r="A152" s="89" t="str">
        <v>CAPURRO, GERARDO DANIEL</v>
      </c>
      <c r="B152" s="89" t="str">
        <v>Seguridad Quimica (Todos)</v>
      </c>
      <c r="C152" s="90" t="str">
        <v/>
      </c>
      <c r="D152" s="89" t="str">
        <v>Periódica</v>
      </c>
      <c r="E152" s="89">
        <v>730</v>
      </c>
      <c r="F152" s="89">
        <v>1</v>
      </c>
      <c r="G152" s="89" t="str">
        <f ca="1"/>
        <v>SIN FECHA</v>
      </c>
    </row>
    <row r="153" spans="1:7" x14ac:dyDescent="0.3">
      <c r="A153" s="89" t="str">
        <v>CAPURRO, GERARDO DANIEL</v>
      </c>
      <c r="B153" s="89" t="str">
        <v>Seguridad Quimica (Mantenimiento)</v>
      </c>
      <c r="C153" s="90" t="str">
        <v/>
      </c>
      <c r="D153" s="89" t="str">
        <v>Periódica</v>
      </c>
      <c r="E153" s="89">
        <v>365</v>
      </c>
      <c r="F153" s="89">
        <v>1</v>
      </c>
      <c r="G153" s="89" t="str">
        <f ca="1"/>
        <v>SIN FECHA</v>
      </c>
    </row>
    <row r="154" spans="1:7" x14ac:dyDescent="0.3">
      <c r="A154" s="89" t="str">
        <v>CAPURRO, GERARDO DANIEL</v>
      </c>
      <c r="B154" s="89" t="str">
        <v>Seguridad Quimica (Contratistas)</v>
      </c>
      <c r="C154" s="90" t="str">
        <v/>
      </c>
      <c r="D154" s="89" t="str">
        <v>Periódica</v>
      </c>
      <c r="E154" s="89">
        <v>365</v>
      </c>
      <c r="F154" s="89">
        <v>1</v>
      </c>
      <c r="G154" s="89" t="str">
        <f ca="1"/>
        <v>SIN FECHA</v>
      </c>
    </row>
    <row r="155" spans="1:7" x14ac:dyDescent="0.3">
      <c r="A155" s="89" t="str">
        <v>CAPURRO, GERARDO DANIEL</v>
      </c>
      <c r="B155" s="89" t="str">
        <v>Seguridad para Trabajos en Caliente</v>
      </c>
      <c r="C155" s="90">
        <v>45835</v>
      </c>
      <c r="D155" s="89" t="str">
        <v>Periódica</v>
      </c>
      <c r="E155" s="89">
        <v>365</v>
      </c>
      <c r="F155" s="89">
        <v>1</v>
      </c>
      <c r="G155" s="89" t="str">
        <f ca="1"/>
        <v>VENCIDA</v>
      </c>
    </row>
    <row r="156" spans="1:7" x14ac:dyDescent="0.3">
      <c r="A156" s="89" t="str">
        <v>CAPURRO, GERARDO DANIEL</v>
      </c>
      <c r="B156" s="89" t="str">
        <v>Seguridad con la Radiacion</v>
      </c>
      <c r="C156" s="90" t="str">
        <v/>
      </c>
      <c r="D156" s="89" t="str">
        <v>Periódica</v>
      </c>
      <c r="E156" s="89">
        <v>365</v>
      </c>
      <c r="F156" s="89">
        <v>2</v>
      </c>
      <c r="G156" s="89" t="str">
        <f ca="1"/>
        <v>SIN FECHA</v>
      </c>
    </row>
    <row r="157" spans="1:7" x14ac:dyDescent="0.3">
      <c r="A157" s="89" t="str">
        <v>CAPURRO, GERARDO DANIEL</v>
      </c>
      <c r="B157" s="89" t="str">
        <v>Equipo de Proteccion Personal (PPE)</v>
      </c>
      <c r="C157" s="90" t="str">
        <v/>
      </c>
      <c r="D157" s="89" t="str">
        <v>Periódica</v>
      </c>
      <c r="E157" s="89">
        <v>365</v>
      </c>
      <c r="F157" s="89">
        <v>1</v>
      </c>
      <c r="G157" s="89" t="str">
        <f ca="1"/>
        <v>SIN FECHA</v>
      </c>
    </row>
    <row r="158" spans="1:7" x14ac:dyDescent="0.3">
      <c r="A158" s="89" t="str">
        <v>CAPURRO, GERARDO DANIEL</v>
      </c>
      <c r="B158" s="89" t="str">
        <v>Proteccion Respiratoria</v>
      </c>
      <c r="C158" s="90" t="str">
        <v/>
      </c>
      <c r="D158" s="89" t="str">
        <v>Periódica</v>
      </c>
      <c r="E158" s="89">
        <v>365</v>
      </c>
      <c r="F158" s="89">
        <v>1</v>
      </c>
      <c r="G158" s="89" t="str">
        <f ca="1"/>
        <v>SIN FECHA</v>
      </c>
    </row>
    <row r="159" spans="1:7" x14ac:dyDescent="0.3">
      <c r="A159" s="89" t="str">
        <v>CAPURRO, GERARDO DANIEL</v>
      </c>
      <c r="B159" s="89" t="str">
        <v xml:space="preserve">Seguridad con Escaleras </v>
      </c>
      <c r="C159" s="90" t="str">
        <v/>
      </c>
      <c r="D159" s="89" t="str">
        <v>Periódica</v>
      </c>
      <c r="E159" s="89">
        <v>365</v>
      </c>
      <c r="F159" s="89">
        <v>1</v>
      </c>
      <c r="G159" s="89" t="str">
        <f ca="1"/>
        <v>SIN FECHA</v>
      </c>
    </row>
    <row r="160" spans="1:7" x14ac:dyDescent="0.3">
      <c r="A160" s="89" t="str">
        <v>CAPURRO, GERARDO DANIEL</v>
      </c>
      <c r="B160" s="89" t="str">
        <v>Seguridad con Escaleras // Estantes de Almacenamiento</v>
      </c>
      <c r="C160" s="90" t="str">
        <v/>
      </c>
      <c r="D160" s="89" t="str">
        <v>Periódica</v>
      </c>
      <c r="E160" s="89">
        <v>365</v>
      </c>
      <c r="F160" s="89">
        <v>1</v>
      </c>
      <c r="G160" s="89" t="str">
        <f ca="1"/>
        <v>SIN FECHA</v>
      </c>
    </row>
    <row r="161" spans="1:7" x14ac:dyDescent="0.3">
      <c r="A161" s="89" t="str">
        <v>CAPURRO, GERARDO DANIEL</v>
      </c>
      <c r="B161" s="89" t="str">
        <v>Responsabilidades del Supervisor</v>
      </c>
      <c r="C161" s="90" t="str">
        <v/>
      </c>
      <c r="D161" s="89" t="str">
        <v>Periódica</v>
      </c>
      <c r="E161" s="89">
        <v>365</v>
      </c>
      <c r="F161" s="89">
        <v>1</v>
      </c>
      <c r="G161" s="89" t="str">
        <f ca="1"/>
        <v>SIN FECHA</v>
      </c>
    </row>
    <row r="162" spans="1:7" x14ac:dyDescent="0.3">
      <c r="A162" s="89" t="str">
        <v>CAPURRO, GERARDO DANIEL</v>
      </c>
      <c r="B162" s="89" t="str">
        <v>Espacios Confinados (Todos)</v>
      </c>
      <c r="C162" s="90" t="str">
        <v/>
      </c>
      <c r="D162" s="89" t="str">
        <v>Periódica</v>
      </c>
      <c r="E162" s="89">
        <v>365</v>
      </c>
      <c r="F162" s="89">
        <v>1</v>
      </c>
      <c r="G162" s="89" t="str">
        <f ca="1"/>
        <v>SIN FECHA</v>
      </c>
    </row>
    <row r="163" spans="1:7" x14ac:dyDescent="0.3">
      <c r="A163" s="89" t="str">
        <v>CAPURRO, GERARDO DANIEL</v>
      </c>
      <c r="B163" s="89" t="str">
        <v>HSMS.017 / Espacios Confinados (Entrantes)</v>
      </c>
      <c r="C163" s="90" t="str">
        <v/>
      </c>
      <c r="D163" s="89" t="str">
        <v>Evento</v>
      </c>
      <c r="E163" s="89">
        <v>0</v>
      </c>
      <c r="F163" s="89">
        <v>8</v>
      </c>
      <c r="G163" s="89" t="str">
        <f ca="1"/>
        <v>SIN FECHA</v>
      </c>
    </row>
    <row r="164" spans="1:7" x14ac:dyDescent="0.3">
      <c r="A164" s="89" t="str">
        <v>CAPURRO, GERARDO DANIEL</v>
      </c>
      <c r="B164" s="89" t="str">
        <v>Programa de Agua (Todos)</v>
      </c>
      <c r="C164" s="90" t="str">
        <v/>
      </c>
      <c r="D164" s="89" t="str">
        <v>Evento</v>
      </c>
      <c r="E164" s="89">
        <v>0</v>
      </c>
      <c r="F164" s="89">
        <v>1</v>
      </c>
      <c r="G164" s="89" t="str">
        <f ca="1"/>
        <v>SIN FECHA</v>
      </c>
    </row>
    <row r="165" spans="1:7" x14ac:dyDescent="0.3">
      <c r="A165" s="89" t="str">
        <v>CAPURRO, GERARDO DANIEL</v>
      </c>
      <c r="B165" s="89" t="str">
        <v>Programa de Agua (HSE)</v>
      </c>
      <c r="C165" s="90" t="str">
        <v/>
      </c>
      <c r="D165" s="89" t="str">
        <v>Evento</v>
      </c>
      <c r="E165" s="89">
        <v>0</v>
      </c>
      <c r="F165" s="89">
        <v>1</v>
      </c>
      <c r="G165" s="89" t="str">
        <f ca="1"/>
        <v>SIN FECHA</v>
      </c>
    </row>
    <row r="166" spans="1:7" x14ac:dyDescent="0.3">
      <c r="A166" s="89" t="str">
        <v>CAPURRO, GERARDO DANIEL</v>
      </c>
      <c r="B166" s="89" t="str">
        <v>HIV/SIDA y otras enfermedades de transmisión sexual (ETS)</v>
      </c>
      <c r="C166" s="90" t="str">
        <v/>
      </c>
      <c r="D166" s="89" t="str">
        <v>Periódica</v>
      </c>
      <c r="E166" s="89">
        <v>365</v>
      </c>
      <c r="F166" s="89">
        <v>1</v>
      </c>
      <c r="G166" s="89" t="str">
        <f ca="1"/>
        <v>SIN FECHA</v>
      </c>
    </row>
    <row r="167" spans="1:7" x14ac:dyDescent="0.3">
      <c r="A167" s="89" t="str">
        <v>CAPURRO, GERARDO DANIEL</v>
      </c>
      <c r="B167" s="89" t="str">
        <v>Drogas de abuso (concientización y prevención)</v>
      </c>
      <c r="C167" s="90" t="str">
        <v/>
      </c>
      <c r="D167" s="89" t="str">
        <v>Periódica</v>
      </c>
      <c r="E167" s="89">
        <v>365</v>
      </c>
      <c r="F167" s="89">
        <v>1</v>
      </c>
      <c r="G167" s="89" t="str">
        <f ca="1"/>
        <v>SIN FECHA</v>
      </c>
    </row>
    <row r="168" spans="1:7" x14ac:dyDescent="0.3">
      <c r="A168" s="89" t="str">
        <v>CAPURRO, GERARDO DANIEL</v>
      </c>
      <c r="B168" s="89" t="str">
        <v>Vida saludable (hábitos, autocuidado y bienestar)</v>
      </c>
      <c r="C168" s="90" t="str">
        <v/>
      </c>
      <c r="D168" s="89" t="str">
        <v>Periódica</v>
      </c>
      <c r="E168" s="89">
        <v>365</v>
      </c>
      <c r="F168" s="89">
        <v>1</v>
      </c>
      <c r="G168" s="89" t="str">
        <f ca="1"/>
        <v>SIN FECHA</v>
      </c>
    </row>
    <row r="169" spans="1:7" x14ac:dyDescent="0.3">
      <c r="A169" s="89" t="str">
        <v>CAPURRO, GERARDO DANIEL</v>
      </c>
      <c r="B169" s="89" t="str">
        <v>Primeros auxilios y Reanimación Cardio Pulmonar (RCP)</v>
      </c>
      <c r="C169" s="90" t="str">
        <v/>
      </c>
      <c r="D169" s="89" t="str">
        <v>Periódica</v>
      </c>
      <c r="E169" s="89">
        <v>365</v>
      </c>
      <c r="F169" s="89">
        <v>4</v>
      </c>
      <c r="G169" s="89" t="str">
        <f ca="1"/>
        <v>SIN FECHA</v>
      </c>
    </row>
    <row r="170" spans="1:7" x14ac:dyDescent="0.3">
      <c r="A170" s="89" t="str">
        <v>CAPURRO, GERARDO DANIEL</v>
      </c>
      <c r="B170" s="89" t="str">
        <v>Prevención cardiovascular (factores de riesgo y señales de alarma)</v>
      </c>
      <c r="C170" s="90" t="str">
        <v/>
      </c>
      <c r="D170" s="89" t="str">
        <v>Periódica</v>
      </c>
      <c r="E170" s="89">
        <v>365</v>
      </c>
      <c r="F170" s="89">
        <v>1</v>
      </c>
      <c r="G170" s="89" t="str">
        <f ca="1"/>
        <v>SIN FECHA</v>
      </c>
    </row>
    <row r="171" spans="1:7" x14ac:dyDescent="0.3">
      <c r="A171" s="89" t="str">
        <v>CAPURRO, GERARDO DANIEL</v>
      </c>
      <c r="B171" s="89" t="str">
        <v>Efectos del tabaco sobre la salud</v>
      </c>
      <c r="C171" s="90" t="str">
        <v/>
      </c>
      <c r="D171" s="89" t="str">
        <v>Periódica</v>
      </c>
      <c r="E171" s="89">
        <v>365</v>
      </c>
      <c r="F171" s="89">
        <v>1</v>
      </c>
      <c r="G171" s="89" t="str">
        <f ca="1"/>
        <v>SIN FECHA</v>
      </c>
    </row>
    <row r="172" spans="1:7" x14ac:dyDescent="0.3">
      <c r="A172" s="89" t="str">
        <v>CAPURRO, GERARDO DANIEL</v>
      </c>
      <c r="B172" s="89" t="str">
        <v>Cargadora (Op. Montacargas)</v>
      </c>
      <c r="C172" s="90" t="str">
        <v/>
      </c>
      <c r="D172" s="89" t="str">
        <v>Periódica</v>
      </c>
      <c r="E172" s="89">
        <v>365</v>
      </c>
      <c r="F172" s="89">
        <v>8</v>
      </c>
      <c r="G172" s="89" t="str">
        <f ca="1"/>
        <v>SIN FECHA</v>
      </c>
    </row>
    <row r="173" spans="1:7" x14ac:dyDescent="0.3">
      <c r="A173" s="89" t="str">
        <v>CAPURRO, GERARDO DANIEL</v>
      </c>
      <c r="B173" s="89">
        <v>0</v>
      </c>
      <c r="C173" s="90" t="str">
        <v/>
      </c>
      <c r="D173" s="89" t="str">
        <v/>
      </c>
      <c r="E173" s="89" t="str">
        <v/>
      </c>
      <c r="F173" s="89" t="str">
        <v/>
      </c>
      <c r="G173" s="89" t="str">
        <f ca="1"/>
        <v>SIN FECHA</v>
      </c>
    </row>
    <row r="174" spans="1:7" x14ac:dyDescent="0.3">
      <c r="A174" s="89" t="str">
        <v>CAPURRO, GERARDO DANIEL</v>
      </c>
      <c r="B174" s="89">
        <v>0</v>
      </c>
      <c r="C174" s="90" t="str">
        <v/>
      </c>
      <c r="D174" s="89" t="str">
        <v/>
      </c>
      <c r="E174" s="89" t="str">
        <v/>
      </c>
      <c r="F174" s="89" t="str">
        <v/>
      </c>
      <c r="G174" s="89" t="str">
        <f ca="1"/>
        <v>SIN FECHA</v>
      </c>
    </row>
    <row r="175" spans="1:7" x14ac:dyDescent="0.3">
      <c r="A175" s="89" t="str">
        <v>CAPURRO, GERARDO DANIEL</v>
      </c>
      <c r="B175" s="89">
        <v>0</v>
      </c>
      <c r="C175" s="90" t="str">
        <v/>
      </c>
      <c r="D175" s="89" t="str">
        <v/>
      </c>
      <c r="E175" s="89" t="str">
        <v/>
      </c>
      <c r="F175" s="89" t="str">
        <v/>
      </c>
      <c r="G175" s="89" t="str">
        <f ca="1"/>
        <v>SIN FECHA</v>
      </c>
    </row>
    <row r="176" spans="1:7" x14ac:dyDescent="0.3">
      <c r="A176" s="89" t="str">
        <v>CAPURRO, GERARDO DANIEL</v>
      </c>
      <c r="B176" s="89">
        <v>0</v>
      </c>
      <c r="C176" s="90" t="str">
        <v/>
      </c>
      <c r="D176" s="89" t="str">
        <v/>
      </c>
      <c r="E176" s="89" t="str">
        <v/>
      </c>
      <c r="F176" s="89" t="str">
        <v/>
      </c>
      <c r="G176" s="89" t="str">
        <f ca="1"/>
        <v>SIN FECHA</v>
      </c>
    </row>
    <row r="177" spans="1:7" x14ac:dyDescent="0.3">
      <c r="A177" s="89" t="str">
        <v>CAPURRO, GERARDO DANIEL</v>
      </c>
      <c r="B177" s="89">
        <v>0</v>
      </c>
      <c r="C177" s="90" t="str">
        <v/>
      </c>
      <c r="D177" s="89" t="str">
        <v/>
      </c>
      <c r="E177" s="89" t="str">
        <v/>
      </c>
      <c r="F177" s="89" t="str">
        <v/>
      </c>
      <c r="G177" s="89" t="str">
        <f ca="1"/>
        <v>SIN FECHA</v>
      </c>
    </row>
    <row r="178" spans="1:7" x14ac:dyDescent="0.3">
      <c r="A178" s="89" t="str">
        <v>CAPURRO, GERARDO DANIEL</v>
      </c>
      <c r="B178" s="89">
        <v>0</v>
      </c>
      <c r="C178" s="90" t="str">
        <v/>
      </c>
      <c r="D178" s="89" t="str">
        <v/>
      </c>
      <c r="E178" s="89" t="str">
        <v/>
      </c>
      <c r="F178" s="89" t="str">
        <v/>
      </c>
      <c r="G178" s="89" t="str">
        <f ca="1"/>
        <v>SIN FECHA</v>
      </c>
    </row>
    <row r="179" spans="1:7" x14ac:dyDescent="0.3">
      <c r="A179" s="89" t="str">
        <v>CAPURRO, GERARDO DANIEL</v>
      </c>
      <c r="B179" s="89">
        <v>0</v>
      </c>
      <c r="C179" s="90" t="str">
        <v/>
      </c>
      <c r="D179" s="89" t="str">
        <v/>
      </c>
      <c r="E179" s="89" t="str">
        <v/>
      </c>
      <c r="F179" s="89" t="str">
        <v/>
      </c>
      <c r="G179" s="89" t="str">
        <f ca="1"/>
        <v>SIN FECHA</v>
      </c>
    </row>
    <row r="180" spans="1:7" x14ac:dyDescent="0.3">
      <c r="A180" s="89" t="str">
        <v>CAPURRO, GERARDO DANIEL</v>
      </c>
      <c r="B180" s="89">
        <v>0</v>
      </c>
      <c r="C180" s="90" t="str">
        <v/>
      </c>
      <c r="D180" s="89" t="str">
        <v/>
      </c>
      <c r="E180" s="89" t="str">
        <v/>
      </c>
      <c r="F180" s="89" t="str">
        <v/>
      </c>
      <c r="G180" s="89" t="str">
        <f ca="1"/>
        <v>SIN FECHA</v>
      </c>
    </row>
    <row r="181" spans="1:7" x14ac:dyDescent="0.3">
      <c r="A181" s="89" t="str">
        <v>CAPURRO, GERARDO DANIEL</v>
      </c>
      <c r="B181" s="89">
        <v>0</v>
      </c>
      <c r="C181" s="90" t="str">
        <v/>
      </c>
      <c r="D181" s="89" t="str">
        <v/>
      </c>
      <c r="E181" s="89" t="str">
        <v/>
      </c>
      <c r="F181" s="89" t="str">
        <v/>
      </c>
      <c r="G181" s="89" t="str">
        <f ca="1"/>
        <v>SIN FECHA</v>
      </c>
    </row>
    <row r="182" spans="1:7" x14ac:dyDescent="0.3">
      <c r="A182" s="89" t="str">
        <v>CARCAMO, EDUARDO ANDRES</v>
      </c>
      <c r="B182" s="89" t="str">
        <v>Programa de Aire</v>
      </c>
      <c r="C182" s="90" t="str">
        <v/>
      </c>
      <c r="D182" s="89" t="str">
        <v>Evento</v>
      </c>
      <c r="E182" s="89">
        <v>0</v>
      </c>
      <c r="F182" s="89">
        <v>1</v>
      </c>
      <c r="G182" s="89" t="str">
        <f ca="1"/>
        <v>SIN FECHA</v>
      </c>
    </row>
    <row r="183" spans="1:7" x14ac:dyDescent="0.3">
      <c r="A183" s="89" t="str">
        <v>CARCAMO, EDUARDO ANDRES</v>
      </c>
      <c r="B183" s="89" t="str">
        <v>Conciencia Ambiental</v>
      </c>
      <c r="C183" s="90" t="str">
        <v/>
      </c>
      <c r="D183" s="89" t="str">
        <v>Periódica</v>
      </c>
      <c r="E183" s="89">
        <v>365</v>
      </c>
      <c r="F183" s="89">
        <v>1</v>
      </c>
      <c r="G183" s="89" t="str">
        <f ca="1"/>
        <v>SIN FECHA</v>
      </c>
    </row>
    <row r="184" spans="1:7" x14ac:dyDescent="0.3">
      <c r="A184" s="89" t="str">
        <v>CARCAMO, EDUARDO ANDRES</v>
      </c>
      <c r="B184" s="89" t="str">
        <v xml:space="preserve">Control de Documentos e Informacion de HSE </v>
      </c>
      <c r="C184" s="90" t="str">
        <v/>
      </c>
      <c r="D184" s="89" t="str">
        <v>Evento</v>
      </c>
      <c r="E184" s="89">
        <v>0</v>
      </c>
      <c r="F184" s="89">
        <v>1</v>
      </c>
      <c r="G184" s="89" t="str">
        <f ca="1"/>
        <v>SIN FECHA</v>
      </c>
    </row>
    <row r="185" spans="1:7" x14ac:dyDescent="0.3">
      <c r="A185" s="89" t="str">
        <v>CARCAMO, EDUARDO ANDRES</v>
      </c>
      <c r="B185" s="89" t="str">
        <v xml:space="preserve"> Acciones Correctivas y Preventivas (CAPA)</v>
      </c>
      <c r="C185" s="90" t="str">
        <v/>
      </c>
      <c r="D185" s="89" t="str">
        <v>Evento</v>
      </c>
      <c r="E185" s="89">
        <v>0</v>
      </c>
      <c r="F185" s="89">
        <v>1</v>
      </c>
      <c r="G185" s="89" t="str">
        <f ca="1"/>
        <v>SIN FECHA</v>
      </c>
    </row>
    <row r="186" spans="1:7" x14ac:dyDescent="0.3">
      <c r="A186" s="89" t="str">
        <v>CARCAMO, EDUARDO ANDRES</v>
      </c>
      <c r="B186" s="89" t="str">
        <v>Seguridad Basada en el Comportamiento (Observation Program) // HSMS.043 / Autoridad de Detener el Trabajo</v>
      </c>
      <c r="C186" s="90">
        <v>45707</v>
      </c>
      <c r="D186" s="89" t="str">
        <v>Periódica</v>
      </c>
      <c r="E186" s="89">
        <v>365</v>
      </c>
      <c r="F186" s="89">
        <v>1</v>
      </c>
      <c r="G186" s="89" t="str">
        <f ca="1"/>
        <v>VENCIDA</v>
      </c>
    </row>
    <row r="187" spans="1:7" x14ac:dyDescent="0.3">
      <c r="A187" s="89" t="str">
        <v>CARCAMO, EDUARDO ANDRES</v>
      </c>
      <c r="B187" s="89" t="str">
        <v>Identificacion de Peligros y Evaluacion de Riesgos</v>
      </c>
      <c r="C187" s="90">
        <v>46020</v>
      </c>
      <c r="D187" s="89" t="str">
        <v>Evento</v>
      </c>
      <c r="E187" s="89">
        <v>0</v>
      </c>
      <c r="F187" s="89">
        <v>1</v>
      </c>
      <c r="G187" s="89" t="str">
        <f ca="1"/>
        <v>VIGENTE</v>
      </c>
    </row>
    <row r="188" spans="1:7" x14ac:dyDescent="0.3">
      <c r="A188" s="89" t="str">
        <v>CARCAMO, EDUARDO ANDRES</v>
      </c>
      <c r="B188" s="89" t="str">
        <v xml:space="preserve"> Plan de Respuesta ante Eemergencias / HSMS.010 /Primeros Axulios &amp; RCP/DEA / HSMSWT-002 / Patogenos Trasnmitidos por la Sangre</v>
      </c>
      <c r="C188" s="90" t="str">
        <v/>
      </c>
      <c r="D188" s="89" t="str">
        <v>Periódica</v>
      </c>
      <c r="E188" s="89">
        <v>365</v>
      </c>
      <c r="F188" s="89">
        <v>1</v>
      </c>
      <c r="G188" s="89" t="str">
        <f ca="1"/>
        <v>SIN FECHA</v>
      </c>
    </row>
    <row r="189" spans="1:7" x14ac:dyDescent="0.3">
      <c r="A189" s="89" t="str">
        <v>CARCAMO, EDUARDO ANDRES</v>
      </c>
      <c r="B189" s="89" t="str">
        <v>Reporte y Gestion de Incidentes HSE (Todos)</v>
      </c>
      <c r="C189" s="90">
        <v>46008</v>
      </c>
      <c r="D189" s="89" t="str">
        <v>Periódica</v>
      </c>
      <c r="E189" s="89">
        <v>365</v>
      </c>
      <c r="F189" s="89">
        <v>1</v>
      </c>
      <c r="G189" s="89" t="str">
        <f ca="1"/>
        <v>VIGENTE</v>
      </c>
    </row>
    <row r="190" spans="1:7" x14ac:dyDescent="0.3">
      <c r="A190" s="89" t="str">
        <v>CARCAMO, EDUARDO ANDRES</v>
      </c>
      <c r="B190" s="89" t="str">
        <v>Reporte, Gestion e Investigacion de Incidentes HSE (supervisores / investigadores (rol))</v>
      </c>
      <c r="C190" s="90" t="str">
        <v/>
      </c>
      <c r="D190" s="89" t="str">
        <v>Periódica</v>
      </c>
      <c r="E190" s="89">
        <v>1095</v>
      </c>
      <c r="F190" s="89">
        <v>2</v>
      </c>
      <c r="G190" s="89" t="str">
        <f ca="1"/>
        <v>SIN FECHA</v>
      </c>
    </row>
    <row r="191" spans="1:7" x14ac:dyDescent="0.3">
      <c r="A191" s="89" t="str">
        <v>CARCAMO, EDUARDO ANDRES</v>
      </c>
      <c r="B191" s="89" t="str">
        <v>Gruas y Equipos de Izaje (Todos)</v>
      </c>
      <c r="C191" s="90" t="str">
        <v/>
      </c>
      <c r="D191" s="89" t="str">
        <v>Periódica</v>
      </c>
      <c r="E191" s="89">
        <v>365</v>
      </c>
      <c r="F191" s="89">
        <v>2</v>
      </c>
      <c r="G191" s="89" t="str">
        <f ca="1"/>
        <v>SIN FECHA</v>
      </c>
    </row>
    <row r="192" spans="1:7" x14ac:dyDescent="0.3">
      <c r="A192" s="89" t="str">
        <v>CARCAMO, EDUARDO ANDRES</v>
      </c>
      <c r="B192" s="89" t="str">
        <v>HSMS.007 / Gruas y Equipos de Izaje (Operadores)</v>
      </c>
      <c r="C192" s="90">
        <v>46140</v>
      </c>
      <c r="D192" s="89" t="str">
        <v>Periódica</v>
      </c>
      <c r="E192" s="89">
        <v>365</v>
      </c>
      <c r="F192" s="89">
        <v>8</v>
      </c>
      <c r="G192" s="89" t="str">
        <f ca="1"/>
        <v>VIGENTE</v>
      </c>
    </row>
    <row r="193" spans="1:7" x14ac:dyDescent="0.3">
      <c r="A193" s="89" t="str">
        <v>CARCAMO, EDUARDO ANDRES</v>
      </c>
      <c r="B193" s="89" t="str">
        <v>Proteccion Contra Incendios (Todos)</v>
      </c>
      <c r="C193" s="90">
        <v>46020</v>
      </c>
      <c r="D193" s="89" t="str">
        <v>Periódica</v>
      </c>
      <c r="E193" s="89">
        <v>365</v>
      </c>
      <c r="F193" s="89">
        <v>1</v>
      </c>
      <c r="G193" s="89" t="str">
        <f ca="1"/>
        <v>VIGENTE</v>
      </c>
    </row>
    <row r="194" spans="1:7" x14ac:dyDescent="0.3">
      <c r="A194" s="89" t="str">
        <v>CARCAMO, EDUARDO ANDRES</v>
      </c>
      <c r="B194" s="89" t="str">
        <v>Proteccion Contra Incendios (Brigadistas)</v>
      </c>
      <c r="C194" s="90" t="str">
        <v/>
      </c>
      <c r="D194" s="89" t="str">
        <v>Periódica</v>
      </c>
      <c r="E194" s="89">
        <v>365</v>
      </c>
      <c r="F194" s="89">
        <v>2</v>
      </c>
      <c r="G194" s="89" t="str">
        <f ca="1"/>
        <v>SIN FECHA</v>
      </c>
    </row>
    <row r="195" spans="1:7" x14ac:dyDescent="0.3">
      <c r="A195" s="89" t="str">
        <v>CARCAMO, EDUARDO ANDRES</v>
      </c>
      <c r="B195" s="89" t="str">
        <v>Primeros Auxilios (Brigadistas)</v>
      </c>
      <c r="C195" s="90" t="str">
        <v/>
      </c>
      <c r="D195" s="89" t="str">
        <v>Periódica</v>
      </c>
      <c r="E195" s="89">
        <v>365</v>
      </c>
      <c r="F195" s="89">
        <v>2</v>
      </c>
      <c r="G195" s="89" t="str">
        <f ca="1"/>
        <v>SIN FECHA</v>
      </c>
    </row>
    <row r="196" spans="1:7" x14ac:dyDescent="0.3">
      <c r="A196" s="89" t="str">
        <v>CARCAMO, EDUARDO ANDRES</v>
      </c>
      <c r="B196" s="89" t="str">
        <v>Seguridad Electrica (Todos)</v>
      </c>
      <c r="C196" s="90" t="str">
        <v/>
      </c>
      <c r="D196" s="89" t="str">
        <v>Periódica</v>
      </c>
      <c r="E196" s="89">
        <v>365</v>
      </c>
      <c r="F196" s="89">
        <v>1</v>
      </c>
      <c r="G196" s="89" t="str">
        <f ca="1"/>
        <v>SIN FECHA</v>
      </c>
    </row>
    <row r="197" spans="1:7" x14ac:dyDescent="0.3">
      <c r="A197" s="89" t="str">
        <v>CARCAMO, EDUARDO ANDRES</v>
      </c>
      <c r="B197" s="89" t="str">
        <v>Seguridad Electrica (Personal Autorizado)</v>
      </c>
      <c r="C197" s="90" t="str">
        <v/>
      </c>
      <c r="D197" s="89" t="str">
        <v>Periódica</v>
      </c>
      <c r="E197" s="89">
        <v>1095</v>
      </c>
      <c r="F197" s="89">
        <v>4</v>
      </c>
      <c r="G197" s="89" t="str">
        <f ca="1"/>
        <v>SIN FECHA</v>
      </c>
    </row>
    <row r="198" spans="1:7" x14ac:dyDescent="0.3">
      <c r="A198" s="89" t="str">
        <v>CARCAMO, EDUARDO ANDRES</v>
      </c>
      <c r="B198" s="89" t="str">
        <v>Camiones Industriales Motorizados (PIT) (Todos)</v>
      </c>
      <c r="C198" s="90" t="str">
        <v/>
      </c>
      <c r="D198" s="89" t="str">
        <v>Periódica</v>
      </c>
      <c r="E198" s="89">
        <v>365</v>
      </c>
      <c r="F198" s="89">
        <v>1</v>
      </c>
      <c r="G198" s="89" t="str">
        <f ca="1"/>
        <v>SIN FECHA</v>
      </c>
    </row>
    <row r="199" spans="1:7" x14ac:dyDescent="0.3">
      <c r="A199" s="89" t="str">
        <v>CARCAMO, EDUARDO ANDRES</v>
      </c>
      <c r="B199" s="89" t="str">
        <v>Camiones Industriales Motorizados (PIT) (Op. Montacargas)</v>
      </c>
      <c r="C199" s="90" t="str">
        <v/>
      </c>
      <c r="D199" s="89" t="str">
        <v>Periódica</v>
      </c>
      <c r="E199" s="89">
        <v>365</v>
      </c>
      <c r="F199" s="89">
        <v>8</v>
      </c>
      <c r="G199" s="89" t="str">
        <f ca="1"/>
        <v>SIN FECHA</v>
      </c>
    </row>
    <row r="200" spans="1:7" x14ac:dyDescent="0.3">
      <c r="A200" s="89" t="str">
        <v>CARCAMO, EDUARDO ANDRES</v>
      </c>
      <c r="B200" s="89" t="str">
        <v>Control de Energias Peligrosas (LOTO) (Todos)</v>
      </c>
      <c r="C200" s="90">
        <v>45707</v>
      </c>
      <c r="D200" s="89" t="str">
        <v>Evento</v>
      </c>
      <c r="E200" s="89">
        <v>0</v>
      </c>
      <c r="F200" s="89">
        <v>1</v>
      </c>
      <c r="G200" s="89" t="str">
        <f ca="1"/>
        <v>VIGENTE</v>
      </c>
    </row>
    <row r="201" spans="1:7" x14ac:dyDescent="0.3">
      <c r="A201" s="89" t="str">
        <v>CARCAMO, EDUARDO ANDRES</v>
      </c>
      <c r="B201" s="89" t="str">
        <v>Control de Energias Peligrosas (LOTO) (Empleados Autorizados)</v>
      </c>
      <c r="C201" s="90">
        <v>46164</v>
      </c>
      <c r="D201" s="89" t="str">
        <v>Periódica</v>
      </c>
      <c r="E201" s="89">
        <v>365</v>
      </c>
      <c r="F201" s="89">
        <v>2</v>
      </c>
      <c r="G201" s="89" t="str">
        <f ca="1"/>
        <v>VIGENTE</v>
      </c>
    </row>
    <row r="202" spans="1:7" x14ac:dyDescent="0.3">
      <c r="A202" s="89" t="str">
        <v>CARCAMO, EDUARDO ANDRES</v>
      </c>
      <c r="B202" s="89" t="str">
        <v>Seguridad aplicada al Pozo &amp; Yacimiento</v>
      </c>
      <c r="C202" s="90" t="str">
        <v/>
      </c>
      <c r="D202" s="89" t="str">
        <v>Periódica</v>
      </c>
      <c r="E202" s="89">
        <v>365</v>
      </c>
      <c r="F202" s="89">
        <v>1</v>
      </c>
      <c r="G202" s="89" t="str">
        <f ca="1"/>
        <v>SIN FECHA</v>
      </c>
    </row>
    <row r="203" spans="1:7" x14ac:dyDescent="0.3">
      <c r="A203" s="89" t="str">
        <v>CARCAMO, EDUARDO ANDRES</v>
      </c>
      <c r="B203" s="89" t="str">
        <v>Las Reglas que Salvan Vidas</v>
      </c>
      <c r="C203" s="90" t="str">
        <v/>
      </c>
      <c r="D203" s="89" t="str">
        <v>Periódica</v>
      </c>
      <c r="E203" s="89">
        <v>365</v>
      </c>
      <c r="F203" s="89">
        <v>1</v>
      </c>
      <c r="G203" s="89" t="str">
        <f ca="1"/>
        <v>SIN FECHA</v>
      </c>
    </row>
    <row r="204" spans="1:7" x14ac:dyDescent="0.3">
      <c r="A204" s="89" t="str">
        <v>CARCAMO, EDUARDO ANDRES</v>
      </c>
      <c r="B204" s="89" t="str">
        <v xml:space="preserve">Resguardo de Maquinas &amp; Equipos </v>
      </c>
      <c r="C204" s="90" t="str">
        <v/>
      </c>
      <c r="D204" s="89" t="str">
        <v>Periódica</v>
      </c>
      <c r="E204" s="89">
        <v>365</v>
      </c>
      <c r="F204" s="89">
        <v>1</v>
      </c>
      <c r="G204" s="89" t="str">
        <f ca="1"/>
        <v>SIN FECHA</v>
      </c>
    </row>
    <row r="205" spans="1:7" x14ac:dyDescent="0.3">
      <c r="A205" s="89" t="str">
        <v>CARCAMO, EDUARDO ANDRES</v>
      </c>
      <c r="B205" s="89" t="str">
        <v>Conduccion y Gestion de Viajes (Todos)</v>
      </c>
      <c r="C205" s="90">
        <v>45805</v>
      </c>
      <c r="D205" s="89" t="str">
        <v>Periódica</v>
      </c>
      <c r="E205" s="89">
        <v>730</v>
      </c>
      <c r="F205" s="89">
        <v>1</v>
      </c>
      <c r="G205" s="89" t="str">
        <f ca="1"/>
        <v>VIGENTE</v>
      </c>
    </row>
    <row r="206" spans="1:7" x14ac:dyDescent="0.3">
      <c r="A206" s="89" t="str">
        <v>CARCAMO, EDUARDO ANDRES</v>
      </c>
      <c r="B206" s="89" t="str">
        <v>Conduccion y Gestion de Viajes (Conductores)</v>
      </c>
      <c r="C206" s="90">
        <v>46907</v>
      </c>
      <c r="D206" s="89" t="str">
        <v>Periódica</v>
      </c>
      <c r="E206" s="89">
        <v>1095</v>
      </c>
      <c r="F206" s="89">
        <v>5</v>
      </c>
      <c r="G206" s="89" t="str">
        <f ca="1"/>
        <v>VIGENTE</v>
      </c>
    </row>
    <row r="207" spans="1:7" x14ac:dyDescent="0.3">
      <c r="A207" s="89" t="str">
        <v>CARCAMO, EDUARDO ANDRES</v>
      </c>
      <c r="B207" s="89" t="str">
        <v>Patogenos Transmitidos por la Sangre</v>
      </c>
      <c r="C207" s="90" t="str">
        <v/>
      </c>
      <c r="D207" s="89" t="str">
        <v>Periódica</v>
      </c>
      <c r="E207" s="89">
        <v>365</v>
      </c>
      <c r="F207" s="89">
        <v>1</v>
      </c>
      <c r="G207" s="89" t="str">
        <f ca="1"/>
        <v>SIN FECHA</v>
      </c>
    </row>
    <row r="208" spans="1:7" x14ac:dyDescent="0.3">
      <c r="A208" s="89" t="str">
        <v>CARCAMO, EDUARDO ANDRES</v>
      </c>
      <c r="B208" s="89" t="str">
        <v>Conservacion Auditiva</v>
      </c>
      <c r="C208" s="90" t="str">
        <v/>
      </c>
      <c r="D208" s="89" t="str">
        <v>Periódica</v>
      </c>
      <c r="E208" s="89">
        <v>365</v>
      </c>
      <c r="F208" s="89">
        <v>1</v>
      </c>
      <c r="G208" s="89" t="str">
        <f ca="1"/>
        <v>SIN FECHA</v>
      </c>
    </row>
    <row r="209" spans="1:7" x14ac:dyDescent="0.3">
      <c r="A209" s="89" t="str">
        <v>CARCAMO, EDUARDO ANDRES</v>
      </c>
      <c r="B209" s="89" t="str">
        <v xml:space="preserve">Ergonomia //  / Levantamiento &amp; Seguridad en la Espalda </v>
      </c>
      <c r="C209" s="90">
        <v>46008</v>
      </c>
      <c r="D209" s="89" t="str">
        <v>Periódica</v>
      </c>
      <c r="E209" s="89">
        <v>365</v>
      </c>
      <c r="F209" s="89">
        <v>1</v>
      </c>
      <c r="G209" s="89" t="str">
        <f ca="1"/>
        <v>VIGENTE</v>
      </c>
    </row>
    <row r="210" spans="1:7" x14ac:dyDescent="0.3">
      <c r="A210" s="89" t="str">
        <v>CARCAMO, EDUARDO ANDRES</v>
      </c>
      <c r="B210" s="89" t="str">
        <v>Superficies Elevadas (Todos)</v>
      </c>
      <c r="C210" s="90">
        <v>46020</v>
      </c>
      <c r="D210" s="89" t="str">
        <v>Periódica</v>
      </c>
      <c r="E210" s="89">
        <v>365</v>
      </c>
      <c r="F210" s="89">
        <v>1</v>
      </c>
      <c r="G210" s="89" t="str">
        <f ca="1"/>
        <v>VIGENTE</v>
      </c>
    </row>
    <row r="211" spans="1:7" x14ac:dyDescent="0.3">
      <c r="A211" s="89" t="str">
        <v>CARCAMO, EDUARDO ANDRES</v>
      </c>
      <c r="B211" s="89" t="str">
        <v>Superficies Elevadas (Personal Habilitado)</v>
      </c>
      <c r="C211" s="90" t="str">
        <v/>
      </c>
      <c r="D211" s="89" t="str">
        <v>Periódica</v>
      </c>
      <c r="E211" s="89">
        <v>365</v>
      </c>
      <c r="F211" s="89">
        <v>8</v>
      </c>
      <c r="G211" s="89" t="str">
        <f ca="1"/>
        <v>SIN FECHA</v>
      </c>
    </row>
    <row r="212" spans="1:7" x14ac:dyDescent="0.3">
      <c r="A212" s="89" t="str">
        <v>CARCAMO, EDUARDO ANDRES</v>
      </c>
      <c r="B212" s="89" t="str">
        <v>Seguridad Quimica (Todos)</v>
      </c>
      <c r="C212" s="90">
        <v>46020</v>
      </c>
      <c r="D212" s="89" t="str">
        <v>Periódica</v>
      </c>
      <c r="E212" s="89">
        <v>730</v>
      </c>
      <c r="F212" s="89">
        <v>1</v>
      </c>
      <c r="G212" s="89" t="str">
        <f ca="1"/>
        <v>VIGENTE</v>
      </c>
    </row>
    <row r="213" spans="1:7" x14ac:dyDescent="0.3">
      <c r="A213" s="89" t="str">
        <v>CARCAMO, EDUARDO ANDRES</v>
      </c>
      <c r="B213" s="89" t="str">
        <v>Seguridad Quimica (Mantenimiento)</v>
      </c>
      <c r="C213" s="90" t="str">
        <v/>
      </c>
      <c r="D213" s="89" t="str">
        <v>Periódica</v>
      </c>
      <c r="E213" s="89">
        <v>365</v>
      </c>
      <c r="F213" s="89">
        <v>1</v>
      </c>
      <c r="G213" s="89" t="str">
        <f ca="1"/>
        <v>SIN FECHA</v>
      </c>
    </row>
    <row r="214" spans="1:7" x14ac:dyDescent="0.3">
      <c r="A214" s="89" t="str">
        <v>CARCAMO, EDUARDO ANDRES</v>
      </c>
      <c r="B214" s="89" t="str">
        <v>Seguridad Quimica (Contratistas)</v>
      </c>
      <c r="C214" s="90" t="str">
        <v/>
      </c>
      <c r="D214" s="89" t="str">
        <v>Periódica</v>
      </c>
      <c r="E214" s="89">
        <v>365</v>
      </c>
      <c r="F214" s="89">
        <v>1</v>
      </c>
      <c r="G214" s="89" t="str">
        <f ca="1"/>
        <v>SIN FECHA</v>
      </c>
    </row>
    <row r="215" spans="1:7" x14ac:dyDescent="0.3">
      <c r="A215" s="89" t="str">
        <v>CARCAMO, EDUARDO ANDRES</v>
      </c>
      <c r="B215" s="89" t="str">
        <v>Seguridad para Trabajos en Caliente</v>
      </c>
      <c r="C215" s="90">
        <v>46020</v>
      </c>
      <c r="D215" s="89" t="str">
        <v>Periódica</v>
      </c>
      <c r="E215" s="89">
        <v>365</v>
      </c>
      <c r="F215" s="89">
        <v>1</v>
      </c>
      <c r="G215" s="89" t="str">
        <f ca="1"/>
        <v>VIGENTE</v>
      </c>
    </row>
    <row r="216" spans="1:7" x14ac:dyDescent="0.3">
      <c r="A216" s="89" t="str">
        <v>CARCAMO, EDUARDO ANDRES</v>
      </c>
      <c r="B216" s="89" t="str">
        <v>Seguridad con la Radiacion</v>
      </c>
      <c r="C216" s="90" t="str">
        <v/>
      </c>
      <c r="D216" s="89" t="str">
        <v>Periódica</v>
      </c>
      <c r="E216" s="89">
        <v>365</v>
      </c>
      <c r="F216" s="89">
        <v>2</v>
      </c>
      <c r="G216" s="89" t="str">
        <f ca="1"/>
        <v>SIN FECHA</v>
      </c>
    </row>
    <row r="217" spans="1:7" x14ac:dyDescent="0.3">
      <c r="A217" s="89" t="str">
        <v>CARCAMO, EDUARDO ANDRES</v>
      </c>
      <c r="B217" s="89" t="str">
        <v>Equipo de Proteccion Personal (PPE)</v>
      </c>
      <c r="C217" s="90">
        <v>46020</v>
      </c>
      <c r="D217" s="89" t="str">
        <v>Periódica</v>
      </c>
      <c r="E217" s="89">
        <v>365</v>
      </c>
      <c r="F217" s="89">
        <v>1</v>
      </c>
      <c r="G217" s="89" t="str">
        <f ca="1"/>
        <v>VIGENTE</v>
      </c>
    </row>
    <row r="218" spans="1:7" x14ac:dyDescent="0.3">
      <c r="A218" s="89" t="str">
        <v>CARCAMO, EDUARDO ANDRES</v>
      </c>
      <c r="B218" s="89" t="str">
        <v>Proteccion Respiratoria</v>
      </c>
      <c r="C218" s="90" t="str">
        <v/>
      </c>
      <c r="D218" s="89" t="str">
        <v>Periódica</v>
      </c>
      <c r="E218" s="89">
        <v>365</v>
      </c>
      <c r="F218" s="89">
        <v>1</v>
      </c>
      <c r="G218" s="89" t="str">
        <f ca="1"/>
        <v>SIN FECHA</v>
      </c>
    </row>
    <row r="219" spans="1:7" x14ac:dyDescent="0.3">
      <c r="A219" s="89" t="str">
        <v>CARCAMO, EDUARDO ANDRES</v>
      </c>
      <c r="B219" s="89" t="str">
        <v xml:space="preserve">Seguridad con Escaleras </v>
      </c>
      <c r="C219" s="90">
        <v>46020</v>
      </c>
      <c r="D219" s="89" t="str">
        <v>Periódica</v>
      </c>
      <c r="E219" s="89">
        <v>365</v>
      </c>
      <c r="F219" s="89">
        <v>1</v>
      </c>
      <c r="G219" s="89" t="str">
        <f ca="1"/>
        <v>VIGENTE</v>
      </c>
    </row>
    <row r="220" spans="1:7" x14ac:dyDescent="0.3">
      <c r="A220" s="89" t="str">
        <v>CARCAMO, EDUARDO ANDRES</v>
      </c>
      <c r="B220" s="89" t="str">
        <v>Seguridad con Escaleras // Estantes de Almacenamiento</v>
      </c>
      <c r="C220" s="90" t="str">
        <v/>
      </c>
      <c r="D220" s="89" t="str">
        <v>Periódica</v>
      </c>
      <c r="E220" s="89">
        <v>365</v>
      </c>
      <c r="F220" s="89">
        <v>1</v>
      </c>
      <c r="G220" s="89" t="str">
        <f ca="1"/>
        <v>SIN FECHA</v>
      </c>
    </row>
    <row r="221" spans="1:7" x14ac:dyDescent="0.3">
      <c r="A221" s="89" t="str">
        <v>CARCAMO, EDUARDO ANDRES</v>
      </c>
      <c r="B221" s="89" t="str">
        <v>Responsabilidades del Supervisor</v>
      </c>
      <c r="C221" s="90" t="str">
        <v/>
      </c>
      <c r="D221" s="89" t="str">
        <v>Periódica</v>
      </c>
      <c r="E221" s="89">
        <v>365</v>
      </c>
      <c r="F221" s="89">
        <v>1</v>
      </c>
      <c r="G221" s="89" t="str">
        <f ca="1"/>
        <v>SIN FECHA</v>
      </c>
    </row>
    <row r="222" spans="1:7" x14ac:dyDescent="0.3">
      <c r="A222" s="89" t="str">
        <v>CARCAMO, EDUARDO ANDRES</v>
      </c>
      <c r="B222" s="89" t="str">
        <v>Espacios Confinados (Todos)</v>
      </c>
      <c r="C222" s="90" t="str">
        <v/>
      </c>
      <c r="D222" s="89" t="str">
        <v>Periódica</v>
      </c>
      <c r="E222" s="89">
        <v>365</v>
      </c>
      <c r="F222" s="89">
        <v>1</v>
      </c>
      <c r="G222" s="89" t="str">
        <f ca="1"/>
        <v>SIN FECHA</v>
      </c>
    </row>
    <row r="223" spans="1:7" x14ac:dyDescent="0.3">
      <c r="A223" s="89" t="str">
        <v>CARCAMO, EDUARDO ANDRES</v>
      </c>
      <c r="B223" s="89" t="str">
        <v>HSMS.017 / Espacios Confinados (Entrantes)</v>
      </c>
      <c r="C223" s="90" t="str">
        <v/>
      </c>
      <c r="D223" s="89" t="str">
        <v>Evento</v>
      </c>
      <c r="E223" s="89">
        <v>0</v>
      </c>
      <c r="F223" s="89">
        <v>8</v>
      </c>
      <c r="G223" s="89" t="str">
        <f ca="1"/>
        <v>SIN FECHA</v>
      </c>
    </row>
    <row r="224" spans="1:7" x14ac:dyDescent="0.3">
      <c r="A224" s="89" t="str">
        <v>CARCAMO, EDUARDO ANDRES</v>
      </c>
      <c r="B224" s="89" t="str">
        <v>Programa de Agua (Todos)</v>
      </c>
      <c r="C224" s="90" t="str">
        <v/>
      </c>
      <c r="D224" s="89" t="str">
        <v>Evento</v>
      </c>
      <c r="E224" s="89">
        <v>0</v>
      </c>
      <c r="F224" s="89">
        <v>1</v>
      </c>
      <c r="G224" s="89" t="str">
        <f ca="1"/>
        <v>SIN FECHA</v>
      </c>
    </row>
    <row r="225" spans="1:7" x14ac:dyDescent="0.3">
      <c r="A225" s="89" t="str">
        <v>CARCAMO, EDUARDO ANDRES</v>
      </c>
      <c r="B225" s="89" t="str">
        <v>Programa de Agua (HSE)</v>
      </c>
      <c r="C225" s="90" t="str">
        <v/>
      </c>
      <c r="D225" s="89" t="str">
        <v>Evento</v>
      </c>
      <c r="E225" s="89">
        <v>0</v>
      </c>
      <c r="F225" s="89">
        <v>1</v>
      </c>
      <c r="G225" s="89" t="str">
        <f ca="1"/>
        <v>SIN FECHA</v>
      </c>
    </row>
    <row r="226" spans="1:7" x14ac:dyDescent="0.3">
      <c r="A226" s="89" t="str">
        <v>CARCAMO, EDUARDO ANDRES</v>
      </c>
      <c r="B226" s="89" t="str">
        <v>HIV/SIDA y otras enfermedades de transmisión sexual (ETS)</v>
      </c>
      <c r="C226" s="90" t="str">
        <v/>
      </c>
      <c r="D226" s="89" t="str">
        <v>Periódica</v>
      </c>
      <c r="E226" s="89">
        <v>365</v>
      </c>
      <c r="F226" s="89">
        <v>1</v>
      </c>
      <c r="G226" s="89" t="str">
        <f ca="1"/>
        <v>SIN FECHA</v>
      </c>
    </row>
    <row r="227" spans="1:7" x14ac:dyDescent="0.3">
      <c r="A227" s="89" t="str">
        <v>CARCAMO, EDUARDO ANDRES</v>
      </c>
      <c r="B227" s="89" t="str">
        <v>Drogas de abuso (concientización y prevención)</v>
      </c>
      <c r="C227" s="90" t="str">
        <v/>
      </c>
      <c r="D227" s="89" t="str">
        <v>Periódica</v>
      </c>
      <c r="E227" s="89">
        <v>365</v>
      </c>
      <c r="F227" s="89">
        <v>1</v>
      </c>
      <c r="G227" s="89" t="str">
        <f ca="1"/>
        <v>SIN FECHA</v>
      </c>
    </row>
    <row r="228" spans="1:7" x14ac:dyDescent="0.3">
      <c r="A228" s="89" t="str">
        <v>CARCAMO, EDUARDO ANDRES</v>
      </c>
      <c r="B228" s="89" t="str">
        <v>Vida saludable (hábitos, autocuidado y bienestar)</v>
      </c>
      <c r="C228" s="90" t="str">
        <v/>
      </c>
      <c r="D228" s="89" t="str">
        <v>Periódica</v>
      </c>
      <c r="E228" s="89">
        <v>365</v>
      </c>
      <c r="F228" s="89">
        <v>1</v>
      </c>
      <c r="G228" s="89" t="str">
        <f ca="1"/>
        <v>SIN FECHA</v>
      </c>
    </row>
    <row r="229" spans="1:7" x14ac:dyDescent="0.3">
      <c r="A229" s="89" t="str">
        <v>CARCAMO, EDUARDO ANDRES</v>
      </c>
      <c r="B229" s="89" t="str">
        <v>Primeros auxilios y Reanimación Cardio Pulmonar (RCP)</v>
      </c>
      <c r="C229" s="90" t="str">
        <v/>
      </c>
      <c r="D229" s="89" t="str">
        <v>Periódica</v>
      </c>
      <c r="E229" s="89">
        <v>365</v>
      </c>
      <c r="F229" s="89">
        <v>4</v>
      </c>
      <c r="G229" s="89" t="str">
        <f ca="1"/>
        <v>SIN FECHA</v>
      </c>
    </row>
    <row r="230" spans="1:7" x14ac:dyDescent="0.3">
      <c r="A230" s="89" t="str">
        <v>CARCAMO, EDUARDO ANDRES</v>
      </c>
      <c r="B230" s="89" t="str">
        <v>Prevención cardiovascular (factores de riesgo y señales de alarma)</v>
      </c>
      <c r="C230" s="90" t="str">
        <v/>
      </c>
      <c r="D230" s="89" t="str">
        <v>Periódica</v>
      </c>
      <c r="E230" s="89">
        <v>365</v>
      </c>
      <c r="F230" s="89">
        <v>1</v>
      </c>
      <c r="G230" s="89" t="str">
        <f ca="1"/>
        <v>SIN FECHA</v>
      </c>
    </row>
    <row r="231" spans="1:7" x14ac:dyDescent="0.3">
      <c r="A231" s="89" t="str">
        <v>CARCAMO, EDUARDO ANDRES</v>
      </c>
      <c r="B231" s="89" t="str">
        <v>Efectos del tabaco sobre la salud</v>
      </c>
      <c r="C231" s="90" t="str">
        <v/>
      </c>
      <c r="D231" s="89" t="str">
        <v>Periódica</v>
      </c>
      <c r="E231" s="89">
        <v>365</v>
      </c>
      <c r="F231" s="89">
        <v>1</v>
      </c>
      <c r="G231" s="89" t="str">
        <f ca="1"/>
        <v>SIN FECHA</v>
      </c>
    </row>
    <row r="232" spans="1:7" x14ac:dyDescent="0.3">
      <c r="A232" s="89" t="str">
        <v>CARCAMO, EDUARDO ANDRES</v>
      </c>
      <c r="B232" s="89" t="str">
        <v>Cargadora (Op. Montacargas)</v>
      </c>
      <c r="C232" s="90" t="str">
        <v/>
      </c>
      <c r="D232" s="89" t="str">
        <v>Periódica</v>
      </c>
      <c r="E232" s="89">
        <v>365</v>
      </c>
      <c r="F232" s="89">
        <v>8</v>
      </c>
      <c r="G232" s="89" t="str">
        <f ca="1"/>
        <v>SIN FECHA</v>
      </c>
    </row>
    <row r="233" spans="1:7" x14ac:dyDescent="0.3">
      <c r="A233" s="89" t="str">
        <v>CARCAMO, EDUARDO ANDRES</v>
      </c>
      <c r="B233" s="89">
        <v>0</v>
      </c>
      <c r="C233" s="90" t="str">
        <v/>
      </c>
      <c r="D233" s="89" t="str">
        <v/>
      </c>
      <c r="E233" s="89" t="str">
        <v/>
      </c>
      <c r="F233" s="89" t="str">
        <v/>
      </c>
      <c r="G233" s="89" t="str">
        <f ca="1"/>
        <v>SIN FECHA</v>
      </c>
    </row>
    <row r="234" spans="1:7" x14ac:dyDescent="0.3">
      <c r="A234" s="89" t="str">
        <v>CARCAMO, EDUARDO ANDRES</v>
      </c>
      <c r="B234" s="89">
        <v>0</v>
      </c>
      <c r="C234" s="90" t="str">
        <v/>
      </c>
      <c r="D234" s="89" t="str">
        <v/>
      </c>
      <c r="E234" s="89" t="str">
        <v/>
      </c>
      <c r="F234" s="89" t="str">
        <v/>
      </c>
      <c r="G234" s="89" t="str">
        <f ca="1"/>
        <v>SIN FECHA</v>
      </c>
    </row>
    <row r="235" spans="1:7" x14ac:dyDescent="0.3">
      <c r="A235" s="89" t="str">
        <v>CARCAMO, EDUARDO ANDRES</v>
      </c>
      <c r="B235" s="89">
        <v>0</v>
      </c>
      <c r="C235" s="90" t="str">
        <v/>
      </c>
      <c r="D235" s="89" t="str">
        <v/>
      </c>
      <c r="E235" s="89" t="str">
        <v/>
      </c>
      <c r="F235" s="89" t="str">
        <v/>
      </c>
      <c r="G235" s="89" t="str">
        <f ca="1"/>
        <v>SIN FECHA</v>
      </c>
    </row>
    <row r="236" spans="1:7" x14ac:dyDescent="0.3">
      <c r="A236" s="89" t="str">
        <v>CARCAMO, EDUARDO ANDRES</v>
      </c>
      <c r="B236" s="89">
        <v>0</v>
      </c>
      <c r="C236" s="90" t="str">
        <v/>
      </c>
      <c r="D236" s="89" t="str">
        <v/>
      </c>
      <c r="E236" s="89" t="str">
        <v/>
      </c>
      <c r="F236" s="89" t="str">
        <v/>
      </c>
      <c r="G236" s="89" t="str">
        <f ca="1"/>
        <v>SIN FECHA</v>
      </c>
    </row>
    <row r="237" spans="1:7" x14ac:dyDescent="0.3">
      <c r="A237" s="89" t="str">
        <v>CARCAMO, EDUARDO ANDRES</v>
      </c>
      <c r="B237" s="89">
        <v>0</v>
      </c>
      <c r="C237" s="90" t="str">
        <v/>
      </c>
      <c r="D237" s="89" t="str">
        <v/>
      </c>
      <c r="E237" s="89" t="str">
        <v/>
      </c>
      <c r="F237" s="89" t="str">
        <v/>
      </c>
      <c r="G237" s="89" t="str">
        <f ca="1"/>
        <v>SIN FECHA</v>
      </c>
    </row>
    <row r="238" spans="1:7" x14ac:dyDescent="0.3">
      <c r="A238" s="89" t="str">
        <v>CARCAMO, EDUARDO ANDRES</v>
      </c>
      <c r="B238" s="89">
        <v>0</v>
      </c>
      <c r="C238" s="90" t="str">
        <v/>
      </c>
      <c r="D238" s="89" t="str">
        <v/>
      </c>
      <c r="E238" s="89" t="str">
        <v/>
      </c>
      <c r="F238" s="89" t="str">
        <v/>
      </c>
      <c r="G238" s="89" t="str">
        <f ca="1"/>
        <v>SIN FECHA</v>
      </c>
    </row>
    <row r="239" spans="1:7" x14ac:dyDescent="0.3">
      <c r="A239" s="89" t="str">
        <v>CARCAMO, EDUARDO ANDRES</v>
      </c>
      <c r="B239" s="89">
        <v>0</v>
      </c>
      <c r="C239" s="90" t="str">
        <v/>
      </c>
      <c r="D239" s="89" t="str">
        <v/>
      </c>
      <c r="E239" s="89" t="str">
        <v/>
      </c>
      <c r="F239" s="89" t="str">
        <v/>
      </c>
      <c r="G239" s="89" t="str">
        <f ca="1"/>
        <v>SIN FECHA</v>
      </c>
    </row>
    <row r="240" spans="1:7" x14ac:dyDescent="0.3">
      <c r="A240" s="89" t="str">
        <v>CARCAMO, EDUARDO ANDRES</v>
      </c>
      <c r="B240" s="89">
        <v>0</v>
      </c>
      <c r="C240" s="90" t="str">
        <v/>
      </c>
      <c r="D240" s="89" t="str">
        <v/>
      </c>
      <c r="E240" s="89" t="str">
        <v/>
      </c>
      <c r="F240" s="89" t="str">
        <v/>
      </c>
      <c r="G240" s="89" t="str">
        <f ca="1"/>
        <v>SIN FECHA</v>
      </c>
    </row>
    <row r="241" spans="1:7" x14ac:dyDescent="0.3">
      <c r="A241" s="89" t="str">
        <v>CARCAMO, EDUARDO ANDRES</v>
      </c>
      <c r="B241" s="89">
        <v>0</v>
      </c>
      <c r="C241" s="90" t="str">
        <v/>
      </c>
      <c r="D241" s="89" t="str">
        <v/>
      </c>
      <c r="E241" s="89" t="str">
        <v/>
      </c>
      <c r="F241" s="89" t="str">
        <v/>
      </c>
      <c r="G241" s="89" t="str">
        <f ca="1"/>
        <v>SIN FECHA</v>
      </c>
    </row>
    <row r="242" spans="1:7" x14ac:dyDescent="0.3">
      <c r="A242" s="89" t="str">
        <v>CEJAS, ALFREDO NICOLAS</v>
      </c>
      <c r="B242" s="89" t="str">
        <v>Programa de Aire</v>
      </c>
      <c r="C242" s="90" t="str">
        <v/>
      </c>
      <c r="D242" s="89" t="str">
        <v>Evento</v>
      </c>
      <c r="E242" s="89">
        <v>0</v>
      </c>
      <c r="F242" s="89">
        <v>1</v>
      </c>
      <c r="G242" s="89" t="str">
        <f ca="1"/>
        <v>SIN FECHA</v>
      </c>
    </row>
    <row r="243" spans="1:7" x14ac:dyDescent="0.3">
      <c r="A243" s="89" t="str">
        <v>CEJAS, ALFREDO NICOLAS</v>
      </c>
      <c r="B243" s="89" t="str">
        <v>Conciencia Ambiental</v>
      </c>
      <c r="C243" s="90">
        <v>46160</v>
      </c>
      <c r="D243" s="89" t="str">
        <v>Periódica</v>
      </c>
      <c r="E243" s="89">
        <v>365</v>
      </c>
      <c r="F243" s="89">
        <v>1</v>
      </c>
      <c r="G243" s="89" t="str">
        <f ca="1"/>
        <v>VIGENTE</v>
      </c>
    </row>
    <row r="244" spans="1:7" x14ac:dyDescent="0.3">
      <c r="A244" s="89" t="str">
        <v>CEJAS, ALFREDO NICOLAS</v>
      </c>
      <c r="B244" s="89" t="str">
        <v xml:space="preserve">Control de Documentos e Informacion de HSE </v>
      </c>
      <c r="C244" s="90" t="str">
        <v/>
      </c>
      <c r="D244" s="89" t="str">
        <v>Evento</v>
      </c>
      <c r="E244" s="89">
        <v>0</v>
      </c>
      <c r="F244" s="89">
        <v>1</v>
      </c>
      <c r="G244" s="89" t="str">
        <f ca="1"/>
        <v>SIN FECHA</v>
      </c>
    </row>
    <row r="245" spans="1:7" x14ac:dyDescent="0.3">
      <c r="A245" s="89" t="str">
        <v>CEJAS, ALFREDO NICOLAS</v>
      </c>
      <c r="B245" s="89" t="str">
        <v xml:space="preserve"> Acciones Correctivas y Preventivas (CAPA)</v>
      </c>
      <c r="C245" s="90" t="str">
        <v/>
      </c>
      <c r="D245" s="89" t="str">
        <v>Evento</v>
      </c>
      <c r="E245" s="89">
        <v>0</v>
      </c>
      <c r="F245" s="89">
        <v>1</v>
      </c>
      <c r="G245" s="89" t="str">
        <f ca="1"/>
        <v>SIN FECHA</v>
      </c>
    </row>
    <row r="246" spans="1:7" x14ac:dyDescent="0.3">
      <c r="A246" s="89" t="str">
        <v>CEJAS, ALFREDO NICOLAS</v>
      </c>
      <c r="B246" s="89" t="str">
        <v>Seguridad Basada en el Comportamiento (Observation Program) // HSMS.043 / Autoridad de Detener el Trabajo</v>
      </c>
      <c r="C246" s="90" t="str">
        <v/>
      </c>
      <c r="D246" s="89" t="str">
        <v>Periódica</v>
      </c>
      <c r="E246" s="89">
        <v>365</v>
      </c>
      <c r="F246" s="89">
        <v>1</v>
      </c>
      <c r="G246" s="89" t="str">
        <f ca="1"/>
        <v>SIN FECHA</v>
      </c>
    </row>
    <row r="247" spans="1:7" x14ac:dyDescent="0.3">
      <c r="A247" s="89" t="str">
        <v>CEJAS, ALFREDO NICOLAS</v>
      </c>
      <c r="B247" s="89" t="str">
        <v>Identificacion de Peligros y Evaluacion de Riesgos</v>
      </c>
      <c r="C247" s="90" t="str">
        <v/>
      </c>
      <c r="D247" s="89" t="str">
        <v>Evento</v>
      </c>
      <c r="E247" s="89">
        <v>0</v>
      </c>
      <c r="F247" s="89">
        <v>1</v>
      </c>
      <c r="G247" s="89" t="str">
        <f ca="1"/>
        <v>SIN FECHA</v>
      </c>
    </row>
    <row r="248" spans="1:7" x14ac:dyDescent="0.3">
      <c r="A248" s="89" t="str">
        <v>CEJAS, ALFREDO NICOLAS</v>
      </c>
      <c r="B248" s="89" t="str">
        <v xml:space="preserve"> Plan de Respuesta ante Eemergencias / HSMS.010 /Primeros Axulios &amp; RCP/DEA / HSMSWT-002 / Patogenos Trasnmitidos por la Sangre</v>
      </c>
      <c r="C248" s="90" t="str">
        <v/>
      </c>
      <c r="D248" s="89" t="str">
        <v>Periódica</v>
      </c>
      <c r="E248" s="89">
        <v>365</v>
      </c>
      <c r="F248" s="89">
        <v>1</v>
      </c>
      <c r="G248" s="89" t="str">
        <f ca="1"/>
        <v>SIN FECHA</v>
      </c>
    </row>
    <row r="249" spans="1:7" x14ac:dyDescent="0.3">
      <c r="A249" s="89" t="str">
        <v>CEJAS, ALFREDO NICOLAS</v>
      </c>
      <c r="B249" s="89" t="str">
        <v>Reporte y Gestion de Incidentes HSE (Todos)</v>
      </c>
      <c r="C249" s="90" t="str">
        <v/>
      </c>
      <c r="D249" s="89" t="str">
        <v>Periódica</v>
      </c>
      <c r="E249" s="89">
        <v>365</v>
      </c>
      <c r="F249" s="89">
        <v>1</v>
      </c>
      <c r="G249" s="89" t="str">
        <f ca="1"/>
        <v>SIN FECHA</v>
      </c>
    </row>
    <row r="250" spans="1:7" x14ac:dyDescent="0.3">
      <c r="A250" s="89" t="str">
        <v>CEJAS, ALFREDO NICOLAS</v>
      </c>
      <c r="B250" s="89" t="str">
        <v>Reporte, Gestion e Investigacion de Incidentes HSE (supervisores / investigadores (rol))</v>
      </c>
      <c r="C250" s="90" t="str">
        <v/>
      </c>
      <c r="D250" s="89" t="str">
        <v>Periódica</v>
      </c>
      <c r="E250" s="89">
        <v>1095</v>
      </c>
      <c r="F250" s="89">
        <v>2</v>
      </c>
      <c r="G250" s="89" t="str">
        <f ca="1"/>
        <v>SIN FECHA</v>
      </c>
    </row>
    <row r="251" spans="1:7" x14ac:dyDescent="0.3">
      <c r="A251" s="89" t="str">
        <v>CEJAS, ALFREDO NICOLAS</v>
      </c>
      <c r="B251" s="89" t="str">
        <v>Gruas y Equipos de Izaje (Todos)</v>
      </c>
      <c r="C251" s="90" t="str">
        <v/>
      </c>
      <c r="D251" s="89" t="str">
        <v>Periódica</v>
      </c>
      <c r="E251" s="89">
        <v>365</v>
      </c>
      <c r="F251" s="89">
        <v>2</v>
      </c>
      <c r="G251" s="89" t="str">
        <f ca="1"/>
        <v>SIN FECHA</v>
      </c>
    </row>
    <row r="252" spans="1:7" x14ac:dyDescent="0.3">
      <c r="A252" s="89" t="str">
        <v>CEJAS, ALFREDO NICOLAS</v>
      </c>
      <c r="B252" s="89" t="str">
        <v>HSMS.007 / Gruas y Equipos de Izaje (Operadores)</v>
      </c>
      <c r="C252" s="90">
        <v>46140</v>
      </c>
      <c r="D252" s="89" t="str">
        <v>Periódica</v>
      </c>
      <c r="E252" s="89">
        <v>365</v>
      </c>
      <c r="F252" s="89">
        <v>8</v>
      </c>
      <c r="G252" s="89" t="str">
        <f ca="1"/>
        <v>VIGENTE</v>
      </c>
    </row>
    <row r="253" spans="1:7" x14ac:dyDescent="0.3">
      <c r="A253" s="89" t="str">
        <v>CEJAS, ALFREDO NICOLAS</v>
      </c>
      <c r="B253" s="89" t="str">
        <v>Proteccion Contra Incendios (Todos)</v>
      </c>
      <c r="C253" s="90" t="str">
        <v/>
      </c>
      <c r="D253" s="89" t="str">
        <v>Periódica</v>
      </c>
      <c r="E253" s="89">
        <v>365</v>
      </c>
      <c r="F253" s="89">
        <v>1</v>
      </c>
      <c r="G253" s="89" t="str">
        <f ca="1"/>
        <v>SIN FECHA</v>
      </c>
    </row>
    <row r="254" spans="1:7" x14ac:dyDescent="0.3">
      <c r="A254" s="89" t="str">
        <v>CEJAS, ALFREDO NICOLAS</v>
      </c>
      <c r="B254" s="89" t="str">
        <v>Proteccion Contra Incendios (Brigadistas)</v>
      </c>
      <c r="C254" s="90" t="str">
        <v/>
      </c>
      <c r="D254" s="89" t="str">
        <v>Periódica</v>
      </c>
      <c r="E254" s="89">
        <v>365</v>
      </c>
      <c r="F254" s="89">
        <v>2</v>
      </c>
      <c r="G254" s="89" t="str">
        <f ca="1"/>
        <v>SIN FECHA</v>
      </c>
    </row>
    <row r="255" spans="1:7" x14ac:dyDescent="0.3">
      <c r="A255" s="89" t="str">
        <v>CEJAS, ALFREDO NICOLAS</v>
      </c>
      <c r="B255" s="89" t="str">
        <v>Primeros Auxilios (Brigadistas)</v>
      </c>
      <c r="C255" s="90" t="str">
        <v/>
      </c>
      <c r="D255" s="89" t="str">
        <v>Periódica</v>
      </c>
      <c r="E255" s="89">
        <v>365</v>
      </c>
      <c r="F255" s="89">
        <v>2</v>
      </c>
      <c r="G255" s="89" t="str">
        <f ca="1"/>
        <v>SIN FECHA</v>
      </c>
    </row>
    <row r="256" spans="1:7" x14ac:dyDescent="0.3">
      <c r="A256" s="89" t="str">
        <v>CEJAS, ALFREDO NICOLAS</v>
      </c>
      <c r="B256" s="89" t="str">
        <v>Seguridad Electrica (Todos)</v>
      </c>
      <c r="C256" s="90" t="str">
        <v/>
      </c>
      <c r="D256" s="89" t="str">
        <v>Periódica</v>
      </c>
      <c r="E256" s="89">
        <v>365</v>
      </c>
      <c r="F256" s="89">
        <v>1</v>
      </c>
      <c r="G256" s="89" t="str">
        <f ca="1"/>
        <v>SIN FECHA</v>
      </c>
    </row>
    <row r="257" spans="1:7" x14ac:dyDescent="0.3">
      <c r="A257" s="89" t="str">
        <v>CEJAS, ALFREDO NICOLAS</v>
      </c>
      <c r="B257" s="89" t="str">
        <v>Seguridad Electrica (Personal Autorizado)</v>
      </c>
      <c r="C257" s="90" t="str">
        <v/>
      </c>
      <c r="D257" s="89" t="str">
        <v>Periódica</v>
      </c>
      <c r="E257" s="89">
        <v>1095</v>
      </c>
      <c r="F257" s="89">
        <v>4</v>
      </c>
      <c r="G257" s="89" t="str">
        <f ca="1"/>
        <v>SIN FECHA</v>
      </c>
    </row>
    <row r="258" spans="1:7" x14ac:dyDescent="0.3">
      <c r="A258" s="89" t="str">
        <v>CEJAS, ALFREDO NICOLAS</v>
      </c>
      <c r="B258" s="89" t="str">
        <v>Camiones Industriales Motorizados (PIT) (Todos)</v>
      </c>
      <c r="C258" s="90" t="str">
        <v/>
      </c>
      <c r="D258" s="89" t="str">
        <v>Periódica</v>
      </c>
      <c r="E258" s="89">
        <v>365</v>
      </c>
      <c r="F258" s="89">
        <v>1</v>
      </c>
      <c r="G258" s="89" t="str">
        <f ca="1"/>
        <v>SIN FECHA</v>
      </c>
    </row>
    <row r="259" spans="1:7" x14ac:dyDescent="0.3">
      <c r="A259" s="89" t="str">
        <v>CEJAS, ALFREDO NICOLAS</v>
      </c>
      <c r="B259" s="89" t="str">
        <v>Camiones Industriales Motorizados (PIT) (Op. Montacargas)</v>
      </c>
      <c r="C259" s="90" t="str">
        <v/>
      </c>
      <c r="D259" s="89" t="str">
        <v>Periódica</v>
      </c>
      <c r="E259" s="89">
        <v>365</v>
      </c>
      <c r="F259" s="89">
        <v>8</v>
      </c>
      <c r="G259" s="89" t="str">
        <f ca="1"/>
        <v>SIN FECHA</v>
      </c>
    </row>
    <row r="260" spans="1:7" x14ac:dyDescent="0.3">
      <c r="A260" s="89" t="str">
        <v>CEJAS, ALFREDO NICOLAS</v>
      </c>
      <c r="B260" s="89" t="str">
        <v>Control de Energias Peligrosas (LOTO) (Todos)</v>
      </c>
      <c r="C260" s="90" t="str">
        <v/>
      </c>
      <c r="D260" s="89" t="str">
        <v>Evento</v>
      </c>
      <c r="E260" s="89">
        <v>0</v>
      </c>
      <c r="F260" s="89">
        <v>1</v>
      </c>
      <c r="G260" s="89" t="str">
        <f ca="1"/>
        <v>SIN FECHA</v>
      </c>
    </row>
    <row r="261" spans="1:7" x14ac:dyDescent="0.3">
      <c r="A261" s="89" t="str">
        <v>CEJAS, ALFREDO NICOLAS</v>
      </c>
      <c r="B261" s="89" t="str">
        <v>Control de Energias Peligrosas (LOTO) (Empleados Autorizados)</v>
      </c>
      <c r="C261" s="90">
        <v>46160</v>
      </c>
      <c r="D261" s="89" t="str">
        <v>Periódica</v>
      </c>
      <c r="E261" s="89">
        <v>365</v>
      </c>
      <c r="F261" s="89">
        <v>2</v>
      </c>
      <c r="G261" s="89" t="str">
        <f ca="1"/>
        <v>VIGENTE</v>
      </c>
    </row>
    <row r="262" spans="1:7" x14ac:dyDescent="0.3">
      <c r="A262" s="89" t="str">
        <v>CEJAS, ALFREDO NICOLAS</v>
      </c>
      <c r="B262" s="89" t="str">
        <v>Seguridad aplicada al Pozo &amp; Yacimiento</v>
      </c>
      <c r="C262" s="90" t="str">
        <v/>
      </c>
      <c r="D262" s="89" t="str">
        <v>Periódica</v>
      </c>
      <c r="E262" s="89">
        <v>365</v>
      </c>
      <c r="F262" s="89">
        <v>1</v>
      </c>
      <c r="G262" s="89" t="str">
        <f ca="1"/>
        <v>SIN FECHA</v>
      </c>
    </row>
    <row r="263" spans="1:7" x14ac:dyDescent="0.3">
      <c r="A263" s="89" t="str">
        <v>CEJAS, ALFREDO NICOLAS</v>
      </c>
      <c r="B263" s="89" t="str">
        <v>Las Reglas que Salvan Vidas</v>
      </c>
      <c r="C263" s="90" t="str">
        <v/>
      </c>
      <c r="D263" s="89" t="str">
        <v>Periódica</v>
      </c>
      <c r="E263" s="89">
        <v>365</v>
      </c>
      <c r="F263" s="89">
        <v>1</v>
      </c>
      <c r="G263" s="89" t="str">
        <f ca="1"/>
        <v>SIN FECHA</v>
      </c>
    </row>
    <row r="264" spans="1:7" x14ac:dyDescent="0.3">
      <c r="A264" s="89" t="str">
        <v>CEJAS, ALFREDO NICOLAS</v>
      </c>
      <c r="B264" s="89" t="str">
        <v xml:space="preserve">Resguardo de Maquinas &amp; Equipos </v>
      </c>
      <c r="C264" s="90" t="str">
        <v/>
      </c>
      <c r="D264" s="89" t="str">
        <v>Periódica</v>
      </c>
      <c r="E264" s="89">
        <v>365</v>
      </c>
      <c r="F264" s="89">
        <v>1</v>
      </c>
      <c r="G264" s="89" t="str">
        <f ca="1"/>
        <v>SIN FECHA</v>
      </c>
    </row>
    <row r="265" spans="1:7" x14ac:dyDescent="0.3">
      <c r="A265" s="89" t="str">
        <v>CEJAS, ALFREDO NICOLAS</v>
      </c>
      <c r="B265" s="89" t="str">
        <v>Conduccion y Gestion de Viajes (Todos)</v>
      </c>
      <c r="C265" s="90" t="str">
        <v/>
      </c>
      <c r="D265" s="89" t="str">
        <v>Periódica</v>
      </c>
      <c r="E265" s="89">
        <v>730</v>
      </c>
      <c r="F265" s="89">
        <v>1</v>
      </c>
      <c r="G265" s="89" t="str">
        <f ca="1"/>
        <v>SIN FECHA</v>
      </c>
    </row>
    <row r="266" spans="1:7" x14ac:dyDescent="0.3">
      <c r="A266" s="89" t="str">
        <v>CEJAS, ALFREDO NICOLAS</v>
      </c>
      <c r="B266" s="89" t="str">
        <v>Conduccion y Gestion de Viajes (Conductores)</v>
      </c>
      <c r="C266" s="90">
        <v>47026</v>
      </c>
      <c r="D266" s="89" t="str">
        <v>Periódica</v>
      </c>
      <c r="E266" s="89">
        <v>1095</v>
      </c>
      <c r="F266" s="89">
        <v>5</v>
      </c>
      <c r="G266" s="89" t="str">
        <f ca="1"/>
        <v>VIGENTE</v>
      </c>
    </row>
    <row r="267" spans="1:7" x14ac:dyDescent="0.3">
      <c r="A267" s="89" t="str">
        <v>CEJAS, ALFREDO NICOLAS</v>
      </c>
      <c r="B267" s="89" t="str">
        <v>Patogenos Transmitidos por la Sangre</v>
      </c>
      <c r="C267" s="90" t="str">
        <v/>
      </c>
      <c r="D267" s="89" t="str">
        <v>Periódica</v>
      </c>
      <c r="E267" s="89">
        <v>365</v>
      </c>
      <c r="F267" s="89">
        <v>1</v>
      </c>
      <c r="G267" s="89" t="str">
        <f ca="1"/>
        <v>SIN FECHA</v>
      </c>
    </row>
    <row r="268" spans="1:7" x14ac:dyDescent="0.3">
      <c r="A268" s="89" t="str">
        <v>CEJAS, ALFREDO NICOLAS</v>
      </c>
      <c r="B268" s="89" t="str">
        <v>Conservacion Auditiva</v>
      </c>
      <c r="C268" s="90" t="str">
        <v/>
      </c>
      <c r="D268" s="89" t="str">
        <v>Periódica</v>
      </c>
      <c r="E268" s="89">
        <v>365</v>
      </c>
      <c r="F268" s="89">
        <v>1</v>
      </c>
      <c r="G268" s="89" t="str">
        <f ca="1"/>
        <v>SIN FECHA</v>
      </c>
    </row>
    <row r="269" spans="1:7" x14ac:dyDescent="0.3">
      <c r="A269" s="89" t="str">
        <v>CEJAS, ALFREDO NICOLAS</v>
      </c>
      <c r="B269" s="89" t="str">
        <v xml:space="preserve">Ergonomia //  / Levantamiento &amp; Seguridad en la Espalda </v>
      </c>
      <c r="C269" s="90" t="str">
        <v/>
      </c>
      <c r="D269" s="89" t="str">
        <v>Periódica</v>
      </c>
      <c r="E269" s="89">
        <v>365</v>
      </c>
      <c r="F269" s="89">
        <v>1</v>
      </c>
      <c r="G269" s="89" t="str">
        <f ca="1"/>
        <v>SIN FECHA</v>
      </c>
    </row>
    <row r="270" spans="1:7" x14ac:dyDescent="0.3">
      <c r="A270" s="89" t="str">
        <v>CEJAS, ALFREDO NICOLAS</v>
      </c>
      <c r="B270" s="89" t="str">
        <v>Superficies Elevadas (Todos)</v>
      </c>
      <c r="C270" s="90" t="str">
        <v/>
      </c>
      <c r="D270" s="89" t="str">
        <v>Periódica</v>
      </c>
      <c r="E270" s="89">
        <v>365</v>
      </c>
      <c r="F270" s="89">
        <v>1</v>
      </c>
      <c r="G270" s="89" t="str">
        <f ca="1"/>
        <v>SIN FECHA</v>
      </c>
    </row>
    <row r="271" spans="1:7" x14ac:dyDescent="0.3">
      <c r="A271" s="89" t="str">
        <v>CEJAS, ALFREDO NICOLAS</v>
      </c>
      <c r="B271" s="89" t="str">
        <v>Superficies Elevadas (Personal Habilitado)</v>
      </c>
      <c r="C271" s="90" t="str">
        <v/>
      </c>
      <c r="D271" s="89" t="str">
        <v>Periódica</v>
      </c>
      <c r="E271" s="89">
        <v>365</v>
      </c>
      <c r="F271" s="89">
        <v>8</v>
      </c>
      <c r="G271" s="89" t="str">
        <f ca="1"/>
        <v>SIN FECHA</v>
      </c>
    </row>
    <row r="272" spans="1:7" x14ac:dyDescent="0.3">
      <c r="A272" s="89" t="str">
        <v>CEJAS, ALFREDO NICOLAS</v>
      </c>
      <c r="B272" s="89" t="str">
        <v>Seguridad Quimica (Todos)</v>
      </c>
      <c r="C272" s="90" t="str">
        <v/>
      </c>
      <c r="D272" s="89" t="str">
        <v>Periódica</v>
      </c>
      <c r="E272" s="89">
        <v>730</v>
      </c>
      <c r="F272" s="89">
        <v>1</v>
      </c>
      <c r="G272" s="89" t="str">
        <f ca="1"/>
        <v>SIN FECHA</v>
      </c>
    </row>
    <row r="273" spans="1:7" x14ac:dyDescent="0.3">
      <c r="A273" s="89" t="str">
        <v>CEJAS, ALFREDO NICOLAS</v>
      </c>
      <c r="B273" s="89" t="str">
        <v>Seguridad Quimica (Mantenimiento)</v>
      </c>
      <c r="C273" s="90" t="str">
        <v/>
      </c>
      <c r="D273" s="89" t="str">
        <v>Periódica</v>
      </c>
      <c r="E273" s="89">
        <v>365</v>
      </c>
      <c r="F273" s="89">
        <v>1</v>
      </c>
      <c r="G273" s="89" t="str">
        <f ca="1"/>
        <v>SIN FECHA</v>
      </c>
    </row>
    <row r="274" spans="1:7" x14ac:dyDescent="0.3">
      <c r="A274" s="89" t="str">
        <v>CEJAS, ALFREDO NICOLAS</v>
      </c>
      <c r="B274" s="89" t="str">
        <v>Seguridad Quimica (Contratistas)</v>
      </c>
      <c r="C274" s="90" t="str">
        <v/>
      </c>
      <c r="D274" s="89" t="str">
        <v>Periódica</v>
      </c>
      <c r="E274" s="89">
        <v>365</v>
      </c>
      <c r="F274" s="89">
        <v>1</v>
      </c>
      <c r="G274" s="89" t="str">
        <f ca="1"/>
        <v>SIN FECHA</v>
      </c>
    </row>
    <row r="275" spans="1:7" x14ac:dyDescent="0.3">
      <c r="A275" s="89" t="str">
        <v>CEJAS, ALFREDO NICOLAS</v>
      </c>
      <c r="B275" s="89" t="str">
        <v>Seguridad para Trabajos en Caliente</v>
      </c>
      <c r="C275" s="90">
        <v>45770</v>
      </c>
      <c r="D275" s="89" t="str">
        <v>Periódica</v>
      </c>
      <c r="E275" s="89">
        <v>365</v>
      </c>
      <c r="F275" s="89">
        <v>1</v>
      </c>
      <c r="G275" s="89" t="str">
        <f ca="1"/>
        <v>VENCIDA</v>
      </c>
    </row>
    <row r="276" spans="1:7" x14ac:dyDescent="0.3">
      <c r="A276" s="89" t="str">
        <v>CEJAS, ALFREDO NICOLAS</v>
      </c>
      <c r="B276" s="89" t="str">
        <v>Seguridad con la Radiacion</v>
      </c>
      <c r="C276" s="90" t="str">
        <v/>
      </c>
      <c r="D276" s="89" t="str">
        <v>Periódica</v>
      </c>
      <c r="E276" s="89">
        <v>365</v>
      </c>
      <c r="F276" s="89">
        <v>2</v>
      </c>
      <c r="G276" s="89" t="str">
        <f ca="1"/>
        <v>SIN FECHA</v>
      </c>
    </row>
    <row r="277" spans="1:7" x14ac:dyDescent="0.3">
      <c r="A277" s="89" t="str">
        <v>CEJAS, ALFREDO NICOLAS</v>
      </c>
      <c r="B277" s="89" t="str">
        <v>Equipo de Proteccion Personal (PPE)</v>
      </c>
      <c r="C277" s="90" t="str">
        <v/>
      </c>
      <c r="D277" s="89" t="str">
        <v>Periódica</v>
      </c>
      <c r="E277" s="89">
        <v>365</v>
      </c>
      <c r="F277" s="89">
        <v>1</v>
      </c>
      <c r="G277" s="89" t="str">
        <f ca="1"/>
        <v>SIN FECHA</v>
      </c>
    </row>
    <row r="278" spans="1:7" x14ac:dyDescent="0.3">
      <c r="A278" s="89" t="str">
        <v>CEJAS, ALFREDO NICOLAS</v>
      </c>
      <c r="B278" s="89" t="str">
        <v>Proteccion Respiratoria</v>
      </c>
      <c r="C278" s="90" t="str">
        <v/>
      </c>
      <c r="D278" s="89" t="str">
        <v>Periódica</v>
      </c>
      <c r="E278" s="89">
        <v>365</v>
      </c>
      <c r="F278" s="89">
        <v>1</v>
      </c>
      <c r="G278" s="89" t="str">
        <f ca="1"/>
        <v>SIN FECHA</v>
      </c>
    </row>
    <row r="279" spans="1:7" x14ac:dyDescent="0.3">
      <c r="A279" s="89" t="str">
        <v>CEJAS, ALFREDO NICOLAS</v>
      </c>
      <c r="B279" s="89" t="str">
        <v xml:space="preserve">Seguridad con Escaleras </v>
      </c>
      <c r="C279" s="90" t="str">
        <v/>
      </c>
      <c r="D279" s="89" t="str">
        <v>Periódica</v>
      </c>
      <c r="E279" s="89">
        <v>365</v>
      </c>
      <c r="F279" s="89">
        <v>1</v>
      </c>
      <c r="G279" s="89" t="str">
        <f ca="1"/>
        <v>SIN FECHA</v>
      </c>
    </row>
    <row r="280" spans="1:7" x14ac:dyDescent="0.3">
      <c r="A280" s="89" t="str">
        <v>CEJAS, ALFREDO NICOLAS</v>
      </c>
      <c r="B280" s="89" t="str">
        <v>Seguridad con Escaleras // Estantes de Almacenamiento</v>
      </c>
      <c r="C280" s="90" t="str">
        <v/>
      </c>
      <c r="D280" s="89" t="str">
        <v>Periódica</v>
      </c>
      <c r="E280" s="89">
        <v>365</v>
      </c>
      <c r="F280" s="89">
        <v>1</v>
      </c>
      <c r="G280" s="89" t="str">
        <f ca="1"/>
        <v>SIN FECHA</v>
      </c>
    </row>
    <row r="281" spans="1:7" x14ac:dyDescent="0.3">
      <c r="A281" s="89" t="str">
        <v>CEJAS, ALFREDO NICOLAS</v>
      </c>
      <c r="B281" s="89" t="str">
        <v>Responsabilidades del Supervisor</v>
      </c>
      <c r="C281" s="90" t="str">
        <v/>
      </c>
      <c r="D281" s="89" t="str">
        <v>Periódica</v>
      </c>
      <c r="E281" s="89">
        <v>365</v>
      </c>
      <c r="F281" s="89">
        <v>1</v>
      </c>
      <c r="G281" s="89" t="str">
        <f ca="1"/>
        <v>SIN FECHA</v>
      </c>
    </row>
    <row r="282" spans="1:7" x14ac:dyDescent="0.3">
      <c r="A282" s="89" t="str">
        <v>CEJAS, ALFREDO NICOLAS</v>
      </c>
      <c r="B282" s="89" t="str">
        <v>Espacios Confinados (Todos)</v>
      </c>
      <c r="C282" s="90" t="str">
        <v/>
      </c>
      <c r="D282" s="89" t="str">
        <v>Periódica</v>
      </c>
      <c r="E282" s="89">
        <v>365</v>
      </c>
      <c r="F282" s="89">
        <v>1</v>
      </c>
      <c r="G282" s="89" t="str">
        <f ca="1"/>
        <v>SIN FECHA</v>
      </c>
    </row>
    <row r="283" spans="1:7" x14ac:dyDescent="0.3">
      <c r="A283" s="89" t="str">
        <v>CEJAS, ALFREDO NICOLAS</v>
      </c>
      <c r="B283" s="89" t="str">
        <v>HSMS.017 / Espacios Confinados (Entrantes)</v>
      </c>
      <c r="C283" s="90" t="str">
        <v/>
      </c>
      <c r="D283" s="89" t="str">
        <v>Evento</v>
      </c>
      <c r="E283" s="89">
        <v>0</v>
      </c>
      <c r="F283" s="89">
        <v>8</v>
      </c>
      <c r="G283" s="89" t="str">
        <f ca="1"/>
        <v>SIN FECHA</v>
      </c>
    </row>
    <row r="284" spans="1:7" x14ac:dyDescent="0.3">
      <c r="A284" s="89" t="str">
        <v>CEJAS, ALFREDO NICOLAS</v>
      </c>
      <c r="B284" s="89" t="str">
        <v>Programa de Agua (Todos)</v>
      </c>
      <c r="C284" s="90">
        <v>46160</v>
      </c>
      <c r="D284" s="89" t="str">
        <v>Evento</v>
      </c>
      <c r="E284" s="89">
        <v>0</v>
      </c>
      <c r="F284" s="89">
        <v>1</v>
      </c>
      <c r="G284" s="89" t="str">
        <f ca="1"/>
        <v>VIGENTE</v>
      </c>
    </row>
    <row r="285" spans="1:7" x14ac:dyDescent="0.3">
      <c r="A285" s="89" t="str">
        <v>CEJAS, ALFREDO NICOLAS</v>
      </c>
      <c r="B285" s="89" t="str">
        <v>Programa de Agua (HSE)</v>
      </c>
      <c r="C285" s="90" t="str">
        <v/>
      </c>
      <c r="D285" s="89" t="str">
        <v>Evento</v>
      </c>
      <c r="E285" s="89">
        <v>0</v>
      </c>
      <c r="F285" s="89">
        <v>1</v>
      </c>
      <c r="G285" s="89" t="str">
        <f ca="1"/>
        <v>SIN FECHA</v>
      </c>
    </row>
    <row r="286" spans="1:7" x14ac:dyDescent="0.3">
      <c r="A286" s="89" t="str">
        <v>CEJAS, ALFREDO NICOLAS</v>
      </c>
      <c r="B286" s="89" t="str">
        <v>HIV/SIDA y otras enfermedades de transmisión sexual (ETS)</v>
      </c>
      <c r="C286" s="90" t="str">
        <v/>
      </c>
      <c r="D286" s="89" t="str">
        <v>Periódica</v>
      </c>
      <c r="E286" s="89">
        <v>365</v>
      </c>
      <c r="F286" s="89">
        <v>1</v>
      </c>
      <c r="G286" s="89" t="str">
        <f ca="1"/>
        <v>SIN FECHA</v>
      </c>
    </row>
    <row r="287" spans="1:7" x14ac:dyDescent="0.3">
      <c r="A287" s="89" t="str">
        <v>CEJAS, ALFREDO NICOLAS</v>
      </c>
      <c r="B287" s="89" t="str">
        <v>Drogas de abuso (concientización y prevención)</v>
      </c>
      <c r="C287" s="90" t="str">
        <v/>
      </c>
      <c r="D287" s="89" t="str">
        <v>Periódica</v>
      </c>
      <c r="E287" s="89">
        <v>365</v>
      </c>
      <c r="F287" s="89">
        <v>1</v>
      </c>
      <c r="G287" s="89" t="str">
        <f ca="1"/>
        <v>SIN FECHA</v>
      </c>
    </row>
    <row r="288" spans="1:7" x14ac:dyDescent="0.3">
      <c r="A288" s="89" t="str">
        <v>CEJAS, ALFREDO NICOLAS</v>
      </c>
      <c r="B288" s="89" t="str">
        <v>Vida saludable (hábitos, autocuidado y bienestar)</v>
      </c>
      <c r="C288" s="90" t="str">
        <v/>
      </c>
      <c r="D288" s="89" t="str">
        <v>Periódica</v>
      </c>
      <c r="E288" s="89">
        <v>365</v>
      </c>
      <c r="F288" s="89">
        <v>1</v>
      </c>
      <c r="G288" s="89" t="str">
        <f ca="1"/>
        <v>SIN FECHA</v>
      </c>
    </row>
    <row r="289" spans="1:7" x14ac:dyDescent="0.3">
      <c r="A289" s="89" t="str">
        <v>CEJAS, ALFREDO NICOLAS</v>
      </c>
      <c r="B289" s="89" t="str">
        <v>Primeros auxilios y Reanimación Cardio Pulmonar (RCP)</v>
      </c>
      <c r="C289" s="90" t="str">
        <v/>
      </c>
      <c r="D289" s="89" t="str">
        <v>Periódica</v>
      </c>
      <c r="E289" s="89">
        <v>365</v>
      </c>
      <c r="F289" s="89">
        <v>4</v>
      </c>
      <c r="G289" s="89" t="str">
        <f ca="1"/>
        <v>SIN FECHA</v>
      </c>
    </row>
    <row r="290" spans="1:7" x14ac:dyDescent="0.3">
      <c r="A290" s="89" t="str">
        <v>CEJAS, ALFREDO NICOLAS</v>
      </c>
      <c r="B290" s="89" t="str">
        <v>Prevención cardiovascular (factores de riesgo y señales de alarma)</v>
      </c>
      <c r="C290" s="90" t="str">
        <v/>
      </c>
      <c r="D290" s="89" t="str">
        <v>Periódica</v>
      </c>
      <c r="E290" s="89">
        <v>365</v>
      </c>
      <c r="F290" s="89">
        <v>1</v>
      </c>
      <c r="G290" s="89" t="str">
        <f ca="1"/>
        <v>SIN FECHA</v>
      </c>
    </row>
    <row r="291" spans="1:7" x14ac:dyDescent="0.3">
      <c r="A291" s="89" t="str">
        <v>CEJAS, ALFREDO NICOLAS</v>
      </c>
      <c r="B291" s="89" t="str">
        <v>Efectos del tabaco sobre la salud</v>
      </c>
      <c r="C291" s="90" t="str">
        <v/>
      </c>
      <c r="D291" s="89" t="str">
        <v>Periódica</v>
      </c>
      <c r="E291" s="89">
        <v>365</v>
      </c>
      <c r="F291" s="89">
        <v>1</v>
      </c>
      <c r="G291" s="89" t="str">
        <f ca="1"/>
        <v>SIN FECHA</v>
      </c>
    </row>
    <row r="292" spans="1:7" x14ac:dyDescent="0.3">
      <c r="A292" s="89" t="str">
        <v>CEJAS, ALFREDO NICOLAS</v>
      </c>
      <c r="B292" s="89" t="str">
        <v>Cargadora (Op. Montacargas)</v>
      </c>
      <c r="C292" s="90" t="str">
        <v/>
      </c>
      <c r="D292" s="89" t="str">
        <v>Periódica</v>
      </c>
      <c r="E292" s="89">
        <v>365</v>
      </c>
      <c r="F292" s="89">
        <v>8</v>
      </c>
      <c r="G292" s="89" t="str">
        <f ca="1"/>
        <v>SIN FECHA</v>
      </c>
    </row>
    <row r="293" spans="1:7" x14ac:dyDescent="0.3">
      <c r="A293" s="89" t="str">
        <v>CEJAS, ALFREDO NICOLAS</v>
      </c>
      <c r="B293" s="89">
        <v>0</v>
      </c>
      <c r="C293" s="90" t="str">
        <v/>
      </c>
      <c r="D293" s="89" t="str">
        <v/>
      </c>
      <c r="E293" s="89" t="str">
        <v/>
      </c>
      <c r="F293" s="89" t="str">
        <v/>
      </c>
      <c r="G293" s="89" t="str">
        <f ca="1"/>
        <v>SIN FECHA</v>
      </c>
    </row>
    <row r="294" spans="1:7" x14ac:dyDescent="0.3">
      <c r="A294" s="89" t="str">
        <v>CEJAS, ALFREDO NICOLAS</v>
      </c>
      <c r="B294" s="89">
        <v>0</v>
      </c>
      <c r="C294" s="90" t="str">
        <v/>
      </c>
      <c r="D294" s="89" t="str">
        <v/>
      </c>
      <c r="E294" s="89" t="str">
        <v/>
      </c>
      <c r="F294" s="89" t="str">
        <v/>
      </c>
      <c r="G294" s="89" t="str">
        <f ca="1"/>
        <v>SIN FECHA</v>
      </c>
    </row>
    <row r="295" spans="1:7" x14ac:dyDescent="0.3">
      <c r="A295" s="89" t="str">
        <v>CEJAS, ALFREDO NICOLAS</v>
      </c>
      <c r="B295" s="89">
        <v>0</v>
      </c>
      <c r="C295" s="90" t="str">
        <v/>
      </c>
      <c r="D295" s="89" t="str">
        <v/>
      </c>
      <c r="E295" s="89" t="str">
        <v/>
      </c>
      <c r="F295" s="89" t="str">
        <v/>
      </c>
      <c r="G295" s="89" t="str">
        <f ca="1"/>
        <v>SIN FECHA</v>
      </c>
    </row>
    <row r="296" spans="1:7" x14ac:dyDescent="0.3">
      <c r="A296" s="89" t="str">
        <v>CEJAS, ALFREDO NICOLAS</v>
      </c>
      <c r="B296" s="89">
        <v>0</v>
      </c>
      <c r="C296" s="90" t="str">
        <v/>
      </c>
      <c r="D296" s="89" t="str">
        <v/>
      </c>
      <c r="E296" s="89" t="str">
        <v/>
      </c>
      <c r="F296" s="89" t="str">
        <v/>
      </c>
      <c r="G296" s="89" t="str">
        <f ca="1"/>
        <v>SIN FECHA</v>
      </c>
    </row>
    <row r="297" spans="1:7" x14ac:dyDescent="0.3">
      <c r="A297" s="89" t="str">
        <v>CEJAS, ALFREDO NICOLAS</v>
      </c>
      <c r="B297" s="89">
        <v>0</v>
      </c>
      <c r="C297" s="90" t="str">
        <v/>
      </c>
      <c r="D297" s="89" t="str">
        <v/>
      </c>
      <c r="E297" s="89" t="str">
        <v/>
      </c>
      <c r="F297" s="89" t="str">
        <v/>
      </c>
      <c r="G297" s="89" t="str">
        <f ca="1"/>
        <v>SIN FECHA</v>
      </c>
    </row>
    <row r="298" spans="1:7" x14ac:dyDescent="0.3">
      <c r="A298" s="89" t="str">
        <v>CEJAS, ALFREDO NICOLAS</v>
      </c>
      <c r="B298" s="89">
        <v>0</v>
      </c>
      <c r="C298" s="90" t="str">
        <v/>
      </c>
      <c r="D298" s="89" t="str">
        <v/>
      </c>
      <c r="E298" s="89" t="str">
        <v/>
      </c>
      <c r="F298" s="89" t="str">
        <v/>
      </c>
      <c r="G298" s="89" t="str">
        <f ca="1"/>
        <v>SIN FECHA</v>
      </c>
    </row>
    <row r="299" spans="1:7" x14ac:dyDescent="0.3">
      <c r="A299" s="89" t="str">
        <v>CEJAS, ALFREDO NICOLAS</v>
      </c>
      <c r="B299" s="89">
        <v>0</v>
      </c>
      <c r="C299" s="90" t="str">
        <v/>
      </c>
      <c r="D299" s="89" t="str">
        <v/>
      </c>
      <c r="E299" s="89" t="str">
        <v/>
      </c>
      <c r="F299" s="89" t="str">
        <v/>
      </c>
      <c r="G299" s="89" t="str">
        <f ca="1"/>
        <v>SIN FECHA</v>
      </c>
    </row>
    <row r="300" spans="1:7" x14ac:dyDescent="0.3">
      <c r="A300" s="89" t="str">
        <v>CEJAS, ALFREDO NICOLAS</v>
      </c>
      <c r="B300" s="89">
        <v>0</v>
      </c>
      <c r="C300" s="90" t="str">
        <v/>
      </c>
      <c r="D300" s="89" t="str">
        <v/>
      </c>
      <c r="E300" s="89" t="str">
        <v/>
      </c>
      <c r="F300" s="89" t="str">
        <v/>
      </c>
      <c r="G300" s="89" t="str">
        <f ca="1"/>
        <v>SIN FECHA</v>
      </c>
    </row>
    <row r="301" spans="1:7" x14ac:dyDescent="0.3">
      <c r="A301" s="89" t="str">
        <v>CEJAS, ALFREDO NICOLAS</v>
      </c>
      <c r="B301" s="89">
        <v>0</v>
      </c>
      <c r="C301" s="90" t="str">
        <v/>
      </c>
      <c r="D301" s="89" t="str">
        <v/>
      </c>
      <c r="E301" s="89" t="str">
        <v/>
      </c>
      <c r="F301" s="89" t="str">
        <v/>
      </c>
      <c r="G301" s="89" t="str">
        <f ca="1"/>
        <v>SIN FECHA</v>
      </c>
    </row>
    <row r="302" spans="1:7" x14ac:dyDescent="0.3">
      <c r="A302" s="89" t="str">
        <v>DODDS, CARLOS DANIEL</v>
      </c>
      <c r="B302" s="89" t="str">
        <v>Programa de Aire</v>
      </c>
      <c r="C302" s="90" t="str">
        <v/>
      </c>
      <c r="D302" s="89" t="str">
        <v>Evento</v>
      </c>
      <c r="E302" s="89">
        <v>0</v>
      </c>
      <c r="F302" s="89">
        <v>1</v>
      </c>
      <c r="G302" s="89" t="str">
        <f ca="1"/>
        <v>SIN FECHA</v>
      </c>
    </row>
    <row r="303" spans="1:7" x14ac:dyDescent="0.3">
      <c r="A303" s="89" t="str">
        <v>DODDS, CARLOS DANIEL</v>
      </c>
      <c r="B303" s="89" t="str">
        <v>Conciencia Ambiental</v>
      </c>
      <c r="C303" s="90">
        <v>46162</v>
      </c>
      <c r="D303" s="89" t="str">
        <v>Periódica</v>
      </c>
      <c r="E303" s="89">
        <v>365</v>
      </c>
      <c r="F303" s="89">
        <v>1</v>
      </c>
      <c r="G303" s="89" t="str">
        <f ca="1"/>
        <v>VIGENTE</v>
      </c>
    </row>
    <row r="304" spans="1:7" x14ac:dyDescent="0.3">
      <c r="A304" s="89" t="str">
        <v>DODDS, CARLOS DANIEL</v>
      </c>
      <c r="B304" s="89" t="str">
        <v xml:space="preserve">Control de Documentos e Informacion de HSE </v>
      </c>
      <c r="C304" s="90" t="str">
        <v/>
      </c>
      <c r="D304" s="89" t="str">
        <v>Evento</v>
      </c>
      <c r="E304" s="89">
        <v>0</v>
      </c>
      <c r="F304" s="89">
        <v>1</v>
      </c>
      <c r="G304" s="89" t="str">
        <f ca="1"/>
        <v>SIN FECHA</v>
      </c>
    </row>
    <row r="305" spans="1:7" x14ac:dyDescent="0.3">
      <c r="A305" s="89" t="str">
        <v>DODDS, CARLOS DANIEL</v>
      </c>
      <c r="B305" s="89" t="str">
        <v xml:space="preserve"> Acciones Correctivas y Preventivas (CAPA)</v>
      </c>
      <c r="C305" s="90" t="str">
        <v/>
      </c>
      <c r="D305" s="89" t="str">
        <v>Evento</v>
      </c>
      <c r="E305" s="89">
        <v>0</v>
      </c>
      <c r="F305" s="89">
        <v>1</v>
      </c>
      <c r="G305" s="89" t="str">
        <f ca="1"/>
        <v>SIN FECHA</v>
      </c>
    </row>
    <row r="306" spans="1:7" x14ac:dyDescent="0.3">
      <c r="A306" s="89" t="str">
        <v>DODDS, CARLOS DANIEL</v>
      </c>
      <c r="B306" s="89" t="str">
        <v>Seguridad Basada en el Comportamiento (Observation Program) // HSMS.043 / Autoridad de Detener el Trabajo</v>
      </c>
      <c r="C306" s="90">
        <v>45838</v>
      </c>
      <c r="D306" s="89" t="str">
        <v>Periódica</v>
      </c>
      <c r="E306" s="89">
        <v>365</v>
      </c>
      <c r="F306" s="89">
        <v>1</v>
      </c>
      <c r="G306" s="89" t="str">
        <f ca="1"/>
        <v>VENCIDA</v>
      </c>
    </row>
    <row r="307" spans="1:7" x14ac:dyDescent="0.3">
      <c r="A307" s="89" t="str">
        <v>DODDS, CARLOS DANIEL</v>
      </c>
      <c r="B307" s="89" t="str">
        <v>Identificacion de Peligros y Evaluacion de Riesgos</v>
      </c>
      <c r="C307" s="90">
        <v>46017</v>
      </c>
      <c r="D307" s="89" t="str">
        <v>Evento</v>
      </c>
      <c r="E307" s="89">
        <v>0</v>
      </c>
      <c r="F307" s="89">
        <v>1</v>
      </c>
      <c r="G307" s="89" t="str">
        <f ca="1"/>
        <v>VIGENTE</v>
      </c>
    </row>
    <row r="308" spans="1:7" x14ac:dyDescent="0.3">
      <c r="A308" s="89" t="str">
        <v>DODDS, CARLOS DANIEL</v>
      </c>
      <c r="B308" s="89" t="str">
        <v xml:space="preserve"> Plan de Respuesta ante Eemergencias / HSMS.010 /Primeros Axulios &amp; RCP/DEA / HSMSWT-002 / Patogenos Trasnmitidos por la Sangre</v>
      </c>
      <c r="C308" s="90" t="str">
        <v/>
      </c>
      <c r="D308" s="89" t="str">
        <v>Periódica</v>
      </c>
      <c r="E308" s="89">
        <v>365</v>
      </c>
      <c r="F308" s="89">
        <v>1</v>
      </c>
      <c r="G308" s="89" t="str">
        <f ca="1"/>
        <v>SIN FECHA</v>
      </c>
    </row>
    <row r="309" spans="1:7" x14ac:dyDescent="0.3">
      <c r="A309" s="89" t="str">
        <v>DODDS, CARLOS DANIEL</v>
      </c>
      <c r="B309" s="89" t="str">
        <v>Reporte y Gestion de Incidentes HSE (Todos)</v>
      </c>
      <c r="C309" s="90">
        <v>46017</v>
      </c>
      <c r="D309" s="89" t="str">
        <v>Periódica</v>
      </c>
      <c r="E309" s="89">
        <v>365</v>
      </c>
      <c r="F309" s="89">
        <v>1</v>
      </c>
      <c r="G309" s="89" t="str">
        <f ca="1"/>
        <v>VIGENTE</v>
      </c>
    </row>
    <row r="310" spans="1:7" x14ac:dyDescent="0.3">
      <c r="A310" s="89" t="str">
        <v>DODDS, CARLOS DANIEL</v>
      </c>
      <c r="B310" s="89" t="str">
        <v>Reporte, Gestion e Investigacion de Incidentes HSE (supervisores / investigadores (rol))</v>
      </c>
      <c r="C310" s="90" t="str">
        <v/>
      </c>
      <c r="D310" s="89" t="str">
        <v>Periódica</v>
      </c>
      <c r="E310" s="89">
        <v>1095</v>
      </c>
      <c r="F310" s="89">
        <v>2</v>
      </c>
      <c r="G310" s="89" t="str">
        <f ca="1"/>
        <v>SIN FECHA</v>
      </c>
    </row>
    <row r="311" spans="1:7" x14ac:dyDescent="0.3">
      <c r="A311" s="89" t="str">
        <v>DODDS, CARLOS DANIEL</v>
      </c>
      <c r="B311" s="89" t="str">
        <v>Gruas y Equipos de Izaje (Todos)</v>
      </c>
      <c r="C311" s="90" t="str">
        <v/>
      </c>
      <c r="D311" s="89" t="str">
        <v>Periódica</v>
      </c>
      <c r="E311" s="89">
        <v>365</v>
      </c>
      <c r="F311" s="89">
        <v>2</v>
      </c>
      <c r="G311" s="89" t="str">
        <f ca="1"/>
        <v>SIN FECHA</v>
      </c>
    </row>
    <row r="312" spans="1:7" x14ac:dyDescent="0.3">
      <c r="A312" s="89" t="str">
        <v>DODDS, CARLOS DANIEL</v>
      </c>
      <c r="B312" s="89" t="str">
        <v>HSMS.007 / Gruas y Equipos de Izaje (Operadores)</v>
      </c>
      <c r="C312" s="90">
        <v>46140</v>
      </c>
      <c r="D312" s="89" t="str">
        <v>Periódica</v>
      </c>
      <c r="E312" s="89">
        <v>365</v>
      </c>
      <c r="F312" s="89">
        <v>8</v>
      </c>
      <c r="G312" s="89" t="str">
        <f ca="1"/>
        <v>VIGENTE</v>
      </c>
    </row>
    <row r="313" spans="1:7" x14ac:dyDescent="0.3">
      <c r="A313" s="89" t="str">
        <v>DODDS, CARLOS DANIEL</v>
      </c>
      <c r="B313" s="89" t="str">
        <v>Proteccion Contra Incendios (Todos)</v>
      </c>
      <c r="C313" s="90">
        <v>46017</v>
      </c>
      <c r="D313" s="89" t="str">
        <v>Periódica</v>
      </c>
      <c r="E313" s="89">
        <v>365</v>
      </c>
      <c r="F313" s="89">
        <v>1</v>
      </c>
      <c r="G313" s="89" t="str">
        <f ca="1"/>
        <v>VIGENTE</v>
      </c>
    </row>
    <row r="314" spans="1:7" x14ac:dyDescent="0.3">
      <c r="A314" s="89" t="str">
        <v>DODDS, CARLOS DANIEL</v>
      </c>
      <c r="B314" s="89" t="str">
        <v>Proteccion Contra Incendios (Brigadistas)</v>
      </c>
      <c r="C314" s="90" t="str">
        <v/>
      </c>
      <c r="D314" s="89" t="str">
        <v>Periódica</v>
      </c>
      <c r="E314" s="89">
        <v>365</v>
      </c>
      <c r="F314" s="89">
        <v>2</v>
      </c>
      <c r="G314" s="89" t="str">
        <f ca="1"/>
        <v>SIN FECHA</v>
      </c>
    </row>
    <row r="315" spans="1:7" x14ac:dyDescent="0.3">
      <c r="A315" s="89" t="str">
        <v>DODDS, CARLOS DANIEL</v>
      </c>
      <c r="B315" s="89" t="str">
        <v>Primeros Auxilios (Brigadistas)</v>
      </c>
      <c r="C315" s="90" t="str">
        <v/>
      </c>
      <c r="D315" s="89" t="str">
        <v>Periódica</v>
      </c>
      <c r="E315" s="89">
        <v>365</v>
      </c>
      <c r="F315" s="89">
        <v>2</v>
      </c>
      <c r="G315" s="89" t="str">
        <f ca="1"/>
        <v>SIN FECHA</v>
      </c>
    </row>
    <row r="316" spans="1:7" x14ac:dyDescent="0.3">
      <c r="A316" s="89" t="str">
        <v>DODDS, CARLOS DANIEL</v>
      </c>
      <c r="B316" s="89" t="str">
        <v>Seguridad Electrica (Todos)</v>
      </c>
      <c r="C316" s="90" t="str">
        <v/>
      </c>
      <c r="D316" s="89" t="str">
        <v>Periódica</v>
      </c>
      <c r="E316" s="89">
        <v>365</v>
      </c>
      <c r="F316" s="89">
        <v>1</v>
      </c>
      <c r="G316" s="89" t="str">
        <f ca="1"/>
        <v>SIN FECHA</v>
      </c>
    </row>
    <row r="317" spans="1:7" x14ac:dyDescent="0.3">
      <c r="A317" s="89" t="str">
        <v>DODDS, CARLOS DANIEL</v>
      </c>
      <c r="B317" s="89" t="str">
        <v>Seguridad Electrica (Personal Autorizado)</v>
      </c>
      <c r="C317" s="90" t="str">
        <v/>
      </c>
      <c r="D317" s="89" t="str">
        <v>Periódica</v>
      </c>
      <c r="E317" s="89">
        <v>1095</v>
      </c>
      <c r="F317" s="89">
        <v>4</v>
      </c>
      <c r="G317" s="89" t="str">
        <f ca="1"/>
        <v>SIN FECHA</v>
      </c>
    </row>
    <row r="318" spans="1:7" x14ac:dyDescent="0.3">
      <c r="A318" s="89" t="str">
        <v>DODDS, CARLOS DANIEL</v>
      </c>
      <c r="B318" s="89" t="str">
        <v>Camiones Industriales Motorizados (PIT) (Todos)</v>
      </c>
      <c r="C318" s="90" t="str">
        <v/>
      </c>
      <c r="D318" s="89" t="str">
        <v>Periódica</v>
      </c>
      <c r="E318" s="89">
        <v>365</v>
      </c>
      <c r="F318" s="89">
        <v>1</v>
      </c>
      <c r="G318" s="89" t="str">
        <f ca="1"/>
        <v>SIN FECHA</v>
      </c>
    </row>
    <row r="319" spans="1:7" x14ac:dyDescent="0.3">
      <c r="A319" s="89" t="str">
        <v>DODDS, CARLOS DANIEL</v>
      </c>
      <c r="B319" s="89" t="str">
        <v>Camiones Industriales Motorizados (PIT) (Op. Montacargas)</v>
      </c>
      <c r="C319" s="90" t="str">
        <v/>
      </c>
      <c r="D319" s="89" t="str">
        <v>Periódica</v>
      </c>
      <c r="E319" s="89">
        <v>365</v>
      </c>
      <c r="F319" s="89">
        <v>8</v>
      </c>
      <c r="G319" s="89" t="str">
        <f ca="1"/>
        <v>SIN FECHA</v>
      </c>
    </row>
    <row r="320" spans="1:7" x14ac:dyDescent="0.3">
      <c r="A320" s="89" t="str">
        <v>DODDS, CARLOS DANIEL</v>
      </c>
      <c r="B320" s="89" t="str">
        <v>Control de Energias Peligrosas (LOTO) (Todos)</v>
      </c>
      <c r="C320" s="90">
        <v>45838</v>
      </c>
      <c r="D320" s="89" t="str">
        <v>Evento</v>
      </c>
      <c r="E320" s="89">
        <v>0</v>
      </c>
      <c r="F320" s="89">
        <v>1</v>
      </c>
      <c r="G320" s="89" t="str">
        <f ca="1"/>
        <v>VIGENTE</v>
      </c>
    </row>
    <row r="321" spans="1:7" x14ac:dyDescent="0.3">
      <c r="A321" s="89" t="str">
        <v>DODDS, CARLOS DANIEL</v>
      </c>
      <c r="B321" s="89" t="str">
        <v>Control de Energias Peligrosas (LOTO) (Empleados Autorizados)</v>
      </c>
      <c r="C321" s="90">
        <v>46162</v>
      </c>
      <c r="D321" s="89" t="str">
        <v>Periódica</v>
      </c>
      <c r="E321" s="89">
        <v>365</v>
      </c>
      <c r="F321" s="89">
        <v>2</v>
      </c>
      <c r="G321" s="89" t="str">
        <f ca="1"/>
        <v>VIGENTE</v>
      </c>
    </row>
    <row r="322" spans="1:7" x14ac:dyDescent="0.3">
      <c r="A322" s="89" t="str">
        <v>DODDS, CARLOS DANIEL</v>
      </c>
      <c r="B322" s="89" t="str">
        <v>Seguridad aplicada al Pozo &amp; Yacimiento</v>
      </c>
      <c r="C322" s="90" t="str">
        <v/>
      </c>
      <c r="D322" s="89" t="str">
        <v>Periódica</v>
      </c>
      <c r="E322" s="89">
        <v>365</v>
      </c>
      <c r="F322" s="89">
        <v>1</v>
      </c>
      <c r="G322" s="89" t="str">
        <f ca="1"/>
        <v>SIN FECHA</v>
      </c>
    </row>
    <row r="323" spans="1:7" x14ac:dyDescent="0.3">
      <c r="A323" s="89" t="str">
        <v>DODDS, CARLOS DANIEL</v>
      </c>
      <c r="B323" s="89" t="str">
        <v>Las Reglas que Salvan Vidas</v>
      </c>
      <c r="C323" s="90" t="str">
        <v/>
      </c>
      <c r="D323" s="89" t="str">
        <v>Periódica</v>
      </c>
      <c r="E323" s="89">
        <v>365</v>
      </c>
      <c r="F323" s="89">
        <v>1</v>
      </c>
      <c r="G323" s="89" t="str">
        <f ca="1"/>
        <v>SIN FECHA</v>
      </c>
    </row>
    <row r="324" spans="1:7" x14ac:dyDescent="0.3">
      <c r="A324" s="89" t="str">
        <v>DODDS, CARLOS DANIEL</v>
      </c>
      <c r="B324" s="89" t="str">
        <v xml:space="preserve">Resguardo de Maquinas &amp; Equipos </v>
      </c>
      <c r="C324" s="90" t="str">
        <v/>
      </c>
      <c r="D324" s="89" t="str">
        <v>Periódica</v>
      </c>
      <c r="E324" s="89">
        <v>365</v>
      </c>
      <c r="F324" s="89">
        <v>1</v>
      </c>
      <c r="G324" s="89" t="str">
        <f ca="1"/>
        <v>SIN FECHA</v>
      </c>
    </row>
    <row r="325" spans="1:7" x14ac:dyDescent="0.3">
      <c r="A325" s="89" t="str">
        <v>DODDS, CARLOS DANIEL</v>
      </c>
      <c r="B325" s="89" t="str">
        <v>Conduccion y Gestion de Viajes (Todos)</v>
      </c>
      <c r="C325" s="90">
        <v>45838</v>
      </c>
      <c r="D325" s="89" t="str">
        <v>Periódica</v>
      </c>
      <c r="E325" s="89">
        <v>730</v>
      </c>
      <c r="F325" s="89">
        <v>1</v>
      </c>
      <c r="G325" s="89" t="str">
        <f ca="1"/>
        <v>VIGENTE</v>
      </c>
    </row>
    <row r="326" spans="1:7" x14ac:dyDescent="0.3">
      <c r="A326" s="89" t="str">
        <v>DODDS, CARLOS DANIEL</v>
      </c>
      <c r="B326" s="89" t="str">
        <v>Conduccion y Gestion de Viajes (Conductores)</v>
      </c>
      <c r="C326" s="90">
        <v>46034</v>
      </c>
      <c r="D326" s="89" t="str">
        <v>Periódica</v>
      </c>
      <c r="E326" s="89">
        <v>1095</v>
      </c>
      <c r="F326" s="89">
        <v>5</v>
      </c>
      <c r="G326" s="89" t="str">
        <f ca="1"/>
        <v>VIGENTE</v>
      </c>
    </row>
    <row r="327" spans="1:7" x14ac:dyDescent="0.3">
      <c r="A327" s="89" t="str">
        <v>DODDS, CARLOS DANIEL</v>
      </c>
      <c r="B327" s="89" t="str">
        <v>Patogenos Transmitidos por la Sangre</v>
      </c>
      <c r="C327" s="90" t="str">
        <v/>
      </c>
      <c r="D327" s="89" t="str">
        <v>Periódica</v>
      </c>
      <c r="E327" s="89">
        <v>365</v>
      </c>
      <c r="F327" s="89">
        <v>1</v>
      </c>
      <c r="G327" s="89" t="str">
        <f ca="1"/>
        <v>SIN FECHA</v>
      </c>
    </row>
    <row r="328" spans="1:7" x14ac:dyDescent="0.3">
      <c r="A328" s="89" t="str">
        <v>DODDS, CARLOS DANIEL</v>
      </c>
      <c r="B328" s="89" t="str">
        <v>Conservacion Auditiva</v>
      </c>
      <c r="C328" s="90" t="str">
        <v/>
      </c>
      <c r="D328" s="89" t="str">
        <v>Periódica</v>
      </c>
      <c r="E328" s="89">
        <v>365</v>
      </c>
      <c r="F328" s="89">
        <v>1</v>
      </c>
      <c r="G328" s="89" t="str">
        <f ca="1"/>
        <v>SIN FECHA</v>
      </c>
    </row>
    <row r="329" spans="1:7" x14ac:dyDescent="0.3">
      <c r="A329" s="89" t="str">
        <v>DODDS, CARLOS DANIEL</v>
      </c>
      <c r="B329" s="89" t="str">
        <v xml:space="preserve">Ergonomia //  / Levantamiento &amp; Seguridad en la Espalda </v>
      </c>
      <c r="C329" s="90">
        <v>46017</v>
      </c>
      <c r="D329" s="89" t="str">
        <v>Periódica</v>
      </c>
      <c r="E329" s="89">
        <v>365</v>
      </c>
      <c r="F329" s="89">
        <v>1</v>
      </c>
      <c r="G329" s="89" t="str">
        <f ca="1"/>
        <v>VIGENTE</v>
      </c>
    </row>
    <row r="330" spans="1:7" x14ac:dyDescent="0.3">
      <c r="A330" s="89" t="str">
        <v>DODDS, CARLOS DANIEL</v>
      </c>
      <c r="B330" s="89" t="str">
        <v>Superficies Elevadas (Todos)</v>
      </c>
      <c r="C330" s="90">
        <v>46017</v>
      </c>
      <c r="D330" s="89" t="str">
        <v>Periódica</v>
      </c>
      <c r="E330" s="89">
        <v>365</v>
      </c>
      <c r="F330" s="89">
        <v>1</v>
      </c>
      <c r="G330" s="89" t="str">
        <f ca="1"/>
        <v>VIGENTE</v>
      </c>
    </row>
    <row r="331" spans="1:7" x14ac:dyDescent="0.3">
      <c r="A331" s="89" t="str">
        <v>DODDS, CARLOS DANIEL</v>
      </c>
      <c r="B331" s="89" t="str">
        <v>Superficies Elevadas (Personal Habilitado)</v>
      </c>
      <c r="C331" s="90" t="str">
        <v/>
      </c>
      <c r="D331" s="89" t="str">
        <v>Periódica</v>
      </c>
      <c r="E331" s="89">
        <v>365</v>
      </c>
      <c r="F331" s="89">
        <v>8</v>
      </c>
      <c r="G331" s="89" t="str">
        <f ca="1"/>
        <v>SIN FECHA</v>
      </c>
    </row>
    <row r="332" spans="1:7" x14ac:dyDescent="0.3">
      <c r="A332" s="89" t="str">
        <v>DODDS, CARLOS DANIEL</v>
      </c>
      <c r="B332" s="89" t="str">
        <v>Seguridad Quimica (Todos)</v>
      </c>
      <c r="C332" s="90">
        <v>46017</v>
      </c>
      <c r="D332" s="89" t="str">
        <v>Periódica</v>
      </c>
      <c r="E332" s="89">
        <v>730</v>
      </c>
      <c r="F332" s="89">
        <v>1</v>
      </c>
      <c r="G332" s="89" t="str">
        <f ca="1"/>
        <v>VIGENTE</v>
      </c>
    </row>
    <row r="333" spans="1:7" x14ac:dyDescent="0.3">
      <c r="A333" s="89" t="str">
        <v>DODDS, CARLOS DANIEL</v>
      </c>
      <c r="B333" s="89" t="str">
        <v>Seguridad Quimica (Mantenimiento)</v>
      </c>
      <c r="C333" s="90" t="str">
        <v/>
      </c>
      <c r="D333" s="89" t="str">
        <v>Periódica</v>
      </c>
      <c r="E333" s="89">
        <v>365</v>
      </c>
      <c r="F333" s="89">
        <v>1</v>
      </c>
      <c r="G333" s="89" t="str">
        <f ca="1"/>
        <v>SIN FECHA</v>
      </c>
    </row>
    <row r="334" spans="1:7" x14ac:dyDescent="0.3">
      <c r="A334" s="89" t="str">
        <v>DODDS, CARLOS DANIEL</v>
      </c>
      <c r="B334" s="89" t="str">
        <v>Seguridad Quimica (Contratistas)</v>
      </c>
      <c r="C334" s="90" t="str">
        <v/>
      </c>
      <c r="D334" s="89" t="str">
        <v>Periódica</v>
      </c>
      <c r="E334" s="89">
        <v>365</v>
      </c>
      <c r="F334" s="89">
        <v>1</v>
      </c>
      <c r="G334" s="89" t="str">
        <f ca="1"/>
        <v>SIN FECHA</v>
      </c>
    </row>
    <row r="335" spans="1:7" x14ac:dyDescent="0.3">
      <c r="A335" s="89" t="str">
        <v>DODDS, CARLOS DANIEL</v>
      </c>
      <c r="B335" s="89" t="str">
        <v>Seguridad para Trabajos en Caliente</v>
      </c>
      <c r="C335" s="90">
        <v>46017</v>
      </c>
      <c r="D335" s="89" t="str">
        <v>Periódica</v>
      </c>
      <c r="E335" s="89">
        <v>365</v>
      </c>
      <c r="F335" s="89">
        <v>1</v>
      </c>
      <c r="G335" s="89" t="str">
        <f ca="1"/>
        <v>VIGENTE</v>
      </c>
    </row>
    <row r="336" spans="1:7" x14ac:dyDescent="0.3">
      <c r="A336" s="89" t="str">
        <v>DODDS, CARLOS DANIEL</v>
      </c>
      <c r="B336" s="89" t="str">
        <v>Seguridad con la Radiacion</v>
      </c>
      <c r="C336" s="90" t="str">
        <v/>
      </c>
      <c r="D336" s="89" t="str">
        <v>Periódica</v>
      </c>
      <c r="E336" s="89">
        <v>365</v>
      </c>
      <c r="F336" s="89">
        <v>2</v>
      </c>
      <c r="G336" s="89" t="str">
        <f ca="1"/>
        <v>SIN FECHA</v>
      </c>
    </row>
    <row r="337" spans="1:7" x14ac:dyDescent="0.3">
      <c r="A337" s="89" t="str">
        <v>DODDS, CARLOS DANIEL</v>
      </c>
      <c r="B337" s="89" t="str">
        <v>Equipo de Proteccion Personal (PPE)</v>
      </c>
      <c r="C337" s="90">
        <v>46017</v>
      </c>
      <c r="D337" s="89" t="str">
        <v>Periódica</v>
      </c>
      <c r="E337" s="89">
        <v>365</v>
      </c>
      <c r="F337" s="89">
        <v>1</v>
      </c>
      <c r="G337" s="89" t="str">
        <f ca="1"/>
        <v>VIGENTE</v>
      </c>
    </row>
    <row r="338" spans="1:7" x14ac:dyDescent="0.3">
      <c r="A338" s="89" t="str">
        <v>DODDS, CARLOS DANIEL</v>
      </c>
      <c r="B338" s="89" t="str">
        <v>Proteccion Respiratoria</v>
      </c>
      <c r="C338" s="90" t="str">
        <v/>
      </c>
      <c r="D338" s="89" t="str">
        <v>Periódica</v>
      </c>
      <c r="E338" s="89">
        <v>365</v>
      </c>
      <c r="F338" s="89">
        <v>1</v>
      </c>
      <c r="G338" s="89" t="str">
        <f ca="1"/>
        <v>SIN FECHA</v>
      </c>
    </row>
    <row r="339" spans="1:7" x14ac:dyDescent="0.3">
      <c r="A339" s="89" t="str">
        <v>DODDS, CARLOS DANIEL</v>
      </c>
      <c r="B339" s="89" t="str">
        <v xml:space="preserve">Seguridad con Escaleras </v>
      </c>
      <c r="C339" s="90">
        <v>46017</v>
      </c>
      <c r="D339" s="89" t="str">
        <v>Periódica</v>
      </c>
      <c r="E339" s="89">
        <v>365</v>
      </c>
      <c r="F339" s="89">
        <v>1</v>
      </c>
      <c r="G339" s="89" t="str">
        <f ca="1"/>
        <v>VIGENTE</v>
      </c>
    </row>
    <row r="340" spans="1:7" x14ac:dyDescent="0.3">
      <c r="A340" s="89" t="str">
        <v>DODDS, CARLOS DANIEL</v>
      </c>
      <c r="B340" s="89" t="str">
        <v>Seguridad con Escaleras // Estantes de Almacenamiento</v>
      </c>
      <c r="C340" s="90" t="str">
        <v/>
      </c>
      <c r="D340" s="89" t="str">
        <v>Periódica</v>
      </c>
      <c r="E340" s="89">
        <v>365</v>
      </c>
      <c r="F340" s="89">
        <v>1</v>
      </c>
      <c r="G340" s="89" t="str">
        <f ca="1"/>
        <v>SIN FECHA</v>
      </c>
    </row>
    <row r="341" spans="1:7" x14ac:dyDescent="0.3">
      <c r="A341" s="89" t="str">
        <v>DODDS, CARLOS DANIEL</v>
      </c>
      <c r="B341" s="89" t="str">
        <v>Responsabilidades del Supervisor</v>
      </c>
      <c r="C341" s="90" t="str">
        <v/>
      </c>
      <c r="D341" s="89" t="str">
        <v>Periódica</v>
      </c>
      <c r="E341" s="89">
        <v>365</v>
      </c>
      <c r="F341" s="89">
        <v>1</v>
      </c>
      <c r="G341" s="89" t="str">
        <f ca="1"/>
        <v>SIN FECHA</v>
      </c>
    </row>
    <row r="342" spans="1:7" x14ac:dyDescent="0.3">
      <c r="A342" s="89" t="str">
        <v>DODDS, CARLOS DANIEL</v>
      </c>
      <c r="B342" s="89" t="str">
        <v>Espacios Confinados (Todos)</v>
      </c>
      <c r="C342" s="90" t="str">
        <v/>
      </c>
      <c r="D342" s="89" t="str">
        <v>Periódica</v>
      </c>
      <c r="E342" s="89">
        <v>365</v>
      </c>
      <c r="F342" s="89">
        <v>1</v>
      </c>
      <c r="G342" s="89" t="str">
        <f ca="1"/>
        <v>SIN FECHA</v>
      </c>
    </row>
    <row r="343" spans="1:7" x14ac:dyDescent="0.3">
      <c r="A343" s="89" t="str">
        <v>DODDS, CARLOS DANIEL</v>
      </c>
      <c r="B343" s="89" t="str">
        <v>HSMS.017 / Espacios Confinados (Entrantes)</v>
      </c>
      <c r="C343" s="90" t="str">
        <v/>
      </c>
      <c r="D343" s="89" t="str">
        <v>Evento</v>
      </c>
      <c r="E343" s="89">
        <v>0</v>
      </c>
      <c r="F343" s="89">
        <v>8</v>
      </c>
      <c r="G343" s="89" t="str">
        <f ca="1"/>
        <v>SIN FECHA</v>
      </c>
    </row>
    <row r="344" spans="1:7" x14ac:dyDescent="0.3">
      <c r="A344" s="89" t="str">
        <v>DODDS, CARLOS DANIEL</v>
      </c>
      <c r="B344" s="89" t="str">
        <v>Programa de Agua (Todos)</v>
      </c>
      <c r="C344" s="90">
        <v>46162</v>
      </c>
      <c r="D344" s="89" t="str">
        <v>Evento</v>
      </c>
      <c r="E344" s="89">
        <v>0</v>
      </c>
      <c r="F344" s="89">
        <v>1</v>
      </c>
      <c r="G344" s="89" t="str">
        <f ca="1"/>
        <v>VIGENTE</v>
      </c>
    </row>
    <row r="345" spans="1:7" x14ac:dyDescent="0.3">
      <c r="A345" s="89" t="str">
        <v>DODDS, CARLOS DANIEL</v>
      </c>
      <c r="B345" s="89" t="str">
        <v>Programa de Agua (HSE)</v>
      </c>
      <c r="C345" s="90" t="str">
        <v/>
      </c>
      <c r="D345" s="89" t="str">
        <v>Evento</v>
      </c>
      <c r="E345" s="89">
        <v>0</v>
      </c>
      <c r="F345" s="89">
        <v>1</v>
      </c>
      <c r="G345" s="89" t="str">
        <f ca="1"/>
        <v>SIN FECHA</v>
      </c>
    </row>
    <row r="346" spans="1:7" x14ac:dyDescent="0.3">
      <c r="A346" s="89" t="str">
        <v>DODDS, CARLOS DANIEL</v>
      </c>
      <c r="B346" s="89" t="str">
        <v>HIV/SIDA y otras enfermedades de transmisión sexual (ETS)</v>
      </c>
      <c r="C346" s="90" t="str">
        <v/>
      </c>
      <c r="D346" s="89" t="str">
        <v>Periódica</v>
      </c>
      <c r="E346" s="89">
        <v>365</v>
      </c>
      <c r="F346" s="89">
        <v>1</v>
      </c>
      <c r="G346" s="89" t="str">
        <f ca="1"/>
        <v>SIN FECHA</v>
      </c>
    </row>
    <row r="347" spans="1:7" x14ac:dyDescent="0.3">
      <c r="A347" s="89" t="str">
        <v>DODDS, CARLOS DANIEL</v>
      </c>
      <c r="B347" s="89" t="str">
        <v>Drogas de abuso (concientización y prevención)</v>
      </c>
      <c r="C347" s="90" t="str">
        <v/>
      </c>
      <c r="D347" s="89" t="str">
        <v>Periódica</v>
      </c>
      <c r="E347" s="89">
        <v>365</v>
      </c>
      <c r="F347" s="89">
        <v>1</v>
      </c>
      <c r="G347" s="89" t="str">
        <f ca="1"/>
        <v>SIN FECHA</v>
      </c>
    </row>
    <row r="348" spans="1:7" x14ac:dyDescent="0.3">
      <c r="A348" s="89" t="str">
        <v>DODDS, CARLOS DANIEL</v>
      </c>
      <c r="B348" s="89" t="str">
        <v>Vida saludable (hábitos, autocuidado y bienestar)</v>
      </c>
      <c r="C348" s="90" t="str">
        <v/>
      </c>
      <c r="D348" s="89" t="str">
        <v>Periódica</v>
      </c>
      <c r="E348" s="89">
        <v>365</v>
      </c>
      <c r="F348" s="89">
        <v>1</v>
      </c>
      <c r="G348" s="89" t="str">
        <f ca="1"/>
        <v>SIN FECHA</v>
      </c>
    </row>
    <row r="349" spans="1:7" x14ac:dyDescent="0.3">
      <c r="A349" s="89" t="str">
        <v>DODDS, CARLOS DANIEL</v>
      </c>
      <c r="B349" s="89" t="str">
        <v>Primeros auxilios y Reanimación Cardio Pulmonar (RCP)</v>
      </c>
      <c r="C349" s="90" t="str">
        <v/>
      </c>
      <c r="D349" s="89" t="str">
        <v>Periódica</v>
      </c>
      <c r="E349" s="89">
        <v>365</v>
      </c>
      <c r="F349" s="89">
        <v>4</v>
      </c>
      <c r="G349" s="89" t="str">
        <f ca="1"/>
        <v>SIN FECHA</v>
      </c>
    </row>
    <row r="350" spans="1:7" x14ac:dyDescent="0.3">
      <c r="A350" s="89" t="str">
        <v>DODDS, CARLOS DANIEL</v>
      </c>
      <c r="B350" s="89" t="str">
        <v>Prevención cardiovascular (factores de riesgo y señales de alarma)</v>
      </c>
      <c r="C350" s="90" t="str">
        <v/>
      </c>
      <c r="D350" s="89" t="str">
        <v>Periódica</v>
      </c>
      <c r="E350" s="89">
        <v>365</v>
      </c>
      <c r="F350" s="89">
        <v>1</v>
      </c>
      <c r="G350" s="89" t="str">
        <f ca="1"/>
        <v>SIN FECHA</v>
      </c>
    </row>
    <row r="351" spans="1:7" x14ac:dyDescent="0.3">
      <c r="A351" s="89" t="str">
        <v>DODDS, CARLOS DANIEL</v>
      </c>
      <c r="B351" s="89" t="str">
        <v>Efectos del tabaco sobre la salud</v>
      </c>
      <c r="C351" s="90" t="str">
        <v/>
      </c>
      <c r="D351" s="89" t="str">
        <v>Periódica</v>
      </c>
      <c r="E351" s="89">
        <v>365</v>
      </c>
      <c r="F351" s="89">
        <v>1</v>
      </c>
      <c r="G351" s="89" t="str">
        <f ca="1"/>
        <v>SIN FECHA</v>
      </c>
    </row>
    <row r="352" spans="1:7" x14ac:dyDescent="0.3">
      <c r="A352" s="89" t="str">
        <v>DODDS, CARLOS DANIEL</v>
      </c>
      <c r="B352" s="89" t="str">
        <v>Cargadora (Op. Montacargas)</v>
      </c>
      <c r="C352" s="90" t="str">
        <v/>
      </c>
      <c r="D352" s="89" t="str">
        <v>Periódica</v>
      </c>
      <c r="E352" s="89">
        <v>365</v>
      </c>
      <c r="F352" s="89">
        <v>8</v>
      </c>
      <c r="G352" s="89" t="str">
        <f ca="1"/>
        <v>SIN FECHA</v>
      </c>
    </row>
    <row r="353" spans="1:7" x14ac:dyDescent="0.3">
      <c r="A353" s="89" t="str">
        <v>DODDS, CARLOS DANIEL</v>
      </c>
      <c r="B353" s="89">
        <v>0</v>
      </c>
      <c r="C353" s="90" t="str">
        <v/>
      </c>
      <c r="D353" s="89" t="str">
        <v/>
      </c>
      <c r="E353" s="89" t="str">
        <v/>
      </c>
      <c r="F353" s="89" t="str">
        <v/>
      </c>
      <c r="G353" s="89" t="str">
        <f ca="1"/>
        <v>SIN FECHA</v>
      </c>
    </row>
    <row r="354" spans="1:7" x14ac:dyDescent="0.3">
      <c r="A354" s="89" t="str">
        <v>DODDS, CARLOS DANIEL</v>
      </c>
      <c r="B354" s="89">
        <v>0</v>
      </c>
      <c r="C354" s="90" t="str">
        <v/>
      </c>
      <c r="D354" s="89" t="str">
        <v/>
      </c>
      <c r="E354" s="89" t="str">
        <v/>
      </c>
      <c r="F354" s="89" t="str">
        <v/>
      </c>
      <c r="G354" s="89" t="str">
        <f ca="1"/>
        <v>SIN FECHA</v>
      </c>
    </row>
    <row r="355" spans="1:7" x14ac:dyDescent="0.3">
      <c r="A355" s="89" t="str">
        <v>DODDS, CARLOS DANIEL</v>
      </c>
      <c r="B355" s="89">
        <v>0</v>
      </c>
      <c r="C355" s="90" t="str">
        <v/>
      </c>
      <c r="D355" s="89" t="str">
        <v/>
      </c>
      <c r="E355" s="89" t="str">
        <v/>
      </c>
      <c r="F355" s="89" t="str">
        <v/>
      </c>
      <c r="G355" s="89" t="str">
        <f ca="1"/>
        <v>SIN FECHA</v>
      </c>
    </row>
    <row r="356" spans="1:7" x14ac:dyDescent="0.3">
      <c r="A356" s="89" t="str">
        <v>DODDS, CARLOS DANIEL</v>
      </c>
      <c r="B356" s="89">
        <v>0</v>
      </c>
      <c r="C356" s="90" t="str">
        <v/>
      </c>
      <c r="D356" s="89" t="str">
        <v/>
      </c>
      <c r="E356" s="89" t="str">
        <v/>
      </c>
      <c r="F356" s="89" t="str">
        <v/>
      </c>
      <c r="G356" s="89" t="str">
        <f ca="1"/>
        <v>SIN FECHA</v>
      </c>
    </row>
    <row r="357" spans="1:7" x14ac:dyDescent="0.3">
      <c r="A357" s="89" t="str">
        <v>DODDS, CARLOS DANIEL</v>
      </c>
      <c r="B357" s="89">
        <v>0</v>
      </c>
      <c r="C357" s="90" t="str">
        <v/>
      </c>
      <c r="D357" s="89" t="str">
        <v/>
      </c>
      <c r="E357" s="89" t="str">
        <v/>
      </c>
      <c r="F357" s="89" t="str">
        <v/>
      </c>
      <c r="G357" s="89" t="str">
        <f ca="1"/>
        <v>SIN FECHA</v>
      </c>
    </row>
    <row r="358" spans="1:7" x14ac:dyDescent="0.3">
      <c r="A358" s="89" t="str">
        <v>DODDS, CARLOS DANIEL</v>
      </c>
      <c r="B358" s="89">
        <v>0</v>
      </c>
      <c r="C358" s="90" t="str">
        <v/>
      </c>
      <c r="D358" s="89" t="str">
        <v/>
      </c>
      <c r="E358" s="89" t="str">
        <v/>
      </c>
      <c r="F358" s="89" t="str">
        <v/>
      </c>
      <c r="G358" s="89" t="str">
        <f ca="1"/>
        <v>SIN FECHA</v>
      </c>
    </row>
    <row r="359" spans="1:7" x14ac:dyDescent="0.3">
      <c r="A359" s="89" t="str">
        <v>DODDS, CARLOS DANIEL</v>
      </c>
      <c r="B359" s="89">
        <v>0</v>
      </c>
      <c r="C359" s="90" t="str">
        <v/>
      </c>
      <c r="D359" s="89" t="str">
        <v/>
      </c>
      <c r="E359" s="89" t="str">
        <v/>
      </c>
      <c r="F359" s="89" t="str">
        <v/>
      </c>
      <c r="G359" s="89" t="str">
        <f ca="1"/>
        <v>SIN FECHA</v>
      </c>
    </row>
    <row r="360" spans="1:7" x14ac:dyDescent="0.3">
      <c r="A360" s="89" t="str">
        <v>DODDS, CARLOS DANIEL</v>
      </c>
      <c r="B360" s="89">
        <v>0</v>
      </c>
      <c r="C360" s="90" t="str">
        <v/>
      </c>
      <c r="D360" s="89" t="str">
        <v/>
      </c>
      <c r="E360" s="89" t="str">
        <v/>
      </c>
      <c r="F360" s="89" t="str">
        <v/>
      </c>
      <c r="G360" s="89" t="str">
        <f ca="1"/>
        <v>SIN FECHA</v>
      </c>
    </row>
    <row r="361" spans="1:7" x14ac:dyDescent="0.3">
      <c r="A361" s="89" t="str">
        <v>DODDS, CARLOS DANIEL</v>
      </c>
      <c r="B361" s="89">
        <v>0</v>
      </c>
      <c r="C361" s="90" t="str">
        <v/>
      </c>
      <c r="D361" s="89" t="str">
        <v/>
      </c>
      <c r="E361" s="89" t="str">
        <v/>
      </c>
      <c r="F361" s="89" t="str">
        <v/>
      </c>
      <c r="G361" s="89" t="str">
        <f ca="1"/>
        <v>SIN FECHA</v>
      </c>
    </row>
    <row r="362" spans="1:7" x14ac:dyDescent="0.3">
      <c r="A362" s="89" t="str">
        <v>GOMEZ, PABLO JOAQUIN</v>
      </c>
      <c r="B362" s="89" t="str">
        <v>Programa de Aire</v>
      </c>
      <c r="C362" s="90" t="str">
        <v/>
      </c>
      <c r="D362" s="89" t="str">
        <v>Evento</v>
      </c>
      <c r="E362" s="89">
        <v>0</v>
      </c>
      <c r="F362" s="89">
        <v>1</v>
      </c>
      <c r="G362" s="89" t="str">
        <f ca="1"/>
        <v>SIN FECHA</v>
      </c>
    </row>
    <row r="363" spans="1:7" x14ac:dyDescent="0.3">
      <c r="A363" s="89" t="str">
        <v>GOMEZ, PABLO JOAQUIN</v>
      </c>
      <c r="B363" s="89" t="str">
        <v>Conciencia Ambiental</v>
      </c>
      <c r="C363" s="90">
        <v>46147</v>
      </c>
      <c r="D363" s="89" t="str">
        <v>Periódica</v>
      </c>
      <c r="E363" s="89">
        <v>365</v>
      </c>
      <c r="F363" s="89">
        <v>1</v>
      </c>
      <c r="G363" s="89" t="str">
        <f ca="1"/>
        <v>VIGENTE</v>
      </c>
    </row>
    <row r="364" spans="1:7" x14ac:dyDescent="0.3">
      <c r="A364" s="89" t="str">
        <v>GOMEZ, PABLO JOAQUIN</v>
      </c>
      <c r="B364" s="89" t="str">
        <v xml:space="preserve">Control de Documentos e Informacion de HSE </v>
      </c>
      <c r="C364" s="90" t="str">
        <v/>
      </c>
      <c r="D364" s="89" t="str">
        <v>Evento</v>
      </c>
      <c r="E364" s="89">
        <v>0</v>
      </c>
      <c r="F364" s="89">
        <v>1</v>
      </c>
      <c r="G364" s="89" t="str">
        <f ca="1"/>
        <v>SIN FECHA</v>
      </c>
    </row>
    <row r="365" spans="1:7" x14ac:dyDescent="0.3">
      <c r="A365" s="89" t="str">
        <v>GOMEZ, PABLO JOAQUIN</v>
      </c>
      <c r="B365" s="89" t="str">
        <v xml:space="preserve"> Acciones Correctivas y Preventivas (CAPA)</v>
      </c>
      <c r="C365" s="90" t="str">
        <v/>
      </c>
      <c r="D365" s="89" t="str">
        <v>Evento</v>
      </c>
      <c r="E365" s="89">
        <v>0</v>
      </c>
      <c r="F365" s="89">
        <v>1</v>
      </c>
      <c r="G365" s="89" t="str">
        <f ca="1"/>
        <v>SIN FECHA</v>
      </c>
    </row>
    <row r="366" spans="1:7" x14ac:dyDescent="0.3">
      <c r="A366" s="89" t="str">
        <v>GOMEZ, PABLO JOAQUIN</v>
      </c>
      <c r="B366" s="89" t="str">
        <v>Seguridad Basada en el Comportamiento (Observation Program) // HSMS.043 / Autoridad de Detener el Trabajo</v>
      </c>
      <c r="C366" s="90">
        <v>45707</v>
      </c>
      <c r="D366" s="89" t="str">
        <v>Periódica</v>
      </c>
      <c r="E366" s="89">
        <v>365</v>
      </c>
      <c r="F366" s="89">
        <v>1</v>
      </c>
      <c r="G366" s="89" t="str">
        <f ca="1"/>
        <v>VENCIDA</v>
      </c>
    </row>
    <row r="367" spans="1:7" x14ac:dyDescent="0.3">
      <c r="A367" s="89" t="str">
        <v>GOMEZ, PABLO JOAQUIN</v>
      </c>
      <c r="B367" s="89" t="str">
        <v>Identificacion de Peligros y Evaluacion de Riesgos</v>
      </c>
      <c r="C367" s="90">
        <v>46020</v>
      </c>
      <c r="D367" s="89" t="str">
        <v>Evento</v>
      </c>
      <c r="E367" s="89">
        <v>0</v>
      </c>
      <c r="F367" s="89">
        <v>1</v>
      </c>
      <c r="G367" s="89" t="str">
        <f ca="1"/>
        <v>VIGENTE</v>
      </c>
    </row>
    <row r="368" spans="1:7" x14ac:dyDescent="0.3">
      <c r="A368" s="89" t="str">
        <v>GOMEZ, PABLO JOAQUIN</v>
      </c>
      <c r="B368" s="89" t="str">
        <v xml:space="preserve"> Plan de Respuesta ante Eemergencias / HSMS.010 /Primeros Axulios &amp; RCP/DEA / HSMSWT-002 / Patogenos Trasnmitidos por la Sangre</v>
      </c>
      <c r="C368" s="90" t="str">
        <v/>
      </c>
      <c r="D368" s="89" t="str">
        <v>Periódica</v>
      </c>
      <c r="E368" s="89">
        <v>365</v>
      </c>
      <c r="F368" s="89">
        <v>1</v>
      </c>
      <c r="G368" s="89" t="str">
        <f ca="1"/>
        <v>SIN FECHA</v>
      </c>
    </row>
    <row r="369" spans="1:7" x14ac:dyDescent="0.3">
      <c r="A369" s="89" t="str">
        <v>GOMEZ, PABLO JOAQUIN</v>
      </c>
      <c r="B369" s="89" t="str">
        <v>Reporte y Gestion de Incidentes HSE (Todos)</v>
      </c>
      <c r="C369" s="90">
        <v>46008</v>
      </c>
      <c r="D369" s="89" t="str">
        <v>Periódica</v>
      </c>
      <c r="E369" s="89">
        <v>365</v>
      </c>
      <c r="F369" s="89">
        <v>1</v>
      </c>
      <c r="G369" s="89" t="str">
        <f ca="1"/>
        <v>VIGENTE</v>
      </c>
    </row>
    <row r="370" spans="1:7" x14ac:dyDescent="0.3">
      <c r="A370" s="89" t="str">
        <v>GOMEZ, PABLO JOAQUIN</v>
      </c>
      <c r="B370" s="89" t="str">
        <v>Reporte, Gestion e Investigacion de Incidentes HSE (supervisores / investigadores (rol))</v>
      </c>
      <c r="C370" s="90" t="str">
        <v/>
      </c>
      <c r="D370" s="89" t="str">
        <v>Periódica</v>
      </c>
      <c r="E370" s="89">
        <v>1095</v>
      </c>
      <c r="F370" s="89">
        <v>2</v>
      </c>
      <c r="G370" s="89" t="str">
        <f ca="1"/>
        <v>SIN FECHA</v>
      </c>
    </row>
    <row r="371" spans="1:7" x14ac:dyDescent="0.3">
      <c r="A371" s="89" t="str">
        <v>GOMEZ, PABLO JOAQUIN</v>
      </c>
      <c r="B371" s="89" t="str">
        <v>Gruas y Equipos de Izaje (Todos)</v>
      </c>
      <c r="C371" s="90" t="str">
        <v/>
      </c>
      <c r="D371" s="89" t="str">
        <v>Periódica</v>
      </c>
      <c r="E371" s="89">
        <v>365</v>
      </c>
      <c r="F371" s="89">
        <v>2</v>
      </c>
      <c r="G371" s="89" t="str">
        <f ca="1"/>
        <v>SIN FECHA</v>
      </c>
    </row>
    <row r="372" spans="1:7" x14ac:dyDescent="0.3">
      <c r="A372" s="89" t="str">
        <v>GOMEZ, PABLO JOAQUIN</v>
      </c>
      <c r="B372" s="89" t="str">
        <v>HSMS.007 / Gruas y Equipos de Izaje (Operadores)</v>
      </c>
      <c r="C372" s="90">
        <v>45776</v>
      </c>
      <c r="D372" s="89" t="str">
        <v>Periódica</v>
      </c>
      <c r="E372" s="89">
        <v>365</v>
      </c>
      <c r="F372" s="89">
        <v>8</v>
      </c>
      <c r="G372" s="89" t="str">
        <f ca="1"/>
        <v>VENCIDA</v>
      </c>
    </row>
    <row r="373" spans="1:7" x14ac:dyDescent="0.3">
      <c r="A373" s="89" t="str">
        <v>GOMEZ, PABLO JOAQUIN</v>
      </c>
      <c r="B373" s="89" t="str">
        <v>Proteccion Contra Incendios (Todos)</v>
      </c>
      <c r="C373" s="90">
        <v>46020</v>
      </c>
      <c r="D373" s="89" t="str">
        <v>Periódica</v>
      </c>
      <c r="E373" s="89">
        <v>365</v>
      </c>
      <c r="F373" s="89">
        <v>1</v>
      </c>
      <c r="G373" s="89" t="str">
        <f ca="1"/>
        <v>VIGENTE</v>
      </c>
    </row>
    <row r="374" spans="1:7" x14ac:dyDescent="0.3">
      <c r="A374" s="89" t="str">
        <v>GOMEZ, PABLO JOAQUIN</v>
      </c>
      <c r="B374" s="89" t="str">
        <v>Proteccion Contra Incendios (Brigadistas)</v>
      </c>
      <c r="C374" s="90" t="str">
        <v/>
      </c>
      <c r="D374" s="89" t="str">
        <v>Periódica</v>
      </c>
      <c r="E374" s="89">
        <v>365</v>
      </c>
      <c r="F374" s="89">
        <v>2</v>
      </c>
      <c r="G374" s="89" t="str">
        <f ca="1"/>
        <v>SIN FECHA</v>
      </c>
    </row>
    <row r="375" spans="1:7" x14ac:dyDescent="0.3">
      <c r="A375" s="89" t="str">
        <v>GOMEZ, PABLO JOAQUIN</v>
      </c>
      <c r="B375" s="89" t="str">
        <v>Primeros Auxilios (Brigadistas)</v>
      </c>
      <c r="C375" s="90" t="str">
        <v/>
      </c>
      <c r="D375" s="89" t="str">
        <v>Periódica</v>
      </c>
      <c r="E375" s="89">
        <v>365</v>
      </c>
      <c r="F375" s="89">
        <v>2</v>
      </c>
      <c r="G375" s="89" t="str">
        <f ca="1"/>
        <v>SIN FECHA</v>
      </c>
    </row>
    <row r="376" spans="1:7" x14ac:dyDescent="0.3">
      <c r="A376" s="89" t="str">
        <v>GOMEZ, PABLO JOAQUIN</v>
      </c>
      <c r="B376" s="89" t="str">
        <v>Seguridad Electrica (Todos)</v>
      </c>
      <c r="C376" s="90" t="str">
        <v/>
      </c>
      <c r="D376" s="89" t="str">
        <v>Periódica</v>
      </c>
      <c r="E376" s="89">
        <v>365</v>
      </c>
      <c r="F376" s="89">
        <v>1</v>
      </c>
      <c r="G376" s="89" t="str">
        <f ca="1"/>
        <v>SIN FECHA</v>
      </c>
    </row>
    <row r="377" spans="1:7" x14ac:dyDescent="0.3">
      <c r="A377" s="89" t="str">
        <v>GOMEZ, PABLO JOAQUIN</v>
      </c>
      <c r="B377" s="89" t="str">
        <v>Seguridad Electrica (Personal Autorizado)</v>
      </c>
      <c r="C377" s="90" t="str">
        <v/>
      </c>
      <c r="D377" s="89" t="str">
        <v>Periódica</v>
      </c>
      <c r="E377" s="89">
        <v>1095</v>
      </c>
      <c r="F377" s="89">
        <v>4</v>
      </c>
      <c r="G377" s="89" t="str">
        <f ca="1"/>
        <v>SIN FECHA</v>
      </c>
    </row>
    <row r="378" spans="1:7" x14ac:dyDescent="0.3">
      <c r="A378" s="89" t="str">
        <v>GOMEZ, PABLO JOAQUIN</v>
      </c>
      <c r="B378" s="89" t="str">
        <v>Camiones Industriales Motorizados (PIT) (Todos)</v>
      </c>
      <c r="C378" s="90" t="str">
        <v/>
      </c>
      <c r="D378" s="89" t="str">
        <v>Periódica</v>
      </c>
      <c r="E378" s="89">
        <v>365</v>
      </c>
      <c r="F378" s="89">
        <v>1</v>
      </c>
      <c r="G378" s="89" t="str">
        <f ca="1"/>
        <v>SIN FECHA</v>
      </c>
    </row>
    <row r="379" spans="1:7" x14ac:dyDescent="0.3">
      <c r="A379" s="89" t="str">
        <v>GOMEZ, PABLO JOAQUIN</v>
      </c>
      <c r="B379" s="89" t="str">
        <v>Camiones Industriales Motorizados (PIT) (Op. Montacargas)</v>
      </c>
      <c r="C379" s="90" t="str">
        <v/>
      </c>
      <c r="D379" s="89" t="str">
        <v>Periódica</v>
      </c>
      <c r="E379" s="89">
        <v>365</v>
      </c>
      <c r="F379" s="89">
        <v>8</v>
      </c>
      <c r="G379" s="89" t="str">
        <f ca="1"/>
        <v>SIN FECHA</v>
      </c>
    </row>
    <row r="380" spans="1:7" x14ac:dyDescent="0.3">
      <c r="A380" s="89" t="str">
        <v>GOMEZ, PABLO JOAQUIN</v>
      </c>
      <c r="B380" s="89" t="str">
        <v>Control de Energias Peligrosas (LOTO) (Todos)</v>
      </c>
      <c r="C380" s="90">
        <v>45707</v>
      </c>
      <c r="D380" s="89" t="str">
        <v>Evento</v>
      </c>
      <c r="E380" s="89">
        <v>0</v>
      </c>
      <c r="F380" s="89">
        <v>1</v>
      </c>
      <c r="G380" s="89" t="str">
        <f ca="1"/>
        <v>VIGENTE</v>
      </c>
    </row>
    <row r="381" spans="1:7" x14ac:dyDescent="0.3">
      <c r="A381" s="89" t="str">
        <v>GOMEZ, PABLO JOAQUIN</v>
      </c>
      <c r="B381" s="89" t="str">
        <v>Control de Energias Peligrosas (LOTO) (Empleados Autorizados)</v>
      </c>
      <c r="C381" s="90">
        <v>46147</v>
      </c>
      <c r="D381" s="89" t="str">
        <v>Periódica</v>
      </c>
      <c r="E381" s="89">
        <v>365</v>
      </c>
      <c r="F381" s="89">
        <v>2</v>
      </c>
      <c r="G381" s="89" t="str">
        <f ca="1"/>
        <v>VIGENTE</v>
      </c>
    </row>
    <row r="382" spans="1:7" x14ac:dyDescent="0.3">
      <c r="A382" s="89" t="str">
        <v>GOMEZ, PABLO JOAQUIN</v>
      </c>
      <c r="B382" s="89" t="str">
        <v>Seguridad aplicada al Pozo &amp; Yacimiento</v>
      </c>
      <c r="C382" s="90" t="str">
        <v/>
      </c>
      <c r="D382" s="89" t="str">
        <v>Periódica</v>
      </c>
      <c r="E382" s="89">
        <v>365</v>
      </c>
      <c r="F382" s="89">
        <v>1</v>
      </c>
      <c r="G382" s="89" t="str">
        <f ca="1"/>
        <v>SIN FECHA</v>
      </c>
    </row>
    <row r="383" spans="1:7" x14ac:dyDescent="0.3">
      <c r="A383" s="89" t="str">
        <v>GOMEZ, PABLO JOAQUIN</v>
      </c>
      <c r="B383" s="89" t="str">
        <v>Las Reglas que Salvan Vidas</v>
      </c>
      <c r="C383" s="90" t="str">
        <v/>
      </c>
      <c r="D383" s="89" t="str">
        <v>Periódica</v>
      </c>
      <c r="E383" s="89">
        <v>365</v>
      </c>
      <c r="F383" s="89">
        <v>1</v>
      </c>
      <c r="G383" s="89" t="str">
        <f ca="1"/>
        <v>SIN FECHA</v>
      </c>
    </row>
    <row r="384" spans="1:7" x14ac:dyDescent="0.3">
      <c r="A384" s="89" t="str">
        <v>GOMEZ, PABLO JOAQUIN</v>
      </c>
      <c r="B384" s="89" t="str">
        <v xml:space="preserve">Resguardo de Maquinas &amp; Equipos </v>
      </c>
      <c r="C384" s="90" t="str">
        <v/>
      </c>
      <c r="D384" s="89" t="str">
        <v>Periódica</v>
      </c>
      <c r="E384" s="89">
        <v>365</v>
      </c>
      <c r="F384" s="89">
        <v>1</v>
      </c>
      <c r="G384" s="89" t="str">
        <f ca="1"/>
        <v>SIN FECHA</v>
      </c>
    </row>
    <row r="385" spans="1:7" x14ac:dyDescent="0.3">
      <c r="A385" s="89" t="str">
        <v>GOMEZ, PABLO JOAQUIN</v>
      </c>
      <c r="B385" s="89" t="str">
        <v>Conduccion y Gestion de Viajes (Todos)</v>
      </c>
      <c r="C385" s="90">
        <v>45805</v>
      </c>
      <c r="D385" s="89" t="str">
        <v>Periódica</v>
      </c>
      <c r="E385" s="89">
        <v>730</v>
      </c>
      <c r="F385" s="89">
        <v>1</v>
      </c>
      <c r="G385" s="89" t="str">
        <f ca="1"/>
        <v>VIGENTE</v>
      </c>
    </row>
    <row r="386" spans="1:7" x14ac:dyDescent="0.3">
      <c r="A386" s="89" t="str">
        <v>GOMEZ, PABLO JOAQUIN</v>
      </c>
      <c r="B386" s="89" t="str">
        <v>Conduccion y Gestion de Viajes (Conductores)</v>
      </c>
      <c r="C386" s="90">
        <v>47053</v>
      </c>
      <c r="D386" s="89" t="str">
        <v>Periódica</v>
      </c>
      <c r="E386" s="89">
        <v>1095</v>
      </c>
      <c r="F386" s="89">
        <v>5</v>
      </c>
      <c r="G386" s="89" t="str">
        <f ca="1"/>
        <v>VIGENTE</v>
      </c>
    </row>
    <row r="387" spans="1:7" x14ac:dyDescent="0.3">
      <c r="A387" s="89" t="str">
        <v>GOMEZ, PABLO JOAQUIN</v>
      </c>
      <c r="B387" s="89" t="str">
        <v>Patogenos Transmitidos por la Sangre</v>
      </c>
      <c r="C387" s="90" t="str">
        <v/>
      </c>
      <c r="D387" s="89" t="str">
        <v>Periódica</v>
      </c>
      <c r="E387" s="89">
        <v>365</v>
      </c>
      <c r="F387" s="89">
        <v>1</v>
      </c>
      <c r="G387" s="89" t="str">
        <f ca="1"/>
        <v>SIN FECHA</v>
      </c>
    </row>
    <row r="388" spans="1:7" x14ac:dyDescent="0.3">
      <c r="A388" s="89" t="str">
        <v>GOMEZ, PABLO JOAQUIN</v>
      </c>
      <c r="B388" s="89" t="str">
        <v>Conservacion Auditiva</v>
      </c>
      <c r="C388" s="90" t="str">
        <v/>
      </c>
      <c r="D388" s="89" t="str">
        <v>Periódica</v>
      </c>
      <c r="E388" s="89">
        <v>365</v>
      </c>
      <c r="F388" s="89">
        <v>1</v>
      </c>
      <c r="G388" s="89" t="str">
        <f ca="1"/>
        <v>SIN FECHA</v>
      </c>
    </row>
    <row r="389" spans="1:7" x14ac:dyDescent="0.3">
      <c r="A389" s="89" t="str">
        <v>GOMEZ, PABLO JOAQUIN</v>
      </c>
      <c r="B389" s="89" t="str">
        <v xml:space="preserve">Ergonomia //  / Levantamiento &amp; Seguridad en la Espalda </v>
      </c>
      <c r="C389" s="90">
        <v>46008</v>
      </c>
      <c r="D389" s="89" t="str">
        <v>Periódica</v>
      </c>
      <c r="E389" s="89">
        <v>365</v>
      </c>
      <c r="F389" s="89">
        <v>1</v>
      </c>
      <c r="G389" s="89" t="str">
        <f ca="1"/>
        <v>VIGENTE</v>
      </c>
    </row>
    <row r="390" spans="1:7" x14ac:dyDescent="0.3">
      <c r="A390" s="89" t="str">
        <v>GOMEZ, PABLO JOAQUIN</v>
      </c>
      <c r="B390" s="89" t="str">
        <v>Superficies Elevadas (Todos)</v>
      </c>
      <c r="C390" s="90">
        <v>46020</v>
      </c>
      <c r="D390" s="89" t="str">
        <v>Periódica</v>
      </c>
      <c r="E390" s="89">
        <v>365</v>
      </c>
      <c r="F390" s="89">
        <v>1</v>
      </c>
      <c r="G390" s="89" t="str">
        <f ca="1"/>
        <v>VIGENTE</v>
      </c>
    </row>
    <row r="391" spans="1:7" x14ac:dyDescent="0.3">
      <c r="A391" s="89" t="str">
        <v>GOMEZ, PABLO JOAQUIN</v>
      </c>
      <c r="B391" s="89" t="str">
        <v>Superficies Elevadas (Personal Habilitado)</v>
      </c>
      <c r="C391" s="90" t="str">
        <v/>
      </c>
      <c r="D391" s="89" t="str">
        <v>Periódica</v>
      </c>
      <c r="E391" s="89">
        <v>365</v>
      </c>
      <c r="F391" s="89">
        <v>8</v>
      </c>
      <c r="G391" s="89" t="str">
        <f ca="1"/>
        <v>SIN FECHA</v>
      </c>
    </row>
    <row r="392" spans="1:7" x14ac:dyDescent="0.3">
      <c r="A392" s="89" t="str">
        <v>GOMEZ, PABLO JOAQUIN</v>
      </c>
      <c r="B392" s="89" t="str">
        <v>Seguridad Quimica (Todos)</v>
      </c>
      <c r="C392" s="90">
        <v>46020</v>
      </c>
      <c r="D392" s="89" t="str">
        <v>Periódica</v>
      </c>
      <c r="E392" s="89">
        <v>730</v>
      </c>
      <c r="F392" s="89">
        <v>1</v>
      </c>
      <c r="G392" s="89" t="str">
        <f ca="1"/>
        <v>VIGENTE</v>
      </c>
    </row>
    <row r="393" spans="1:7" x14ac:dyDescent="0.3">
      <c r="A393" s="89" t="str">
        <v>GOMEZ, PABLO JOAQUIN</v>
      </c>
      <c r="B393" s="89" t="str">
        <v>Seguridad Quimica (Mantenimiento)</v>
      </c>
      <c r="C393" s="90" t="str">
        <v/>
      </c>
      <c r="D393" s="89" t="str">
        <v>Periódica</v>
      </c>
      <c r="E393" s="89">
        <v>365</v>
      </c>
      <c r="F393" s="89">
        <v>1</v>
      </c>
      <c r="G393" s="89" t="str">
        <f ca="1"/>
        <v>SIN FECHA</v>
      </c>
    </row>
    <row r="394" spans="1:7" x14ac:dyDescent="0.3">
      <c r="A394" s="89" t="str">
        <v>GOMEZ, PABLO JOAQUIN</v>
      </c>
      <c r="B394" s="89" t="str">
        <v>Seguridad Quimica (Contratistas)</v>
      </c>
      <c r="C394" s="90" t="str">
        <v/>
      </c>
      <c r="D394" s="89" t="str">
        <v>Periódica</v>
      </c>
      <c r="E394" s="89">
        <v>365</v>
      </c>
      <c r="F394" s="89">
        <v>1</v>
      </c>
      <c r="G394" s="89" t="str">
        <f ca="1"/>
        <v>SIN FECHA</v>
      </c>
    </row>
    <row r="395" spans="1:7" x14ac:dyDescent="0.3">
      <c r="A395" s="89" t="str">
        <v>GOMEZ, PABLO JOAQUIN</v>
      </c>
      <c r="B395" s="89" t="str">
        <v>Seguridad para Trabajos en Caliente</v>
      </c>
      <c r="C395" s="90">
        <v>46020</v>
      </c>
      <c r="D395" s="89" t="str">
        <v>Periódica</v>
      </c>
      <c r="E395" s="89">
        <v>365</v>
      </c>
      <c r="F395" s="89">
        <v>1</v>
      </c>
      <c r="G395" s="89" t="str">
        <f ca="1"/>
        <v>VIGENTE</v>
      </c>
    </row>
    <row r="396" spans="1:7" x14ac:dyDescent="0.3">
      <c r="A396" s="89" t="str">
        <v>GOMEZ, PABLO JOAQUIN</v>
      </c>
      <c r="B396" s="89" t="str">
        <v>Seguridad con la Radiacion</v>
      </c>
      <c r="C396" s="90" t="str">
        <v/>
      </c>
      <c r="D396" s="89" t="str">
        <v>Periódica</v>
      </c>
      <c r="E396" s="89">
        <v>365</v>
      </c>
      <c r="F396" s="89">
        <v>2</v>
      </c>
      <c r="G396" s="89" t="str">
        <f ca="1"/>
        <v>SIN FECHA</v>
      </c>
    </row>
    <row r="397" spans="1:7" x14ac:dyDescent="0.3">
      <c r="A397" s="89" t="str">
        <v>GOMEZ, PABLO JOAQUIN</v>
      </c>
      <c r="B397" s="89" t="str">
        <v>Equipo de Proteccion Personal (PPE)</v>
      </c>
      <c r="C397" s="90">
        <v>46020</v>
      </c>
      <c r="D397" s="89" t="str">
        <v>Periódica</v>
      </c>
      <c r="E397" s="89">
        <v>365</v>
      </c>
      <c r="F397" s="89">
        <v>1</v>
      </c>
      <c r="G397" s="89" t="str">
        <f ca="1"/>
        <v>VIGENTE</v>
      </c>
    </row>
    <row r="398" spans="1:7" x14ac:dyDescent="0.3">
      <c r="A398" s="89" t="str">
        <v>GOMEZ, PABLO JOAQUIN</v>
      </c>
      <c r="B398" s="89" t="str">
        <v>Proteccion Respiratoria</v>
      </c>
      <c r="C398" s="90" t="str">
        <v/>
      </c>
      <c r="D398" s="89" t="str">
        <v>Periódica</v>
      </c>
      <c r="E398" s="89">
        <v>365</v>
      </c>
      <c r="F398" s="89">
        <v>1</v>
      </c>
      <c r="G398" s="89" t="str">
        <f ca="1"/>
        <v>SIN FECHA</v>
      </c>
    </row>
    <row r="399" spans="1:7" x14ac:dyDescent="0.3">
      <c r="A399" s="89" t="str">
        <v>GOMEZ, PABLO JOAQUIN</v>
      </c>
      <c r="B399" s="89" t="str">
        <v xml:space="preserve">Seguridad con Escaleras </v>
      </c>
      <c r="C399" s="90">
        <v>46020</v>
      </c>
      <c r="D399" s="89" t="str">
        <v>Periódica</v>
      </c>
      <c r="E399" s="89">
        <v>365</v>
      </c>
      <c r="F399" s="89">
        <v>1</v>
      </c>
      <c r="G399" s="89" t="str">
        <f ca="1"/>
        <v>VIGENTE</v>
      </c>
    </row>
    <row r="400" spans="1:7" x14ac:dyDescent="0.3">
      <c r="A400" s="89" t="str">
        <v>GOMEZ, PABLO JOAQUIN</v>
      </c>
      <c r="B400" s="89" t="str">
        <v>Seguridad con Escaleras // Estantes de Almacenamiento</v>
      </c>
      <c r="C400" s="90" t="str">
        <v/>
      </c>
      <c r="D400" s="89" t="str">
        <v>Periódica</v>
      </c>
      <c r="E400" s="89">
        <v>365</v>
      </c>
      <c r="F400" s="89">
        <v>1</v>
      </c>
      <c r="G400" s="89" t="str">
        <f ca="1"/>
        <v>SIN FECHA</v>
      </c>
    </row>
    <row r="401" spans="1:7" x14ac:dyDescent="0.3">
      <c r="A401" s="89" t="str">
        <v>GOMEZ, PABLO JOAQUIN</v>
      </c>
      <c r="B401" s="89" t="str">
        <v>Responsabilidades del Supervisor</v>
      </c>
      <c r="C401" s="90" t="str">
        <v/>
      </c>
      <c r="D401" s="89" t="str">
        <v>Periódica</v>
      </c>
      <c r="E401" s="89">
        <v>365</v>
      </c>
      <c r="F401" s="89">
        <v>1</v>
      </c>
      <c r="G401" s="89" t="str">
        <f ca="1"/>
        <v>SIN FECHA</v>
      </c>
    </row>
    <row r="402" spans="1:7" x14ac:dyDescent="0.3">
      <c r="A402" s="89" t="str">
        <v>GOMEZ, PABLO JOAQUIN</v>
      </c>
      <c r="B402" s="89" t="str">
        <v>Espacios Confinados (Todos)</v>
      </c>
      <c r="C402" s="90" t="str">
        <v/>
      </c>
      <c r="D402" s="89" t="str">
        <v>Periódica</v>
      </c>
      <c r="E402" s="89">
        <v>365</v>
      </c>
      <c r="F402" s="89">
        <v>1</v>
      </c>
      <c r="G402" s="89" t="str">
        <f ca="1"/>
        <v>SIN FECHA</v>
      </c>
    </row>
    <row r="403" spans="1:7" x14ac:dyDescent="0.3">
      <c r="A403" s="89" t="str">
        <v>GOMEZ, PABLO JOAQUIN</v>
      </c>
      <c r="B403" s="89" t="str">
        <v>HSMS.017 / Espacios Confinados (Entrantes)</v>
      </c>
      <c r="C403" s="90" t="str">
        <v/>
      </c>
      <c r="D403" s="89" t="str">
        <v>Evento</v>
      </c>
      <c r="E403" s="89">
        <v>0</v>
      </c>
      <c r="F403" s="89">
        <v>8</v>
      </c>
      <c r="G403" s="89" t="str">
        <f ca="1"/>
        <v>SIN FECHA</v>
      </c>
    </row>
    <row r="404" spans="1:7" x14ac:dyDescent="0.3">
      <c r="A404" s="89" t="str">
        <v>GOMEZ, PABLO JOAQUIN</v>
      </c>
      <c r="B404" s="89" t="str">
        <v>Programa de Agua (Todos)</v>
      </c>
      <c r="C404" s="90">
        <v>46147</v>
      </c>
      <c r="D404" s="89" t="str">
        <v>Evento</v>
      </c>
      <c r="E404" s="89">
        <v>0</v>
      </c>
      <c r="F404" s="89">
        <v>1</v>
      </c>
      <c r="G404" s="89" t="str">
        <f ca="1"/>
        <v>VIGENTE</v>
      </c>
    </row>
    <row r="405" spans="1:7" x14ac:dyDescent="0.3">
      <c r="A405" s="89" t="str">
        <v>GOMEZ, PABLO JOAQUIN</v>
      </c>
      <c r="B405" s="89" t="str">
        <v>Programa de Agua (HSE)</v>
      </c>
      <c r="C405" s="90" t="str">
        <v/>
      </c>
      <c r="D405" s="89" t="str">
        <v>Evento</v>
      </c>
      <c r="E405" s="89">
        <v>0</v>
      </c>
      <c r="F405" s="89">
        <v>1</v>
      </c>
      <c r="G405" s="89" t="str">
        <f ca="1"/>
        <v>SIN FECHA</v>
      </c>
    </row>
    <row r="406" spans="1:7" x14ac:dyDescent="0.3">
      <c r="A406" s="89" t="str">
        <v>GOMEZ, PABLO JOAQUIN</v>
      </c>
      <c r="B406" s="89" t="str">
        <v>HIV/SIDA y otras enfermedades de transmisión sexual (ETS)</v>
      </c>
      <c r="C406" s="90" t="str">
        <v/>
      </c>
      <c r="D406" s="89" t="str">
        <v>Periódica</v>
      </c>
      <c r="E406" s="89">
        <v>365</v>
      </c>
      <c r="F406" s="89">
        <v>1</v>
      </c>
      <c r="G406" s="89" t="str">
        <f ca="1"/>
        <v>SIN FECHA</v>
      </c>
    </row>
    <row r="407" spans="1:7" x14ac:dyDescent="0.3">
      <c r="A407" s="89" t="str">
        <v>GOMEZ, PABLO JOAQUIN</v>
      </c>
      <c r="B407" s="89" t="str">
        <v>Drogas de abuso (concientización y prevención)</v>
      </c>
      <c r="C407" s="90" t="str">
        <v/>
      </c>
      <c r="D407" s="89" t="str">
        <v>Periódica</v>
      </c>
      <c r="E407" s="89">
        <v>365</v>
      </c>
      <c r="F407" s="89">
        <v>1</v>
      </c>
      <c r="G407" s="89" t="str">
        <f ca="1"/>
        <v>SIN FECHA</v>
      </c>
    </row>
    <row r="408" spans="1:7" x14ac:dyDescent="0.3">
      <c r="A408" s="89" t="str">
        <v>GOMEZ, PABLO JOAQUIN</v>
      </c>
      <c r="B408" s="89" t="str">
        <v>Vida saludable (hábitos, autocuidado y bienestar)</v>
      </c>
      <c r="C408" s="90" t="str">
        <v/>
      </c>
      <c r="D408" s="89" t="str">
        <v>Periódica</v>
      </c>
      <c r="E408" s="89">
        <v>365</v>
      </c>
      <c r="F408" s="89">
        <v>1</v>
      </c>
      <c r="G408" s="89" t="str">
        <f ca="1"/>
        <v>SIN FECHA</v>
      </c>
    </row>
    <row r="409" spans="1:7" x14ac:dyDescent="0.3">
      <c r="A409" s="89" t="str">
        <v>GOMEZ, PABLO JOAQUIN</v>
      </c>
      <c r="B409" s="89" t="str">
        <v>Primeros auxilios y Reanimación Cardio Pulmonar (RCP)</v>
      </c>
      <c r="C409" s="90" t="str">
        <v/>
      </c>
      <c r="D409" s="89" t="str">
        <v>Periódica</v>
      </c>
      <c r="E409" s="89">
        <v>365</v>
      </c>
      <c r="F409" s="89">
        <v>4</v>
      </c>
      <c r="G409" s="89" t="str">
        <f ca="1"/>
        <v>SIN FECHA</v>
      </c>
    </row>
    <row r="410" spans="1:7" x14ac:dyDescent="0.3">
      <c r="A410" s="89" t="str">
        <v>GOMEZ, PABLO JOAQUIN</v>
      </c>
      <c r="B410" s="89" t="str">
        <v>Prevención cardiovascular (factores de riesgo y señales de alarma)</v>
      </c>
      <c r="C410" s="90" t="str">
        <v/>
      </c>
      <c r="D410" s="89" t="str">
        <v>Periódica</v>
      </c>
      <c r="E410" s="89">
        <v>365</v>
      </c>
      <c r="F410" s="89">
        <v>1</v>
      </c>
      <c r="G410" s="89" t="str">
        <f ca="1"/>
        <v>SIN FECHA</v>
      </c>
    </row>
    <row r="411" spans="1:7" x14ac:dyDescent="0.3">
      <c r="A411" s="89" t="str">
        <v>GOMEZ, PABLO JOAQUIN</v>
      </c>
      <c r="B411" s="89" t="str">
        <v>Efectos del tabaco sobre la salud</v>
      </c>
      <c r="C411" s="90" t="str">
        <v/>
      </c>
      <c r="D411" s="89" t="str">
        <v>Periódica</v>
      </c>
      <c r="E411" s="89">
        <v>365</v>
      </c>
      <c r="F411" s="89">
        <v>1</v>
      </c>
      <c r="G411" s="89" t="str">
        <f ca="1"/>
        <v>SIN FECHA</v>
      </c>
    </row>
    <row r="412" spans="1:7" x14ac:dyDescent="0.3">
      <c r="A412" s="89" t="str">
        <v>GOMEZ, PABLO JOAQUIN</v>
      </c>
      <c r="B412" s="89" t="str">
        <v>Cargadora (Op. Montacargas)</v>
      </c>
      <c r="C412" s="90" t="str">
        <v/>
      </c>
      <c r="D412" s="89" t="str">
        <v>Periódica</v>
      </c>
      <c r="E412" s="89">
        <v>365</v>
      </c>
      <c r="F412" s="89">
        <v>8</v>
      </c>
      <c r="G412" s="89" t="str">
        <f ca="1"/>
        <v>SIN FECHA</v>
      </c>
    </row>
    <row r="413" spans="1:7" x14ac:dyDescent="0.3">
      <c r="A413" s="89" t="str">
        <v>GOMEZ, PABLO JOAQUIN</v>
      </c>
      <c r="B413" s="89">
        <v>0</v>
      </c>
      <c r="C413" s="90" t="str">
        <v/>
      </c>
      <c r="D413" s="89" t="str">
        <v/>
      </c>
      <c r="E413" s="89" t="str">
        <v/>
      </c>
      <c r="F413" s="89" t="str">
        <v/>
      </c>
      <c r="G413" s="89" t="str">
        <f ca="1"/>
        <v>SIN FECHA</v>
      </c>
    </row>
    <row r="414" spans="1:7" x14ac:dyDescent="0.3">
      <c r="A414" s="89" t="str">
        <v>GOMEZ, PABLO JOAQUIN</v>
      </c>
      <c r="B414" s="89">
        <v>0</v>
      </c>
      <c r="C414" s="90" t="str">
        <v/>
      </c>
      <c r="D414" s="89" t="str">
        <v/>
      </c>
      <c r="E414" s="89" t="str">
        <v/>
      </c>
      <c r="F414" s="89" t="str">
        <v/>
      </c>
      <c r="G414" s="89" t="str">
        <f ca="1"/>
        <v>SIN FECHA</v>
      </c>
    </row>
    <row r="415" spans="1:7" x14ac:dyDescent="0.3">
      <c r="A415" s="89" t="str">
        <v>GOMEZ, PABLO JOAQUIN</v>
      </c>
      <c r="B415" s="89">
        <v>0</v>
      </c>
      <c r="C415" s="90" t="str">
        <v/>
      </c>
      <c r="D415" s="89" t="str">
        <v/>
      </c>
      <c r="E415" s="89" t="str">
        <v/>
      </c>
      <c r="F415" s="89" t="str">
        <v/>
      </c>
      <c r="G415" s="89" t="str">
        <f ca="1"/>
        <v>SIN FECHA</v>
      </c>
    </row>
    <row r="416" spans="1:7" x14ac:dyDescent="0.3">
      <c r="A416" s="89" t="str">
        <v>GOMEZ, PABLO JOAQUIN</v>
      </c>
      <c r="B416" s="89">
        <v>0</v>
      </c>
      <c r="C416" s="90" t="str">
        <v/>
      </c>
      <c r="D416" s="89" t="str">
        <v/>
      </c>
      <c r="E416" s="89" t="str">
        <v/>
      </c>
      <c r="F416" s="89" t="str">
        <v/>
      </c>
      <c r="G416" s="89" t="str">
        <f ca="1"/>
        <v>SIN FECHA</v>
      </c>
    </row>
    <row r="417" spans="1:7" x14ac:dyDescent="0.3">
      <c r="A417" s="89" t="str">
        <v>GOMEZ, PABLO JOAQUIN</v>
      </c>
      <c r="B417" s="89">
        <v>0</v>
      </c>
      <c r="C417" s="90" t="str">
        <v/>
      </c>
      <c r="D417" s="89" t="str">
        <v/>
      </c>
      <c r="E417" s="89" t="str">
        <v/>
      </c>
      <c r="F417" s="89" t="str">
        <v/>
      </c>
      <c r="G417" s="89" t="str">
        <f ca="1"/>
        <v>SIN FECHA</v>
      </c>
    </row>
    <row r="418" spans="1:7" x14ac:dyDescent="0.3">
      <c r="A418" s="89" t="str">
        <v>GOMEZ, PABLO JOAQUIN</v>
      </c>
      <c r="B418" s="89">
        <v>0</v>
      </c>
      <c r="C418" s="90" t="str">
        <v/>
      </c>
      <c r="D418" s="89" t="str">
        <v/>
      </c>
      <c r="E418" s="89" t="str">
        <v/>
      </c>
      <c r="F418" s="89" t="str">
        <v/>
      </c>
      <c r="G418" s="89" t="str">
        <f ca="1"/>
        <v>SIN FECHA</v>
      </c>
    </row>
    <row r="419" spans="1:7" x14ac:dyDescent="0.3">
      <c r="A419" s="89" t="str">
        <v>GOMEZ, PABLO JOAQUIN</v>
      </c>
      <c r="B419" s="89">
        <v>0</v>
      </c>
      <c r="C419" s="90" t="str">
        <v/>
      </c>
      <c r="D419" s="89" t="str">
        <v/>
      </c>
      <c r="E419" s="89" t="str">
        <v/>
      </c>
      <c r="F419" s="89" t="str">
        <v/>
      </c>
      <c r="G419" s="89" t="str">
        <f ca="1"/>
        <v>SIN FECHA</v>
      </c>
    </row>
    <row r="420" spans="1:7" x14ac:dyDescent="0.3">
      <c r="A420" s="89" t="str">
        <v>GOMEZ, PABLO JOAQUIN</v>
      </c>
      <c r="B420" s="89">
        <v>0</v>
      </c>
      <c r="C420" s="90" t="str">
        <v/>
      </c>
      <c r="D420" s="89" t="str">
        <v/>
      </c>
      <c r="E420" s="89" t="str">
        <v/>
      </c>
      <c r="F420" s="89" t="str">
        <v/>
      </c>
      <c r="G420" s="89" t="str">
        <f ca="1"/>
        <v>SIN FECHA</v>
      </c>
    </row>
    <row r="421" spans="1:7" x14ac:dyDescent="0.3">
      <c r="A421" s="89" t="str">
        <v>GOMEZ, PABLO JOAQUIN</v>
      </c>
      <c r="B421" s="89">
        <v>0</v>
      </c>
      <c r="C421" s="90" t="str">
        <v/>
      </c>
      <c r="D421" s="89" t="str">
        <v/>
      </c>
      <c r="E421" s="89" t="str">
        <v/>
      </c>
      <c r="F421" s="89" t="str">
        <v/>
      </c>
      <c r="G421" s="89" t="str">
        <f ca="1"/>
        <v>SIN FECHA</v>
      </c>
    </row>
    <row r="422" spans="1:7" x14ac:dyDescent="0.3">
      <c r="A422" s="89" t="str">
        <v>HERNANDEZ, PABLO SEBASTIAN</v>
      </c>
      <c r="B422" s="89" t="str">
        <v>Programa de Aire</v>
      </c>
      <c r="C422" s="90" t="str">
        <v/>
      </c>
      <c r="D422" s="89" t="str">
        <v>Evento</v>
      </c>
      <c r="E422" s="89">
        <v>0</v>
      </c>
      <c r="F422" s="89">
        <v>1</v>
      </c>
      <c r="G422" s="89" t="str">
        <f ca="1"/>
        <v>SIN FECHA</v>
      </c>
    </row>
    <row r="423" spans="1:7" x14ac:dyDescent="0.3">
      <c r="A423" s="89" t="str">
        <v>HERNANDEZ, PABLO SEBASTIAN</v>
      </c>
      <c r="B423" s="89" t="str">
        <v>Conciencia Ambiental</v>
      </c>
      <c r="C423" s="90" t="str">
        <v/>
      </c>
      <c r="D423" s="89" t="str">
        <v>Periódica</v>
      </c>
      <c r="E423" s="89">
        <v>365</v>
      </c>
      <c r="F423" s="89">
        <v>1</v>
      </c>
      <c r="G423" s="89" t="str">
        <f ca="1"/>
        <v>SIN FECHA</v>
      </c>
    </row>
    <row r="424" spans="1:7" x14ac:dyDescent="0.3">
      <c r="A424" s="89" t="str">
        <v>HERNANDEZ, PABLO SEBASTIAN</v>
      </c>
      <c r="B424" s="89" t="str">
        <v xml:space="preserve">Control de Documentos e Informacion de HSE </v>
      </c>
      <c r="C424" s="90" t="str">
        <v/>
      </c>
      <c r="D424" s="89" t="str">
        <v>Evento</v>
      </c>
      <c r="E424" s="89">
        <v>0</v>
      </c>
      <c r="F424" s="89">
        <v>1</v>
      </c>
      <c r="G424" s="89" t="str">
        <f ca="1"/>
        <v>SIN FECHA</v>
      </c>
    </row>
    <row r="425" spans="1:7" x14ac:dyDescent="0.3">
      <c r="A425" s="89" t="str">
        <v>HERNANDEZ, PABLO SEBASTIAN</v>
      </c>
      <c r="B425" s="89" t="str">
        <v xml:space="preserve"> Acciones Correctivas y Preventivas (CAPA)</v>
      </c>
      <c r="C425" s="90" t="str">
        <v/>
      </c>
      <c r="D425" s="89" t="str">
        <v>Evento</v>
      </c>
      <c r="E425" s="89">
        <v>0</v>
      </c>
      <c r="F425" s="89">
        <v>1</v>
      </c>
      <c r="G425" s="89" t="str">
        <f ca="1"/>
        <v>SIN FECHA</v>
      </c>
    </row>
    <row r="426" spans="1:7" x14ac:dyDescent="0.3">
      <c r="A426" s="89" t="str">
        <v>HERNANDEZ, PABLO SEBASTIAN</v>
      </c>
      <c r="B426" s="89" t="str">
        <v>Seguridad Basada en el Comportamiento (Observation Program) // HSMS.043 / Autoridad de Detener el Trabajo</v>
      </c>
      <c r="C426" s="90" t="str">
        <v/>
      </c>
      <c r="D426" s="89" t="str">
        <v>Periódica</v>
      </c>
      <c r="E426" s="89">
        <v>365</v>
      </c>
      <c r="F426" s="89">
        <v>1</v>
      </c>
      <c r="G426" s="89" t="str">
        <f ca="1"/>
        <v>SIN FECHA</v>
      </c>
    </row>
    <row r="427" spans="1:7" x14ac:dyDescent="0.3">
      <c r="A427" s="89" t="str">
        <v>HERNANDEZ, PABLO SEBASTIAN</v>
      </c>
      <c r="B427" s="89" t="str">
        <v>Identificacion de Peligros y Evaluacion de Riesgos</v>
      </c>
      <c r="C427" s="90" t="str">
        <v/>
      </c>
      <c r="D427" s="89" t="str">
        <v>Evento</v>
      </c>
      <c r="E427" s="89">
        <v>0</v>
      </c>
      <c r="F427" s="89">
        <v>1</v>
      </c>
      <c r="G427" s="89" t="str">
        <f ca="1"/>
        <v>SIN FECHA</v>
      </c>
    </row>
    <row r="428" spans="1:7" x14ac:dyDescent="0.3">
      <c r="A428" s="89" t="str">
        <v>HERNANDEZ, PABLO SEBASTIAN</v>
      </c>
      <c r="B428" s="89" t="str">
        <v xml:space="preserve"> Plan de Respuesta ante Eemergencias / HSMS.010 /Primeros Axulios &amp; RCP/DEA / HSMSWT-002 / Patogenos Trasnmitidos por la Sangre</v>
      </c>
      <c r="C428" s="90" t="str">
        <v/>
      </c>
      <c r="D428" s="89" t="str">
        <v>Periódica</v>
      </c>
      <c r="E428" s="89">
        <v>365</v>
      </c>
      <c r="F428" s="89">
        <v>1</v>
      </c>
      <c r="G428" s="89" t="str">
        <f ca="1"/>
        <v>SIN FECHA</v>
      </c>
    </row>
    <row r="429" spans="1:7" x14ac:dyDescent="0.3">
      <c r="A429" s="89" t="str">
        <v>HERNANDEZ, PABLO SEBASTIAN</v>
      </c>
      <c r="B429" s="89" t="str">
        <v>Reporte y Gestion de Incidentes HSE (Todos)</v>
      </c>
      <c r="C429" s="90" t="str">
        <v/>
      </c>
      <c r="D429" s="89" t="str">
        <v>Periódica</v>
      </c>
      <c r="E429" s="89">
        <v>365</v>
      </c>
      <c r="F429" s="89">
        <v>1</v>
      </c>
      <c r="G429" s="89" t="str">
        <f ca="1"/>
        <v>SIN FECHA</v>
      </c>
    </row>
    <row r="430" spans="1:7" x14ac:dyDescent="0.3">
      <c r="A430" s="89" t="str">
        <v>HERNANDEZ, PABLO SEBASTIAN</v>
      </c>
      <c r="B430" s="89" t="str">
        <v>Reporte, Gestion e Investigacion de Incidentes HSE (supervisores / investigadores (rol))</v>
      </c>
      <c r="C430" s="90" t="str">
        <v/>
      </c>
      <c r="D430" s="89" t="str">
        <v>Periódica</v>
      </c>
      <c r="E430" s="89">
        <v>1095</v>
      </c>
      <c r="F430" s="89">
        <v>2</v>
      </c>
      <c r="G430" s="89" t="str">
        <f ca="1"/>
        <v>SIN FECHA</v>
      </c>
    </row>
    <row r="431" spans="1:7" x14ac:dyDescent="0.3">
      <c r="A431" s="89" t="str">
        <v>HERNANDEZ, PABLO SEBASTIAN</v>
      </c>
      <c r="B431" s="89" t="str">
        <v>Gruas y Equipos de Izaje (Todos)</v>
      </c>
      <c r="C431" s="90" t="str">
        <v/>
      </c>
      <c r="D431" s="89" t="str">
        <v>Periódica</v>
      </c>
      <c r="E431" s="89">
        <v>365</v>
      </c>
      <c r="F431" s="89">
        <v>2</v>
      </c>
      <c r="G431" s="89" t="str">
        <f ca="1"/>
        <v>SIN FECHA</v>
      </c>
    </row>
    <row r="432" spans="1:7" x14ac:dyDescent="0.3">
      <c r="A432" s="89" t="str">
        <v>HERNANDEZ, PABLO SEBASTIAN</v>
      </c>
      <c r="B432" s="89" t="str">
        <v>HSMS.007 / Gruas y Equipos de Izaje (Operadores)</v>
      </c>
      <c r="C432" s="90">
        <v>46140</v>
      </c>
      <c r="D432" s="89" t="str">
        <v>Periódica</v>
      </c>
      <c r="E432" s="89">
        <v>365</v>
      </c>
      <c r="F432" s="89">
        <v>8</v>
      </c>
      <c r="G432" s="89" t="str">
        <f ca="1"/>
        <v>VIGENTE</v>
      </c>
    </row>
    <row r="433" spans="1:7" x14ac:dyDescent="0.3">
      <c r="A433" s="89" t="str">
        <v>HERNANDEZ, PABLO SEBASTIAN</v>
      </c>
      <c r="B433" s="89" t="str">
        <v>Proteccion Contra Incendios (Todos)</v>
      </c>
      <c r="C433" s="90" t="str">
        <v/>
      </c>
      <c r="D433" s="89" t="str">
        <v>Periódica</v>
      </c>
      <c r="E433" s="89">
        <v>365</v>
      </c>
      <c r="F433" s="89">
        <v>1</v>
      </c>
      <c r="G433" s="89" t="str">
        <f ca="1"/>
        <v>SIN FECHA</v>
      </c>
    </row>
    <row r="434" spans="1:7" x14ac:dyDescent="0.3">
      <c r="A434" s="89" t="str">
        <v>HERNANDEZ, PABLO SEBASTIAN</v>
      </c>
      <c r="B434" s="89" t="str">
        <v>Proteccion Contra Incendios (Brigadistas)</v>
      </c>
      <c r="C434" s="90" t="str">
        <v/>
      </c>
      <c r="D434" s="89" t="str">
        <v>Periódica</v>
      </c>
      <c r="E434" s="89">
        <v>365</v>
      </c>
      <c r="F434" s="89">
        <v>2</v>
      </c>
      <c r="G434" s="89" t="str">
        <f ca="1"/>
        <v>SIN FECHA</v>
      </c>
    </row>
    <row r="435" spans="1:7" x14ac:dyDescent="0.3">
      <c r="A435" s="89" t="str">
        <v>HERNANDEZ, PABLO SEBASTIAN</v>
      </c>
      <c r="B435" s="89" t="str">
        <v>Primeros Auxilios (Brigadistas)</v>
      </c>
      <c r="C435" s="90" t="str">
        <v/>
      </c>
      <c r="D435" s="89" t="str">
        <v>Periódica</v>
      </c>
      <c r="E435" s="89">
        <v>365</v>
      </c>
      <c r="F435" s="89">
        <v>2</v>
      </c>
      <c r="G435" s="89" t="str">
        <f ca="1"/>
        <v>SIN FECHA</v>
      </c>
    </row>
    <row r="436" spans="1:7" x14ac:dyDescent="0.3">
      <c r="A436" s="89" t="str">
        <v>HERNANDEZ, PABLO SEBASTIAN</v>
      </c>
      <c r="B436" s="89" t="str">
        <v>Seguridad Electrica (Todos)</v>
      </c>
      <c r="C436" s="90" t="str">
        <v/>
      </c>
      <c r="D436" s="89" t="str">
        <v>Periódica</v>
      </c>
      <c r="E436" s="89">
        <v>365</v>
      </c>
      <c r="F436" s="89">
        <v>1</v>
      </c>
      <c r="G436" s="89" t="str">
        <f ca="1"/>
        <v>SIN FECHA</v>
      </c>
    </row>
    <row r="437" spans="1:7" x14ac:dyDescent="0.3">
      <c r="A437" s="89" t="str">
        <v>HERNANDEZ, PABLO SEBASTIAN</v>
      </c>
      <c r="B437" s="89" t="str">
        <v>Seguridad Electrica (Personal Autorizado)</v>
      </c>
      <c r="C437" s="90" t="str">
        <v/>
      </c>
      <c r="D437" s="89" t="str">
        <v>Periódica</v>
      </c>
      <c r="E437" s="89">
        <v>1095</v>
      </c>
      <c r="F437" s="89">
        <v>4</v>
      </c>
      <c r="G437" s="89" t="str">
        <f ca="1"/>
        <v>SIN FECHA</v>
      </c>
    </row>
    <row r="438" spans="1:7" x14ac:dyDescent="0.3">
      <c r="A438" s="89" t="str">
        <v>HERNANDEZ, PABLO SEBASTIAN</v>
      </c>
      <c r="B438" s="89" t="str">
        <v>Camiones Industriales Motorizados (PIT) (Todos)</v>
      </c>
      <c r="C438" s="90" t="str">
        <v/>
      </c>
      <c r="D438" s="89" t="str">
        <v>Periódica</v>
      </c>
      <c r="E438" s="89">
        <v>365</v>
      </c>
      <c r="F438" s="89">
        <v>1</v>
      </c>
      <c r="G438" s="89" t="str">
        <f ca="1"/>
        <v>SIN FECHA</v>
      </c>
    </row>
    <row r="439" spans="1:7" x14ac:dyDescent="0.3">
      <c r="A439" s="89" t="str">
        <v>HERNANDEZ, PABLO SEBASTIAN</v>
      </c>
      <c r="B439" s="89" t="str">
        <v>Camiones Industriales Motorizados (PIT) (Op. Montacargas)</v>
      </c>
      <c r="C439" s="90" t="str">
        <v/>
      </c>
      <c r="D439" s="89" t="str">
        <v>Periódica</v>
      </c>
      <c r="E439" s="89">
        <v>365</v>
      </c>
      <c r="F439" s="89">
        <v>8</v>
      </c>
      <c r="G439" s="89" t="str">
        <f ca="1"/>
        <v>SIN FECHA</v>
      </c>
    </row>
    <row r="440" spans="1:7" x14ac:dyDescent="0.3">
      <c r="A440" s="89" t="str">
        <v>HERNANDEZ, PABLO SEBASTIAN</v>
      </c>
      <c r="B440" s="89" t="str">
        <v>Control de Energias Peligrosas (LOTO) (Todos)</v>
      </c>
      <c r="C440" s="90" t="str">
        <v/>
      </c>
      <c r="D440" s="89" t="str">
        <v>Evento</v>
      </c>
      <c r="E440" s="89">
        <v>0</v>
      </c>
      <c r="F440" s="89">
        <v>1</v>
      </c>
      <c r="G440" s="89" t="str">
        <f ca="1"/>
        <v>SIN FECHA</v>
      </c>
    </row>
    <row r="441" spans="1:7" x14ac:dyDescent="0.3">
      <c r="A441" s="89" t="str">
        <v>HERNANDEZ, PABLO SEBASTIAN</v>
      </c>
      <c r="B441" s="89" t="str">
        <v>Control de Energias Peligrosas (LOTO) (Empleados Autorizados)</v>
      </c>
      <c r="C441" s="90" t="str">
        <v/>
      </c>
      <c r="D441" s="89" t="str">
        <v>Periódica</v>
      </c>
      <c r="E441" s="89">
        <v>365</v>
      </c>
      <c r="F441" s="89">
        <v>2</v>
      </c>
      <c r="G441" s="89" t="str">
        <f ca="1"/>
        <v>SIN FECHA</v>
      </c>
    </row>
    <row r="442" spans="1:7" x14ac:dyDescent="0.3">
      <c r="A442" s="89" t="str">
        <v>HERNANDEZ, PABLO SEBASTIAN</v>
      </c>
      <c r="B442" s="89" t="str">
        <v>Seguridad aplicada al Pozo &amp; Yacimiento</v>
      </c>
      <c r="C442" s="90" t="str">
        <v/>
      </c>
      <c r="D442" s="89" t="str">
        <v>Periódica</v>
      </c>
      <c r="E442" s="89">
        <v>365</v>
      </c>
      <c r="F442" s="89">
        <v>1</v>
      </c>
      <c r="G442" s="89" t="str">
        <f ca="1"/>
        <v>SIN FECHA</v>
      </c>
    </row>
    <row r="443" spans="1:7" x14ac:dyDescent="0.3">
      <c r="A443" s="89" t="str">
        <v>HERNANDEZ, PABLO SEBASTIAN</v>
      </c>
      <c r="B443" s="89" t="str">
        <v>Las Reglas que Salvan Vidas</v>
      </c>
      <c r="C443" s="90" t="str">
        <v/>
      </c>
      <c r="D443" s="89" t="str">
        <v>Periódica</v>
      </c>
      <c r="E443" s="89">
        <v>365</v>
      </c>
      <c r="F443" s="89">
        <v>1</v>
      </c>
      <c r="G443" s="89" t="str">
        <f ca="1"/>
        <v>SIN FECHA</v>
      </c>
    </row>
    <row r="444" spans="1:7" x14ac:dyDescent="0.3">
      <c r="A444" s="89" t="str">
        <v>HERNANDEZ, PABLO SEBASTIAN</v>
      </c>
      <c r="B444" s="89" t="str">
        <v xml:space="preserve">Resguardo de Maquinas &amp; Equipos </v>
      </c>
      <c r="C444" s="90" t="str">
        <v/>
      </c>
      <c r="D444" s="89" t="str">
        <v>Periódica</v>
      </c>
      <c r="E444" s="89">
        <v>365</v>
      </c>
      <c r="F444" s="89">
        <v>1</v>
      </c>
      <c r="G444" s="89" t="str">
        <f ca="1"/>
        <v>SIN FECHA</v>
      </c>
    </row>
    <row r="445" spans="1:7" x14ac:dyDescent="0.3">
      <c r="A445" s="89" t="str">
        <v>HERNANDEZ, PABLO SEBASTIAN</v>
      </c>
      <c r="B445" s="89" t="str">
        <v>Conduccion y Gestion de Viajes (Todos)</v>
      </c>
      <c r="C445" s="90" t="str">
        <v/>
      </c>
      <c r="D445" s="89" t="str">
        <v>Periódica</v>
      </c>
      <c r="E445" s="89">
        <v>730</v>
      </c>
      <c r="F445" s="89">
        <v>1</v>
      </c>
      <c r="G445" s="89" t="str">
        <f ca="1"/>
        <v>SIN FECHA</v>
      </c>
    </row>
    <row r="446" spans="1:7" x14ac:dyDescent="0.3">
      <c r="A446" s="89" t="str">
        <v>HERNANDEZ, PABLO SEBASTIAN</v>
      </c>
      <c r="B446" s="89" t="str">
        <v>Conduccion y Gestion de Viajes (Conductores)</v>
      </c>
      <c r="C446" s="90">
        <v>46041</v>
      </c>
      <c r="D446" s="89" t="str">
        <v>Periódica</v>
      </c>
      <c r="E446" s="89">
        <v>1095</v>
      </c>
      <c r="F446" s="89">
        <v>5</v>
      </c>
      <c r="G446" s="89" t="str">
        <f ca="1"/>
        <v>VIGENTE</v>
      </c>
    </row>
    <row r="447" spans="1:7" x14ac:dyDescent="0.3">
      <c r="A447" s="89" t="str">
        <v>HERNANDEZ, PABLO SEBASTIAN</v>
      </c>
      <c r="B447" s="89" t="str">
        <v>Patogenos Transmitidos por la Sangre</v>
      </c>
      <c r="C447" s="90" t="str">
        <v/>
      </c>
      <c r="D447" s="89" t="str">
        <v>Periódica</v>
      </c>
      <c r="E447" s="89">
        <v>365</v>
      </c>
      <c r="F447" s="89">
        <v>1</v>
      </c>
      <c r="G447" s="89" t="str">
        <f ca="1"/>
        <v>SIN FECHA</v>
      </c>
    </row>
    <row r="448" spans="1:7" x14ac:dyDescent="0.3">
      <c r="A448" s="89" t="str">
        <v>HERNANDEZ, PABLO SEBASTIAN</v>
      </c>
      <c r="B448" s="89" t="str">
        <v>Conservacion Auditiva</v>
      </c>
      <c r="C448" s="90" t="str">
        <v/>
      </c>
      <c r="D448" s="89" t="str">
        <v>Periódica</v>
      </c>
      <c r="E448" s="89">
        <v>365</v>
      </c>
      <c r="F448" s="89">
        <v>1</v>
      </c>
      <c r="G448" s="89" t="str">
        <f ca="1"/>
        <v>SIN FECHA</v>
      </c>
    </row>
    <row r="449" spans="1:7" x14ac:dyDescent="0.3">
      <c r="A449" s="89" t="str">
        <v>HERNANDEZ, PABLO SEBASTIAN</v>
      </c>
      <c r="B449" s="89" t="str">
        <v xml:space="preserve">Ergonomia //  / Levantamiento &amp; Seguridad en la Espalda </v>
      </c>
      <c r="C449" s="90" t="str">
        <v/>
      </c>
      <c r="D449" s="89" t="str">
        <v>Periódica</v>
      </c>
      <c r="E449" s="89">
        <v>365</v>
      </c>
      <c r="F449" s="89">
        <v>1</v>
      </c>
      <c r="G449" s="89" t="str">
        <f ca="1"/>
        <v>SIN FECHA</v>
      </c>
    </row>
    <row r="450" spans="1:7" x14ac:dyDescent="0.3">
      <c r="A450" s="89" t="str">
        <v>HERNANDEZ, PABLO SEBASTIAN</v>
      </c>
      <c r="B450" s="89" t="str">
        <v>Superficies Elevadas (Todos)</v>
      </c>
      <c r="C450" s="90" t="str">
        <v/>
      </c>
      <c r="D450" s="89" t="str">
        <v>Periódica</v>
      </c>
      <c r="E450" s="89">
        <v>365</v>
      </c>
      <c r="F450" s="89">
        <v>1</v>
      </c>
      <c r="G450" s="89" t="str">
        <f ca="1"/>
        <v>SIN FECHA</v>
      </c>
    </row>
    <row r="451" spans="1:7" x14ac:dyDescent="0.3">
      <c r="A451" s="89" t="str">
        <v>HERNANDEZ, PABLO SEBASTIAN</v>
      </c>
      <c r="B451" s="89" t="str">
        <v>Superficies Elevadas (Personal Habilitado)</v>
      </c>
      <c r="C451" s="90" t="str">
        <v/>
      </c>
      <c r="D451" s="89" t="str">
        <v>Periódica</v>
      </c>
      <c r="E451" s="89">
        <v>365</v>
      </c>
      <c r="F451" s="89">
        <v>8</v>
      </c>
      <c r="G451" s="89" t="str">
        <f ca="1"/>
        <v>SIN FECHA</v>
      </c>
    </row>
    <row r="452" spans="1:7" x14ac:dyDescent="0.3">
      <c r="A452" s="89" t="str">
        <v>HERNANDEZ, PABLO SEBASTIAN</v>
      </c>
      <c r="B452" s="89" t="str">
        <v>Seguridad Quimica (Todos)</v>
      </c>
      <c r="C452" s="90" t="str">
        <v/>
      </c>
      <c r="D452" s="89" t="str">
        <v>Periódica</v>
      </c>
      <c r="E452" s="89">
        <v>730</v>
      </c>
      <c r="F452" s="89">
        <v>1</v>
      </c>
      <c r="G452" s="89" t="str">
        <f ca="1"/>
        <v>SIN FECHA</v>
      </c>
    </row>
    <row r="453" spans="1:7" x14ac:dyDescent="0.3">
      <c r="A453" s="89" t="str">
        <v>HERNANDEZ, PABLO SEBASTIAN</v>
      </c>
      <c r="B453" s="89" t="str">
        <v>Seguridad Quimica (Mantenimiento)</v>
      </c>
      <c r="C453" s="90" t="str">
        <v/>
      </c>
      <c r="D453" s="89" t="str">
        <v>Periódica</v>
      </c>
      <c r="E453" s="89">
        <v>365</v>
      </c>
      <c r="F453" s="89">
        <v>1</v>
      </c>
      <c r="G453" s="89" t="str">
        <f ca="1"/>
        <v>SIN FECHA</v>
      </c>
    </row>
    <row r="454" spans="1:7" x14ac:dyDescent="0.3">
      <c r="A454" s="89" t="str">
        <v>HERNANDEZ, PABLO SEBASTIAN</v>
      </c>
      <c r="B454" s="89" t="str">
        <v>Seguridad Quimica (Contratistas)</v>
      </c>
      <c r="C454" s="90" t="str">
        <v/>
      </c>
      <c r="D454" s="89" t="str">
        <v>Periódica</v>
      </c>
      <c r="E454" s="89">
        <v>365</v>
      </c>
      <c r="F454" s="89">
        <v>1</v>
      </c>
      <c r="G454" s="89" t="str">
        <f ca="1"/>
        <v>SIN FECHA</v>
      </c>
    </row>
    <row r="455" spans="1:7" x14ac:dyDescent="0.3">
      <c r="A455" s="89" t="str">
        <v>HERNANDEZ, PABLO SEBASTIAN</v>
      </c>
      <c r="B455" s="89" t="str">
        <v>Seguridad para Trabajos en Caliente</v>
      </c>
      <c r="C455" s="90">
        <v>45770</v>
      </c>
      <c r="D455" s="89" t="str">
        <v>Periódica</v>
      </c>
      <c r="E455" s="89">
        <v>365</v>
      </c>
      <c r="F455" s="89">
        <v>1</v>
      </c>
      <c r="G455" s="89" t="str">
        <f ca="1"/>
        <v>VENCIDA</v>
      </c>
    </row>
    <row r="456" spans="1:7" x14ac:dyDescent="0.3">
      <c r="A456" s="89" t="str">
        <v>HERNANDEZ, PABLO SEBASTIAN</v>
      </c>
      <c r="B456" s="89" t="str">
        <v>Seguridad con la Radiacion</v>
      </c>
      <c r="C456" s="90" t="str">
        <v/>
      </c>
      <c r="D456" s="89" t="str">
        <v>Periódica</v>
      </c>
      <c r="E456" s="89">
        <v>365</v>
      </c>
      <c r="F456" s="89">
        <v>2</v>
      </c>
      <c r="G456" s="89" t="str">
        <f ca="1"/>
        <v>SIN FECHA</v>
      </c>
    </row>
    <row r="457" spans="1:7" x14ac:dyDescent="0.3">
      <c r="A457" s="89" t="str">
        <v>HERNANDEZ, PABLO SEBASTIAN</v>
      </c>
      <c r="B457" s="89" t="str">
        <v>Equipo de Proteccion Personal (PPE)</v>
      </c>
      <c r="C457" s="90" t="str">
        <v/>
      </c>
      <c r="D457" s="89" t="str">
        <v>Periódica</v>
      </c>
      <c r="E457" s="89">
        <v>365</v>
      </c>
      <c r="F457" s="89">
        <v>1</v>
      </c>
      <c r="G457" s="89" t="str">
        <f ca="1"/>
        <v>SIN FECHA</v>
      </c>
    </row>
    <row r="458" spans="1:7" x14ac:dyDescent="0.3">
      <c r="A458" s="89" t="str">
        <v>HERNANDEZ, PABLO SEBASTIAN</v>
      </c>
      <c r="B458" s="89" t="str">
        <v>Proteccion Respiratoria</v>
      </c>
      <c r="C458" s="90" t="str">
        <v/>
      </c>
      <c r="D458" s="89" t="str">
        <v>Periódica</v>
      </c>
      <c r="E458" s="89">
        <v>365</v>
      </c>
      <c r="F458" s="89">
        <v>1</v>
      </c>
      <c r="G458" s="89" t="str">
        <f ca="1"/>
        <v>SIN FECHA</v>
      </c>
    </row>
    <row r="459" spans="1:7" x14ac:dyDescent="0.3">
      <c r="A459" s="89" t="str">
        <v>HERNANDEZ, PABLO SEBASTIAN</v>
      </c>
      <c r="B459" s="89" t="str">
        <v xml:space="preserve">Seguridad con Escaleras </v>
      </c>
      <c r="C459" s="90" t="str">
        <v/>
      </c>
      <c r="D459" s="89" t="str">
        <v>Periódica</v>
      </c>
      <c r="E459" s="89">
        <v>365</v>
      </c>
      <c r="F459" s="89">
        <v>1</v>
      </c>
      <c r="G459" s="89" t="str">
        <f ca="1"/>
        <v>SIN FECHA</v>
      </c>
    </row>
    <row r="460" spans="1:7" x14ac:dyDescent="0.3">
      <c r="A460" s="89" t="str">
        <v>HERNANDEZ, PABLO SEBASTIAN</v>
      </c>
      <c r="B460" s="89" t="str">
        <v>Seguridad con Escaleras // Estantes de Almacenamiento</v>
      </c>
      <c r="C460" s="90" t="str">
        <v/>
      </c>
      <c r="D460" s="89" t="str">
        <v>Periódica</v>
      </c>
      <c r="E460" s="89">
        <v>365</v>
      </c>
      <c r="F460" s="89">
        <v>1</v>
      </c>
      <c r="G460" s="89" t="str">
        <f ca="1"/>
        <v>SIN FECHA</v>
      </c>
    </row>
    <row r="461" spans="1:7" x14ac:dyDescent="0.3">
      <c r="A461" s="89" t="str">
        <v>HERNANDEZ, PABLO SEBASTIAN</v>
      </c>
      <c r="B461" s="89" t="str">
        <v>Responsabilidades del Supervisor</v>
      </c>
      <c r="C461" s="90" t="str">
        <v/>
      </c>
      <c r="D461" s="89" t="str">
        <v>Periódica</v>
      </c>
      <c r="E461" s="89">
        <v>365</v>
      </c>
      <c r="F461" s="89">
        <v>1</v>
      </c>
      <c r="G461" s="89" t="str">
        <f ca="1"/>
        <v>SIN FECHA</v>
      </c>
    </row>
    <row r="462" spans="1:7" x14ac:dyDescent="0.3">
      <c r="A462" s="89" t="str">
        <v>HERNANDEZ, PABLO SEBASTIAN</v>
      </c>
      <c r="B462" s="89" t="str">
        <v>Espacios Confinados (Todos)</v>
      </c>
      <c r="C462" s="90" t="str">
        <v/>
      </c>
      <c r="D462" s="89" t="str">
        <v>Periódica</v>
      </c>
      <c r="E462" s="89">
        <v>365</v>
      </c>
      <c r="F462" s="89">
        <v>1</v>
      </c>
      <c r="G462" s="89" t="str">
        <f ca="1"/>
        <v>SIN FECHA</v>
      </c>
    </row>
    <row r="463" spans="1:7" x14ac:dyDescent="0.3">
      <c r="A463" s="89" t="str">
        <v>HERNANDEZ, PABLO SEBASTIAN</v>
      </c>
      <c r="B463" s="89" t="str">
        <v>HSMS.017 / Espacios Confinados (Entrantes)</v>
      </c>
      <c r="C463" s="90" t="str">
        <v/>
      </c>
      <c r="D463" s="89" t="str">
        <v>Evento</v>
      </c>
      <c r="E463" s="89">
        <v>0</v>
      </c>
      <c r="F463" s="89">
        <v>8</v>
      </c>
      <c r="G463" s="89" t="str">
        <f ca="1"/>
        <v>SIN FECHA</v>
      </c>
    </row>
    <row r="464" spans="1:7" x14ac:dyDescent="0.3">
      <c r="A464" s="89" t="str">
        <v>HERNANDEZ, PABLO SEBASTIAN</v>
      </c>
      <c r="B464" s="89" t="str">
        <v>Programa de Agua (Todos)</v>
      </c>
      <c r="C464" s="90" t="str">
        <v/>
      </c>
      <c r="D464" s="89" t="str">
        <v>Evento</v>
      </c>
      <c r="E464" s="89">
        <v>0</v>
      </c>
      <c r="F464" s="89">
        <v>1</v>
      </c>
      <c r="G464" s="89" t="str">
        <f ca="1"/>
        <v>SIN FECHA</v>
      </c>
    </row>
    <row r="465" spans="1:7" x14ac:dyDescent="0.3">
      <c r="A465" s="89" t="str">
        <v>HERNANDEZ, PABLO SEBASTIAN</v>
      </c>
      <c r="B465" s="89" t="str">
        <v>Programa de Agua (HSE)</v>
      </c>
      <c r="C465" s="90" t="str">
        <v/>
      </c>
      <c r="D465" s="89" t="str">
        <v>Evento</v>
      </c>
      <c r="E465" s="89">
        <v>0</v>
      </c>
      <c r="F465" s="89">
        <v>1</v>
      </c>
      <c r="G465" s="89" t="str">
        <f ca="1"/>
        <v>SIN FECHA</v>
      </c>
    </row>
    <row r="466" spans="1:7" x14ac:dyDescent="0.3">
      <c r="A466" s="89" t="str">
        <v>HERNANDEZ, PABLO SEBASTIAN</v>
      </c>
      <c r="B466" s="89" t="str">
        <v>HIV/SIDA y otras enfermedades de transmisión sexual (ETS)</v>
      </c>
      <c r="C466" s="90" t="str">
        <v/>
      </c>
      <c r="D466" s="89" t="str">
        <v>Periódica</v>
      </c>
      <c r="E466" s="89">
        <v>365</v>
      </c>
      <c r="F466" s="89">
        <v>1</v>
      </c>
      <c r="G466" s="89" t="str">
        <f ca="1"/>
        <v>SIN FECHA</v>
      </c>
    </row>
    <row r="467" spans="1:7" x14ac:dyDescent="0.3">
      <c r="A467" s="89" t="str">
        <v>HERNANDEZ, PABLO SEBASTIAN</v>
      </c>
      <c r="B467" s="89" t="str">
        <v>Drogas de abuso (concientización y prevención)</v>
      </c>
      <c r="C467" s="90" t="str">
        <v/>
      </c>
      <c r="D467" s="89" t="str">
        <v>Periódica</v>
      </c>
      <c r="E467" s="89">
        <v>365</v>
      </c>
      <c r="F467" s="89">
        <v>1</v>
      </c>
      <c r="G467" s="89" t="str">
        <f ca="1"/>
        <v>SIN FECHA</v>
      </c>
    </row>
    <row r="468" spans="1:7" x14ac:dyDescent="0.3">
      <c r="A468" s="89" t="str">
        <v>HERNANDEZ, PABLO SEBASTIAN</v>
      </c>
      <c r="B468" s="89" t="str">
        <v>Vida saludable (hábitos, autocuidado y bienestar)</v>
      </c>
      <c r="C468" s="90" t="str">
        <v/>
      </c>
      <c r="D468" s="89" t="str">
        <v>Periódica</v>
      </c>
      <c r="E468" s="89">
        <v>365</v>
      </c>
      <c r="F468" s="89">
        <v>1</v>
      </c>
      <c r="G468" s="89" t="str">
        <f ca="1"/>
        <v>SIN FECHA</v>
      </c>
    </row>
    <row r="469" spans="1:7" x14ac:dyDescent="0.3">
      <c r="A469" s="89" t="str">
        <v>HERNANDEZ, PABLO SEBASTIAN</v>
      </c>
      <c r="B469" s="89" t="str">
        <v>Primeros auxilios y Reanimación Cardio Pulmonar (RCP)</v>
      </c>
      <c r="C469" s="90" t="str">
        <v/>
      </c>
      <c r="D469" s="89" t="str">
        <v>Periódica</v>
      </c>
      <c r="E469" s="89">
        <v>365</v>
      </c>
      <c r="F469" s="89">
        <v>4</v>
      </c>
      <c r="G469" s="89" t="str">
        <f ca="1"/>
        <v>SIN FECHA</v>
      </c>
    </row>
    <row r="470" spans="1:7" x14ac:dyDescent="0.3">
      <c r="A470" s="89" t="str">
        <v>HERNANDEZ, PABLO SEBASTIAN</v>
      </c>
      <c r="B470" s="89" t="str">
        <v>Prevención cardiovascular (factores de riesgo y señales de alarma)</v>
      </c>
      <c r="C470" s="90" t="str">
        <v/>
      </c>
      <c r="D470" s="89" t="str">
        <v>Periódica</v>
      </c>
      <c r="E470" s="89">
        <v>365</v>
      </c>
      <c r="F470" s="89">
        <v>1</v>
      </c>
      <c r="G470" s="89" t="str">
        <f ca="1"/>
        <v>SIN FECHA</v>
      </c>
    </row>
    <row r="471" spans="1:7" x14ac:dyDescent="0.3">
      <c r="A471" s="89" t="str">
        <v>HERNANDEZ, PABLO SEBASTIAN</v>
      </c>
      <c r="B471" s="89" t="str">
        <v>Efectos del tabaco sobre la salud</v>
      </c>
      <c r="C471" s="90" t="str">
        <v/>
      </c>
      <c r="D471" s="89" t="str">
        <v>Periódica</v>
      </c>
      <c r="E471" s="89">
        <v>365</v>
      </c>
      <c r="F471" s="89">
        <v>1</v>
      </c>
      <c r="G471" s="89" t="str">
        <f ca="1"/>
        <v>SIN FECHA</v>
      </c>
    </row>
    <row r="472" spans="1:7" x14ac:dyDescent="0.3">
      <c r="A472" s="89" t="str">
        <v>HERNANDEZ, PABLO SEBASTIAN</v>
      </c>
      <c r="B472" s="89" t="str">
        <v>Cargadora (Op. Montacargas)</v>
      </c>
      <c r="C472" s="90" t="str">
        <v/>
      </c>
      <c r="D472" s="89" t="str">
        <v>Periódica</v>
      </c>
      <c r="E472" s="89">
        <v>365</v>
      </c>
      <c r="F472" s="89">
        <v>8</v>
      </c>
      <c r="G472" s="89" t="str">
        <f ca="1"/>
        <v>SIN FECHA</v>
      </c>
    </row>
    <row r="473" spans="1:7" x14ac:dyDescent="0.3">
      <c r="A473" s="89" t="str">
        <v>HERNANDEZ, PABLO SEBASTIAN</v>
      </c>
      <c r="B473" s="89">
        <v>0</v>
      </c>
      <c r="C473" s="90" t="str">
        <v/>
      </c>
      <c r="D473" s="89" t="str">
        <v/>
      </c>
      <c r="E473" s="89" t="str">
        <v/>
      </c>
      <c r="F473" s="89" t="str">
        <v/>
      </c>
      <c r="G473" s="89" t="str">
        <f ca="1"/>
        <v>SIN FECHA</v>
      </c>
    </row>
    <row r="474" spans="1:7" x14ac:dyDescent="0.3">
      <c r="A474" s="89" t="str">
        <v>HERNANDEZ, PABLO SEBASTIAN</v>
      </c>
      <c r="B474" s="89">
        <v>0</v>
      </c>
      <c r="C474" s="90" t="str">
        <v/>
      </c>
      <c r="D474" s="89" t="str">
        <v/>
      </c>
      <c r="E474" s="89" t="str">
        <v/>
      </c>
      <c r="F474" s="89" t="str">
        <v/>
      </c>
      <c r="G474" s="89" t="str">
        <f ca="1"/>
        <v>SIN FECHA</v>
      </c>
    </row>
    <row r="475" spans="1:7" x14ac:dyDescent="0.3">
      <c r="A475" s="89" t="str">
        <v>HERNANDEZ, PABLO SEBASTIAN</v>
      </c>
      <c r="B475" s="89">
        <v>0</v>
      </c>
      <c r="C475" s="90" t="str">
        <v/>
      </c>
      <c r="D475" s="89" t="str">
        <v/>
      </c>
      <c r="E475" s="89" t="str">
        <v/>
      </c>
      <c r="F475" s="89" t="str">
        <v/>
      </c>
      <c r="G475" s="89" t="str">
        <f ca="1"/>
        <v>SIN FECHA</v>
      </c>
    </row>
    <row r="476" spans="1:7" x14ac:dyDescent="0.3">
      <c r="A476" s="89" t="str">
        <v>HERNANDEZ, PABLO SEBASTIAN</v>
      </c>
      <c r="B476" s="89">
        <v>0</v>
      </c>
      <c r="C476" s="90" t="str">
        <v/>
      </c>
      <c r="D476" s="89" t="str">
        <v/>
      </c>
      <c r="E476" s="89" t="str">
        <v/>
      </c>
      <c r="F476" s="89" t="str">
        <v/>
      </c>
      <c r="G476" s="89" t="str">
        <f ca="1"/>
        <v>SIN FECHA</v>
      </c>
    </row>
    <row r="477" spans="1:7" x14ac:dyDescent="0.3">
      <c r="A477" s="89" t="str">
        <v>HERNANDEZ, PABLO SEBASTIAN</v>
      </c>
      <c r="B477" s="89">
        <v>0</v>
      </c>
      <c r="C477" s="90" t="str">
        <v/>
      </c>
      <c r="D477" s="89" t="str">
        <v/>
      </c>
      <c r="E477" s="89" t="str">
        <v/>
      </c>
      <c r="F477" s="89" t="str">
        <v/>
      </c>
      <c r="G477" s="89" t="str">
        <f ca="1"/>
        <v>SIN FECHA</v>
      </c>
    </row>
    <row r="478" spans="1:7" x14ac:dyDescent="0.3">
      <c r="A478" s="89" t="str">
        <v>HERNANDEZ, PABLO SEBASTIAN</v>
      </c>
      <c r="B478" s="89">
        <v>0</v>
      </c>
      <c r="C478" s="90" t="str">
        <v/>
      </c>
      <c r="D478" s="89" t="str">
        <v/>
      </c>
      <c r="E478" s="89" t="str">
        <v/>
      </c>
      <c r="F478" s="89" t="str">
        <v/>
      </c>
      <c r="G478" s="89" t="str">
        <f ca="1"/>
        <v>SIN FECHA</v>
      </c>
    </row>
    <row r="479" spans="1:7" x14ac:dyDescent="0.3">
      <c r="A479" s="89" t="str">
        <v>HERNANDEZ, PABLO SEBASTIAN</v>
      </c>
      <c r="B479" s="89">
        <v>0</v>
      </c>
      <c r="C479" s="90" t="str">
        <v/>
      </c>
      <c r="D479" s="89" t="str">
        <v/>
      </c>
      <c r="E479" s="89" t="str">
        <v/>
      </c>
      <c r="F479" s="89" t="str">
        <v/>
      </c>
      <c r="G479" s="89" t="str">
        <f ca="1"/>
        <v>SIN FECHA</v>
      </c>
    </row>
    <row r="480" spans="1:7" x14ac:dyDescent="0.3">
      <c r="A480" s="89" t="str">
        <v>HERNANDEZ, PABLO SEBASTIAN</v>
      </c>
      <c r="B480" s="89">
        <v>0</v>
      </c>
      <c r="C480" s="90" t="str">
        <v/>
      </c>
      <c r="D480" s="89" t="str">
        <v/>
      </c>
      <c r="E480" s="89" t="str">
        <v/>
      </c>
      <c r="F480" s="89" t="str">
        <v/>
      </c>
      <c r="G480" s="89" t="str">
        <f ca="1"/>
        <v>SIN FECHA</v>
      </c>
    </row>
    <row r="481" spans="1:7" x14ac:dyDescent="0.3">
      <c r="A481" s="89" t="str">
        <v>HERNANDEZ, PABLO SEBASTIAN</v>
      </c>
      <c r="B481" s="89">
        <v>0</v>
      </c>
      <c r="C481" s="90" t="str">
        <v/>
      </c>
      <c r="D481" s="89" t="str">
        <v/>
      </c>
      <c r="E481" s="89" t="str">
        <v/>
      </c>
      <c r="F481" s="89" t="str">
        <v/>
      </c>
      <c r="G481" s="89" t="str">
        <f ca="1"/>
        <v>SIN FECHA</v>
      </c>
    </row>
    <row r="482" spans="1:7" x14ac:dyDescent="0.3">
      <c r="A482" s="89" t="str">
        <v>MONTES DE OCA, EZEQUIEL NICOLAS</v>
      </c>
      <c r="B482" s="89" t="str">
        <v>Programa de Aire</v>
      </c>
      <c r="C482" s="90" t="str">
        <v/>
      </c>
      <c r="D482" s="89" t="str">
        <v>Evento</v>
      </c>
      <c r="E482" s="89">
        <v>0</v>
      </c>
      <c r="F482" s="89">
        <v>1</v>
      </c>
      <c r="G482" s="89" t="str">
        <f ca="1"/>
        <v>SIN FECHA</v>
      </c>
    </row>
    <row r="483" spans="1:7" x14ac:dyDescent="0.3">
      <c r="A483" s="89" t="str">
        <v>MONTES DE OCA, EZEQUIEL NICOLAS</v>
      </c>
      <c r="B483" s="89" t="str">
        <v>Conciencia Ambiental</v>
      </c>
      <c r="C483" s="90">
        <v>46134</v>
      </c>
      <c r="D483" s="89" t="str">
        <v>Periódica</v>
      </c>
      <c r="E483" s="89">
        <v>365</v>
      </c>
      <c r="F483" s="89">
        <v>1</v>
      </c>
      <c r="G483" s="89" t="str">
        <f ca="1"/>
        <v>VIGENTE</v>
      </c>
    </row>
    <row r="484" spans="1:7" x14ac:dyDescent="0.3">
      <c r="A484" s="89" t="str">
        <v>MONTES DE OCA, EZEQUIEL NICOLAS</v>
      </c>
      <c r="B484" s="89" t="str">
        <v xml:space="preserve">Control de Documentos e Informacion de HSE </v>
      </c>
      <c r="C484" s="90" t="str">
        <v/>
      </c>
      <c r="D484" s="89" t="str">
        <v>Evento</v>
      </c>
      <c r="E484" s="89">
        <v>0</v>
      </c>
      <c r="F484" s="89">
        <v>1</v>
      </c>
      <c r="G484" s="89" t="str">
        <f ca="1"/>
        <v>SIN FECHA</v>
      </c>
    </row>
    <row r="485" spans="1:7" x14ac:dyDescent="0.3">
      <c r="A485" s="89" t="str">
        <v>MONTES DE OCA, EZEQUIEL NICOLAS</v>
      </c>
      <c r="B485" s="89" t="str">
        <v xml:space="preserve"> Acciones Correctivas y Preventivas (CAPA)</v>
      </c>
      <c r="C485" s="90" t="str">
        <v/>
      </c>
      <c r="D485" s="89" t="str">
        <v>Evento</v>
      </c>
      <c r="E485" s="89">
        <v>0</v>
      </c>
      <c r="F485" s="89">
        <v>1</v>
      </c>
      <c r="G485" s="89" t="str">
        <f ca="1"/>
        <v>SIN FECHA</v>
      </c>
    </row>
    <row r="486" spans="1:7" x14ac:dyDescent="0.3">
      <c r="A486" s="89" t="str">
        <v>MONTES DE OCA, EZEQUIEL NICOLAS</v>
      </c>
      <c r="B486" s="89" t="str">
        <v>Seguridad Basada en el Comportamiento (Observation Program) // HSMS.043 / Autoridad de Detener el Trabajo</v>
      </c>
      <c r="C486" s="90">
        <v>45827</v>
      </c>
      <c r="D486" s="89" t="str">
        <v>Periódica</v>
      </c>
      <c r="E486" s="89">
        <v>365</v>
      </c>
      <c r="F486" s="89">
        <v>1</v>
      </c>
      <c r="G486" s="89" t="str">
        <f ca="1"/>
        <v>VENCIDA</v>
      </c>
    </row>
    <row r="487" spans="1:7" x14ac:dyDescent="0.3">
      <c r="A487" s="89" t="str">
        <v>MONTES DE OCA, EZEQUIEL NICOLAS</v>
      </c>
      <c r="B487" s="89" t="str">
        <v>Identificacion de Peligros y Evaluacion de Riesgos</v>
      </c>
      <c r="C487" s="90">
        <v>46017</v>
      </c>
      <c r="D487" s="89" t="str">
        <v>Evento</v>
      </c>
      <c r="E487" s="89">
        <v>0</v>
      </c>
      <c r="F487" s="89">
        <v>1</v>
      </c>
      <c r="G487" s="89" t="str">
        <f ca="1"/>
        <v>VIGENTE</v>
      </c>
    </row>
    <row r="488" spans="1:7" x14ac:dyDescent="0.3">
      <c r="A488" s="89" t="str">
        <v>MONTES DE OCA, EZEQUIEL NICOLAS</v>
      </c>
      <c r="B488" s="89" t="str">
        <v xml:space="preserve"> Plan de Respuesta ante Eemergencias / HSMS.010 /Primeros Axulios &amp; RCP/DEA / HSMSWT-002 / Patogenos Trasnmitidos por la Sangre</v>
      </c>
      <c r="C488" s="90" t="str">
        <v/>
      </c>
      <c r="D488" s="89" t="str">
        <v>Periódica</v>
      </c>
      <c r="E488" s="89">
        <v>365</v>
      </c>
      <c r="F488" s="89">
        <v>1</v>
      </c>
      <c r="G488" s="89" t="str">
        <f ca="1"/>
        <v>SIN FECHA</v>
      </c>
    </row>
    <row r="489" spans="1:7" x14ac:dyDescent="0.3">
      <c r="A489" s="89" t="str">
        <v>MONTES DE OCA, EZEQUIEL NICOLAS</v>
      </c>
      <c r="B489" s="89" t="str">
        <v>Reporte y Gestion de Incidentes HSE (Todos)</v>
      </c>
      <c r="C489" s="90">
        <v>46008</v>
      </c>
      <c r="D489" s="89" t="str">
        <v>Periódica</v>
      </c>
      <c r="E489" s="89">
        <v>365</v>
      </c>
      <c r="F489" s="89">
        <v>1</v>
      </c>
      <c r="G489" s="89" t="str">
        <f ca="1"/>
        <v>VIGENTE</v>
      </c>
    </row>
    <row r="490" spans="1:7" x14ac:dyDescent="0.3">
      <c r="A490" s="89" t="str">
        <v>MONTES DE OCA, EZEQUIEL NICOLAS</v>
      </c>
      <c r="B490" s="89" t="str">
        <v>Reporte, Gestion e Investigacion de Incidentes HSE (supervisores / investigadores (rol))</v>
      </c>
      <c r="C490" s="90" t="str">
        <v/>
      </c>
      <c r="D490" s="89" t="str">
        <v>Periódica</v>
      </c>
      <c r="E490" s="89">
        <v>1095</v>
      </c>
      <c r="F490" s="89">
        <v>2</v>
      </c>
      <c r="G490" s="89" t="str">
        <f ca="1"/>
        <v>SIN FECHA</v>
      </c>
    </row>
    <row r="491" spans="1:7" x14ac:dyDescent="0.3">
      <c r="A491" s="89" t="str">
        <v>MONTES DE OCA, EZEQUIEL NICOLAS</v>
      </c>
      <c r="B491" s="89" t="str">
        <v>Gruas y Equipos de Izaje (Todos)</v>
      </c>
      <c r="C491" s="90" t="str">
        <v/>
      </c>
      <c r="D491" s="89" t="str">
        <v>Periódica</v>
      </c>
      <c r="E491" s="89">
        <v>365</v>
      </c>
      <c r="F491" s="89">
        <v>2</v>
      </c>
      <c r="G491" s="89" t="str">
        <f ca="1"/>
        <v>SIN FECHA</v>
      </c>
    </row>
    <row r="492" spans="1:7" x14ac:dyDescent="0.3">
      <c r="A492" s="89" t="str">
        <v>MONTES DE OCA, EZEQUIEL NICOLAS</v>
      </c>
      <c r="B492" s="89" t="str">
        <v>HSMS.007 / Gruas y Equipos de Izaje (Operadores)</v>
      </c>
      <c r="C492" s="90">
        <v>45776</v>
      </c>
      <c r="D492" s="89" t="str">
        <v>Periódica</v>
      </c>
      <c r="E492" s="89">
        <v>365</v>
      </c>
      <c r="F492" s="89">
        <v>8</v>
      </c>
      <c r="G492" s="89" t="str">
        <f ca="1"/>
        <v>VENCIDA</v>
      </c>
    </row>
    <row r="493" spans="1:7" x14ac:dyDescent="0.3">
      <c r="A493" s="89" t="str">
        <v>MONTES DE OCA, EZEQUIEL NICOLAS</v>
      </c>
      <c r="B493" s="89" t="str">
        <v>Proteccion Contra Incendios (Todos)</v>
      </c>
      <c r="C493" s="90">
        <v>45835</v>
      </c>
      <c r="D493" s="89" t="str">
        <v>Periódica</v>
      </c>
      <c r="E493" s="89">
        <v>365</v>
      </c>
      <c r="F493" s="89">
        <v>1</v>
      </c>
      <c r="G493" s="89" t="str">
        <f ca="1"/>
        <v>VENCIDA</v>
      </c>
    </row>
    <row r="494" spans="1:7" x14ac:dyDescent="0.3">
      <c r="A494" s="89" t="str">
        <v>MONTES DE OCA, EZEQUIEL NICOLAS</v>
      </c>
      <c r="B494" s="89" t="str">
        <v>Proteccion Contra Incendios (Brigadistas)</v>
      </c>
      <c r="C494" s="90" t="str">
        <v/>
      </c>
      <c r="D494" s="89" t="str">
        <v>Periódica</v>
      </c>
      <c r="E494" s="89">
        <v>365</v>
      </c>
      <c r="F494" s="89">
        <v>2</v>
      </c>
      <c r="G494" s="89" t="str">
        <f ca="1"/>
        <v>SIN FECHA</v>
      </c>
    </row>
    <row r="495" spans="1:7" x14ac:dyDescent="0.3">
      <c r="A495" s="89" t="str">
        <v>MONTES DE OCA, EZEQUIEL NICOLAS</v>
      </c>
      <c r="B495" s="89" t="str">
        <v>Primeros Auxilios (Brigadistas)</v>
      </c>
      <c r="C495" s="90" t="str">
        <v/>
      </c>
      <c r="D495" s="89" t="str">
        <v>Periódica</v>
      </c>
      <c r="E495" s="89">
        <v>365</v>
      </c>
      <c r="F495" s="89">
        <v>2</v>
      </c>
      <c r="G495" s="89" t="str">
        <f ca="1"/>
        <v>SIN FECHA</v>
      </c>
    </row>
    <row r="496" spans="1:7" x14ac:dyDescent="0.3">
      <c r="A496" s="89" t="str">
        <v>MONTES DE OCA, EZEQUIEL NICOLAS</v>
      </c>
      <c r="B496" s="89" t="str">
        <v>Seguridad Electrica (Todos)</v>
      </c>
      <c r="C496" s="90" t="str">
        <v/>
      </c>
      <c r="D496" s="89" t="str">
        <v>Periódica</v>
      </c>
      <c r="E496" s="89">
        <v>365</v>
      </c>
      <c r="F496" s="89">
        <v>1</v>
      </c>
      <c r="G496" s="89" t="str">
        <f ca="1"/>
        <v>SIN FECHA</v>
      </c>
    </row>
    <row r="497" spans="1:7" x14ac:dyDescent="0.3">
      <c r="A497" s="89" t="str">
        <v>MONTES DE OCA, EZEQUIEL NICOLAS</v>
      </c>
      <c r="B497" s="89" t="str">
        <v>Seguridad Electrica (Personal Autorizado)</v>
      </c>
      <c r="C497" s="90" t="str">
        <v/>
      </c>
      <c r="D497" s="89" t="str">
        <v>Periódica</v>
      </c>
      <c r="E497" s="89">
        <v>1095</v>
      </c>
      <c r="F497" s="89">
        <v>4</v>
      </c>
      <c r="G497" s="89" t="str">
        <f ca="1"/>
        <v>SIN FECHA</v>
      </c>
    </row>
    <row r="498" spans="1:7" x14ac:dyDescent="0.3">
      <c r="A498" s="89" t="str">
        <v>MONTES DE OCA, EZEQUIEL NICOLAS</v>
      </c>
      <c r="B498" s="89" t="str">
        <v>Camiones Industriales Motorizados (PIT) (Todos)</v>
      </c>
      <c r="C498" s="90" t="str">
        <v/>
      </c>
      <c r="D498" s="89" t="str">
        <v>Periódica</v>
      </c>
      <c r="E498" s="89">
        <v>365</v>
      </c>
      <c r="F498" s="89">
        <v>1</v>
      </c>
      <c r="G498" s="89" t="str">
        <f ca="1"/>
        <v>SIN FECHA</v>
      </c>
    </row>
    <row r="499" spans="1:7" x14ac:dyDescent="0.3">
      <c r="A499" s="89" t="str">
        <v>MONTES DE OCA, EZEQUIEL NICOLAS</v>
      </c>
      <c r="B499" s="89" t="str">
        <v>Camiones Industriales Motorizados (PIT) (Op. Montacargas)</v>
      </c>
      <c r="C499" s="90" t="str">
        <v/>
      </c>
      <c r="D499" s="89" t="str">
        <v>Periódica</v>
      </c>
      <c r="E499" s="89">
        <v>365</v>
      </c>
      <c r="F499" s="89">
        <v>8</v>
      </c>
      <c r="G499" s="89" t="str">
        <f ca="1"/>
        <v>SIN FECHA</v>
      </c>
    </row>
    <row r="500" spans="1:7" x14ac:dyDescent="0.3">
      <c r="A500" s="89" t="str">
        <v>MONTES DE OCA, EZEQUIEL NICOLAS</v>
      </c>
      <c r="B500" s="89" t="str">
        <v>Control de Energias Peligrosas (LOTO) (Todos)</v>
      </c>
      <c r="C500" s="90">
        <v>45827</v>
      </c>
      <c r="D500" s="89" t="str">
        <v>Evento</v>
      </c>
      <c r="E500" s="89">
        <v>0</v>
      </c>
      <c r="F500" s="89">
        <v>1</v>
      </c>
      <c r="G500" s="89" t="str">
        <f ca="1"/>
        <v>VIGENTE</v>
      </c>
    </row>
    <row r="501" spans="1:7" x14ac:dyDescent="0.3">
      <c r="A501" s="89" t="str">
        <v>MONTES DE OCA, EZEQUIEL NICOLAS</v>
      </c>
      <c r="B501" s="89" t="str">
        <v>Control de Energias Peligrosas (LOTO) (Empleados Autorizados)</v>
      </c>
      <c r="C501" s="90">
        <v>46026</v>
      </c>
      <c r="D501" s="89" t="str">
        <v>Periódica</v>
      </c>
      <c r="E501" s="89">
        <v>365</v>
      </c>
      <c r="F501" s="89">
        <v>2</v>
      </c>
      <c r="G501" s="89" t="str">
        <f ca="1"/>
        <v>VIGENTE</v>
      </c>
    </row>
    <row r="502" spans="1:7" x14ac:dyDescent="0.3">
      <c r="A502" s="89" t="str">
        <v>MONTES DE OCA, EZEQUIEL NICOLAS</v>
      </c>
      <c r="B502" s="89" t="str">
        <v>Seguridad aplicada al Pozo &amp; Yacimiento</v>
      </c>
      <c r="C502" s="90" t="str">
        <v/>
      </c>
      <c r="D502" s="89" t="str">
        <v>Periódica</v>
      </c>
      <c r="E502" s="89">
        <v>365</v>
      </c>
      <c r="F502" s="89">
        <v>1</v>
      </c>
      <c r="G502" s="89" t="str">
        <f ca="1"/>
        <v>SIN FECHA</v>
      </c>
    </row>
    <row r="503" spans="1:7" x14ac:dyDescent="0.3">
      <c r="A503" s="89" t="str">
        <v>MONTES DE OCA, EZEQUIEL NICOLAS</v>
      </c>
      <c r="B503" s="89" t="str">
        <v>Las Reglas que Salvan Vidas</v>
      </c>
      <c r="C503" s="90" t="str">
        <v/>
      </c>
      <c r="D503" s="89" t="str">
        <v>Periódica</v>
      </c>
      <c r="E503" s="89">
        <v>365</v>
      </c>
      <c r="F503" s="89">
        <v>1</v>
      </c>
      <c r="G503" s="89" t="str">
        <f ca="1"/>
        <v>SIN FECHA</v>
      </c>
    </row>
    <row r="504" spans="1:7" x14ac:dyDescent="0.3">
      <c r="A504" s="89" t="str">
        <v>MONTES DE OCA, EZEQUIEL NICOLAS</v>
      </c>
      <c r="B504" s="89" t="str">
        <v xml:space="preserve">Resguardo de Maquinas &amp; Equipos </v>
      </c>
      <c r="C504" s="90" t="str">
        <v/>
      </c>
      <c r="D504" s="89" t="str">
        <v>Periódica</v>
      </c>
      <c r="E504" s="89">
        <v>365</v>
      </c>
      <c r="F504" s="89">
        <v>1</v>
      </c>
      <c r="G504" s="89" t="str">
        <f ca="1"/>
        <v>SIN FECHA</v>
      </c>
    </row>
    <row r="505" spans="1:7" x14ac:dyDescent="0.3">
      <c r="A505" s="89" t="str">
        <v>MONTES DE OCA, EZEQUIEL NICOLAS</v>
      </c>
      <c r="B505" s="89" t="str">
        <v>Conduccion y Gestion de Viajes (Todos)</v>
      </c>
      <c r="C505" s="90">
        <v>45770</v>
      </c>
      <c r="D505" s="89" t="str">
        <v>Periódica</v>
      </c>
      <c r="E505" s="89">
        <v>730</v>
      </c>
      <c r="F505" s="89">
        <v>1</v>
      </c>
      <c r="G505" s="89" t="str">
        <f ca="1"/>
        <v>VIGENTE</v>
      </c>
    </row>
    <row r="506" spans="1:7" x14ac:dyDescent="0.3">
      <c r="A506" s="89" t="str">
        <v>MONTES DE OCA, EZEQUIEL NICOLAS</v>
      </c>
      <c r="B506" s="89" t="str">
        <v>Conduccion y Gestion de Viajes (Conductores)</v>
      </c>
      <c r="C506" s="90">
        <v>46361</v>
      </c>
      <c r="D506" s="89" t="str">
        <v>Periódica</v>
      </c>
      <c r="E506" s="89">
        <v>1095</v>
      </c>
      <c r="F506" s="89">
        <v>5</v>
      </c>
      <c r="G506" s="89" t="str">
        <f ca="1"/>
        <v>VIGENTE</v>
      </c>
    </row>
    <row r="507" spans="1:7" x14ac:dyDescent="0.3">
      <c r="A507" s="89" t="str">
        <v>MONTES DE OCA, EZEQUIEL NICOLAS</v>
      </c>
      <c r="B507" s="89" t="str">
        <v>Patogenos Transmitidos por la Sangre</v>
      </c>
      <c r="C507" s="90" t="str">
        <v/>
      </c>
      <c r="D507" s="89" t="str">
        <v>Periódica</v>
      </c>
      <c r="E507" s="89">
        <v>365</v>
      </c>
      <c r="F507" s="89">
        <v>1</v>
      </c>
      <c r="G507" s="89" t="str">
        <f ca="1"/>
        <v>SIN FECHA</v>
      </c>
    </row>
    <row r="508" spans="1:7" x14ac:dyDescent="0.3">
      <c r="A508" s="89" t="str">
        <v>MONTES DE OCA, EZEQUIEL NICOLAS</v>
      </c>
      <c r="B508" s="89" t="str">
        <v>Conservacion Auditiva</v>
      </c>
      <c r="C508" s="90" t="str">
        <v/>
      </c>
      <c r="D508" s="89" t="str">
        <v>Periódica</v>
      </c>
      <c r="E508" s="89">
        <v>365</v>
      </c>
      <c r="F508" s="89">
        <v>1</v>
      </c>
      <c r="G508" s="89" t="str">
        <f ca="1"/>
        <v>SIN FECHA</v>
      </c>
    </row>
    <row r="509" spans="1:7" x14ac:dyDescent="0.3">
      <c r="A509" s="89" t="str">
        <v>MONTES DE OCA, EZEQUIEL NICOLAS</v>
      </c>
      <c r="B509" s="89" t="str">
        <v xml:space="preserve">Ergonomia //  / Levantamiento &amp; Seguridad en la Espalda </v>
      </c>
      <c r="C509" s="90">
        <v>46008</v>
      </c>
      <c r="D509" s="89" t="str">
        <v>Periódica</v>
      </c>
      <c r="E509" s="89">
        <v>365</v>
      </c>
      <c r="F509" s="89">
        <v>1</v>
      </c>
      <c r="G509" s="89" t="str">
        <f ca="1"/>
        <v>VIGENTE</v>
      </c>
    </row>
    <row r="510" spans="1:7" x14ac:dyDescent="0.3">
      <c r="A510" s="89" t="str">
        <v>MONTES DE OCA, EZEQUIEL NICOLAS</v>
      </c>
      <c r="B510" s="89" t="str">
        <v>Superficies Elevadas (Todos)</v>
      </c>
      <c r="C510" s="90">
        <v>46017</v>
      </c>
      <c r="D510" s="89" t="str">
        <v>Periódica</v>
      </c>
      <c r="E510" s="89">
        <v>365</v>
      </c>
      <c r="F510" s="89">
        <v>1</v>
      </c>
      <c r="G510" s="89" t="str">
        <f ca="1"/>
        <v>VIGENTE</v>
      </c>
    </row>
    <row r="511" spans="1:7" x14ac:dyDescent="0.3">
      <c r="A511" s="89" t="str">
        <v>MONTES DE OCA, EZEQUIEL NICOLAS</v>
      </c>
      <c r="B511" s="89" t="str">
        <v>Superficies Elevadas (Personal Habilitado)</v>
      </c>
      <c r="C511" s="90" t="str">
        <v/>
      </c>
      <c r="D511" s="89" t="str">
        <v>Periódica</v>
      </c>
      <c r="E511" s="89">
        <v>365</v>
      </c>
      <c r="F511" s="89">
        <v>8</v>
      </c>
      <c r="G511" s="89" t="str">
        <f ca="1"/>
        <v>SIN FECHA</v>
      </c>
    </row>
    <row r="512" spans="1:7" x14ac:dyDescent="0.3">
      <c r="A512" s="89" t="str">
        <v>MONTES DE OCA, EZEQUIEL NICOLAS</v>
      </c>
      <c r="B512" s="89" t="str">
        <v>Seguridad Quimica (Todos)</v>
      </c>
      <c r="C512" s="90">
        <v>46017</v>
      </c>
      <c r="D512" s="89" t="str">
        <v>Periódica</v>
      </c>
      <c r="E512" s="89">
        <v>730</v>
      </c>
      <c r="F512" s="89">
        <v>1</v>
      </c>
      <c r="G512" s="89" t="str">
        <f ca="1"/>
        <v>VIGENTE</v>
      </c>
    </row>
    <row r="513" spans="1:7" x14ac:dyDescent="0.3">
      <c r="A513" s="89" t="str">
        <v>MONTES DE OCA, EZEQUIEL NICOLAS</v>
      </c>
      <c r="B513" s="89" t="str">
        <v>Seguridad Quimica (Mantenimiento)</v>
      </c>
      <c r="C513" s="90" t="str">
        <v/>
      </c>
      <c r="D513" s="89" t="str">
        <v>Periódica</v>
      </c>
      <c r="E513" s="89">
        <v>365</v>
      </c>
      <c r="F513" s="89">
        <v>1</v>
      </c>
      <c r="G513" s="89" t="str">
        <f ca="1"/>
        <v>SIN FECHA</v>
      </c>
    </row>
    <row r="514" spans="1:7" x14ac:dyDescent="0.3">
      <c r="A514" s="89" t="str">
        <v>MONTES DE OCA, EZEQUIEL NICOLAS</v>
      </c>
      <c r="B514" s="89" t="str">
        <v>Seguridad Quimica (Contratistas)</v>
      </c>
      <c r="C514" s="90" t="str">
        <v/>
      </c>
      <c r="D514" s="89" t="str">
        <v>Periódica</v>
      </c>
      <c r="E514" s="89">
        <v>365</v>
      </c>
      <c r="F514" s="89">
        <v>1</v>
      </c>
      <c r="G514" s="89" t="str">
        <f ca="1"/>
        <v>SIN FECHA</v>
      </c>
    </row>
    <row r="515" spans="1:7" x14ac:dyDescent="0.3">
      <c r="A515" s="89" t="str">
        <v>MONTES DE OCA, EZEQUIEL NICOLAS</v>
      </c>
      <c r="B515" s="89" t="str">
        <v>Seguridad para Trabajos en Caliente</v>
      </c>
      <c r="C515" s="90">
        <v>45835</v>
      </c>
      <c r="D515" s="89" t="str">
        <v>Periódica</v>
      </c>
      <c r="E515" s="89">
        <v>365</v>
      </c>
      <c r="F515" s="89">
        <v>1</v>
      </c>
      <c r="G515" s="89" t="str">
        <f ca="1"/>
        <v>VENCIDA</v>
      </c>
    </row>
    <row r="516" spans="1:7" x14ac:dyDescent="0.3">
      <c r="A516" s="89" t="str">
        <v>MONTES DE OCA, EZEQUIEL NICOLAS</v>
      </c>
      <c r="B516" s="89" t="str">
        <v>Seguridad con la Radiacion</v>
      </c>
      <c r="C516" s="90">
        <v>46026</v>
      </c>
      <c r="D516" s="89" t="str">
        <v>Periódica</v>
      </c>
      <c r="E516" s="89">
        <v>365</v>
      </c>
      <c r="F516" s="89">
        <v>2</v>
      </c>
      <c r="G516" s="89" t="str">
        <f ca="1"/>
        <v>VIGENTE</v>
      </c>
    </row>
    <row r="517" spans="1:7" x14ac:dyDescent="0.3">
      <c r="A517" s="89" t="str">
        <v>MONTES DE OCA, EZEQUIEL NICOLAS</v>
      </c>
      <c r="B517" s="89" t="str">
        <v>Equipo de Proteccion Personal (PPE)</v>
      </c>
      <c r="C517" s="90">
        <v>46017</v>
      </c>
      <c r="D517" s="89" t="str">
        <v>Periódica</v>
      </c>
      <c r="E517" s="89">
        <v>365</v>
      </c>
      <c r="F517" s="89">
        <v>1</v>
      </c>
      <c r="G517" s="89" t="str">
        <f ca="1"/>
        <v>VIGENTE</v>
      </c>
    </row>
    <row r="518" spans="1:7" x14ac:dyDescent="0.3">
      <c r="A518" s="89" t="str">
        <v>MONTES DE OCA, EZEQUIEL NICOLAS</v>
      </c>
      <c r="B518" s="89" t="str">
        <v>Proteccion Respiratoria</v>
      </c>
      <c r="C518" s="90" t="str">
        <v/>
      </c>
      <c r="D518" s="89" t="str">
        <v>Periódica</v>
      </c>
      <c r="E518" s="89">
        <v>365</v>
      </c>
      <c r="F518" s="89">
        <v>1</v>
      </c>
      <c r="G518" s="89" t="str">
        <f ca="1"/>
        <v>SIN FECHA</v>
      </c>
    </row>
    <row r="519" spans="1:7" x14ac:dyDescent="0.3">
      <c r="A519" s="89" t="str">
        <v>MONTES DE OCA, EZEQUIEL NICOLAS</v>
      </c>
      <c r="B519" s="89" t="str">
        <v xml:space="preserve">Seguridad con Escaleras </v>
      </c>
      <c r="C519" s="90">
        <v>46017</v>
      </c>
      <c r="D519" s="89" t="str">
        <v>Periódica</v>
      </c>
      <c r="E519" s="89">
        <v>365</v>
      </c>
      <c r="F519" s="89">
        <v>1</v>
      </c>
      <c r="G519" s="89" t="str">
        <f ca="1"/>
        <v>VIGENTE</v>
      </c>
    </row>
    <row r="520" spans="1:7" x14ac:dyDescent="0.3">
      <c r="A520" s="89" t="str">
        <v>MONTES DE OCA, EZEQUIEL NICOLAS</v>
      </c>
      <c r="B520" s="89" t="str">
        <v>Seguridad con Escaleras // Estantes de Almacenamiento</v>
      </c>
      <c r="C520" s="90" t="str">
        <v/>
      </c>
      <c r="D520" s="89" t="str">
        <v>Periódica</v>
      </c>
      <c r="E520" s="89">
        <v>365</v>
      </c>
      <c r="F520" s="89">
        <v>1</v>
      </c>
      <c r="G520" s="89" t="str">
        <f ca="1"/>
        <v>SIN FECHA</v>
      </c>
    </row>
    <row r="521" spans="1:7" x14ac:dyDescent="0.3">
      <c r="A521" s="89" t="str">
        <v>MONTES DE OCA, EZEQUIEL NICOLAS</v>
      </c>
      <c r="B521" s="89" t="str">
        <v>Responsabilidades del Supervisor</v>
      </c>
      <c r="C521" s="90" t="str">
        <v/>
      </c>
      <c r="D521" s="89" t="str">
        <v>Periódica</v>
      </c>
      <c r="E521" s="89">
        <v>365</v>
      </c>
      <c r="F521" s="89">
        <v>1</v>
      </c>
      <c r="G521" s="89" t="str">
        <f ca="1"/>
        <v>SIN FECHA</v>
      </c>
    </row>
    <row r="522" spans="1:7" x14ac:dyDescent="0.3">
      <c r="A522" s="89" t="str">
        <v>MONTES DE OCA, EZEQUIEL NICOLAS</v>
      </c>
      <c r="B522" s="89" t="str">
        <v>Espacios Confinados (Todos)</v>
      </c>
      <c r="C522" s="90" t="str">
        <v/>
      </c>
      <c r="D522" s="89" t="str">
        <v>Periódica</v>
      </c>
      <c r="E522" s="89">
        <v>365</v>
      </c>
      <c r="F522" s="89">
        <v>1</v>
      </c>
      <c r="G522" s="89" t="str">
        <f ca="1"/>
        <v>SIN FECHA</v>
      </c>
    </row>
    <row r="523" spans="1:7" x14ac:dyDescent="0.3">
      <c r="A523" s="89" t="str">
        <v>MONTES DE OCA, EZEQUIEL NICOLAS</v>
      </c>
      <c r="B523" s="89" t="str">
        <v>HSMS.017 / Espacios Confinados (Entrantes)</v>
      </c>
      <c r="C523" s="90" t="str">
        <v/>
      </c>
      <c r="D523" s="89" t="str">
        <v>Evento</v>
      </c>
      <c r="E523" s="89">
        <v>0</v>
      </c>
      <c r="F523" s="89">
        <v>8</v>
      </c>
      <c r="G523" s="89" t="str">
        <f ca="1"/>
        <v>SIN FECHA</v>
      </c>
    </row>
    <row r="524" spans="1:7" x14ac:dyDescent="0.3">
      <c r="A524" s="89" t="str">
        <v>MONTES DE OCA, EZEQUIEL NICOLAS</v>
      </c>
      <c r="B524" s="89" t="str">
        <v>Programa de Agua (Todos)</v>
      </c>
      <c r="C524" s="90">
        <v>46134</v>
      </c>
      <c r="D524" s="89" t="str">
        <v>Evento</v>
      </c>
      <c r="E524" s="89">
        <v>0</v>
      </c>
      <c r="F524" s="89">
        <v>1</v>
      </c>
      <c r="G524" s="89" t="str">
        <f ca="1"/>
        <v>VIGENTE</v>
      </c>
    </row>
    <row r="525" spans="1:7" x14ac:dyDescent="0.3">
      <c r="A525" s="89" t="str">
        <v>MONTES DE OCA, EZEQUIEL NICOLAS</v>
      </c>
      <c r="B525" s="89" t="str">
        <v>Programa de Agua (HSE)</v>
      </c>
      <c r="C525" s="90" t="str">
        <v/>
      </c>
      <c r="D525" s="89" t="str">
        <v>Evento</v>
      </c>
      <c r="E525" s="89">
        <v>0</v>
      </c>
      <c r="F525" s="89">
        <v>1</v>
      </c>
      <c r="G525" s="89" t="str">
        <f ca="1"/>
        <v>SIN FECHA</v>
      </c>
    </row>
    <row r="526" spans="1:7" x14ac:dyDescent="0.3">
      <c r="A526" s="89" t="str">
        <v>MONTES DE OCA, EZEQUIEL NICOLAS</v>
      </c>
      <c r="B526" s="89" t="str">
        <v>HIV/SIDA y otras enfermedades de transmisión sexual (ETS)</v>
      </c>
      <c r="C526" s="90" t="str">
        <v/>
      </c>
      <c r="D526" s="89" t="str">
        <v>Periódica</v>
      </c>
      <c r="E526" s="89">
        <v>365</v>
      </c>
      <c r="F526" s="89">
        <v>1</v>
      </c>
      <c r="G526" s="89" t="str">
        <f ca="1"/>
        <v>SIN FECHA</v>
      </c>
    </row>
    <row r="527" spans="1:7" x14ac:dyDescent="0.3">
      <c r="A527" s="89" t="str">
        <v>MONTES DE OCA, EZEQUIEL NICOLAS</v>
      </c>
      <c r="B527" s="89" t="str">
        <v>Drogas de abuso (concientización y prevención)</v>
      </c>
      <c r="C527" s="90" t="str">
        <v/>
      </c>
      <c r="D527" s="89" t="str">
        <v>Periódica</v>
      </c>
      <c r="E527" s="89">
        <v>365</v>
      </c>
      <c r="F527" s="89">
        <v>1</v>
      </c>
      <c r="G527" s="89" t="str">
        <f ca="1"/>
        <v>SIN FECHA</v>
      </c>
    </row>
    <row r="528" spans="1:7" x14ac:dyDescent="0.3">
      <c r="A528" s="89" t="str">
        <v>MONTES DE OCA, EZEQUIEL NICOLAS</v>
      </c>
      <c r="B528" s="89" t="str">
        <v>Vida saludable (hábitos, autocuidado y bienestar)</v>
      </c>
      <c r="C528" s="90" t="str">
        <v/>
      </c>
      <c r="D528" s="89" t="str">
        <v>Periódica</v>
      </c>
      <c r="E528" s="89">
        <v>365</v>
      </c>
      <c r="F528" s="89">
        <v>1</v>
      </c>
      <c r="G528" s="89" t="str">
        <f ca="1"/>
        <v>SIN FECHA</v>
      </c>
    </row>
    <row r="529" spans="1:7" x14ac:dyDescent="0.3">
      <c r="A529" s="89" t="str">
        <v>MONTES DE OCA, EZEQUIEL NICOLAS</v>
      </c>
      <c r="B529" s="89" t="str">
        <v>Primeros auxilios y Reanimación Cardio Pulmonar (RCP)</v>
      </c>
      <c r="C529" s="90" t="str">
        <v/>
      </c>
      <c r="D529" s="89" t="str">
        <v>Periódica</v>
      </c>
      <c r="E529" s="89">
        <v>365</v>
      </c>
      <c r="F529" s="89">
        <v>4</v>
      </c>
      <c r="G529" s="89" t="str">
        <f ca="1"/>
        <v>SIN FECHA</v>
      </c>
    </row>
    <row r="530" spans="1:7" x14ac:dyDescent="0.3">
      <c r="A530" s="89" t="str">
        <v>MONTES DE OCA, EZEQUIEL NICOLAS</v>
      </c>
      <c r="B530" s="89" t="str">
        <v>Prevención cardiovascular (factores de riesgo y señales de alarma)</v>
      </c>
      <c r="C530" s="90" t="str">
        <v/>
      </c>
      <c r="D530" s="89" t="str">
        <v>Periódica</v>
      </c>
      <c r="E530" s="89">
        <v>365</v>
      </c>
      <c r="F530" s="89">
        <v>1</v>
      </c>
      <c r="G530" s="89" t="str">
        <f ca="1"/>
        <v>SIN FECHA</v>
      </c>
    </row>
    <row r="531" spans="1:7" x14ac:dyDescent="0.3">
      <c r="A531" s="89" t="str">
        <v>MONTES DE OCA, EZEQUIEL NICOLAS</v>
      </c>
      <c r="B531" s="89" t="str">
        <v>Efectos del tabaco sobre la salud</v>
      </c>
      <c r="C531" s="90" t="str">
        <v/>
      </c>
      <c r="D531" s="89" t="str">
        <v>Periódica</v>
      </c>
      <c r="E531" s="89">
        <v>365</v>
      </c>
      <c r="F531" s="89">
        <v>1</v>
      </c>
      <c r="G531" s="89" t="str">
        <f ca="1"/>
        <v>SIN FECHA</v>
      </c>
    </row>
    <row r="532" spans="1:7" x14ac:dyDescent="0.3">
      <c r="A532" s="89" t="str">
        <v>MONTES DE OCA, EZEQUIEL NICOLAS</v>
      </c>
      <c r="B532" s="89" t="str">
        <v>Cargadora (Op. Montacargas)</v>
      </c>
      <c r="C532" s="90" t="str">
        <v/>
      </c>
      <c r="D532" s="89" t="str">
        <v>Periódica</v>
      </c>
      <c r="E532" s="89">
        <v>365</v>
      </c>
      <c r="F532" s="89">
        <v>8</v>
      </c>
      <c r="G532" s="89" t="str">
        <f ca="1"/>
        <v>SIN FECHA</v>
      </c>
    </row>
    <row r="533" spans="1:7" x14ac:dyDescent="0.3">
      <c r="A533" s="89" t="str">
        <v>MONTES DE OCA, EZEQUIEL NICOLAS</v>
      </c>
      <c r="B533" s="89">
        <v>0</v>
      </c>
      <c r="C533" s="90" t="str">
        <v/>
      </c>
      <c r="D533" s="89" t="str">
        <v/>
      </c>
      <c r="E533" s="89" t="str">
        <v/>
      </c>
      <c r="F533" s="89" t="str">
        <v/>
      </c>
      <c r="G533" s="89" t="str">
        <f ca="1"/>
        <v>SIN FECHA</v>
      </c>
    </row>
    <row r="534" spans="1:7" x14ac:dyDescent="0.3">
      <c r="A534" s="89" t="str">
        <v>MONTES DE OCA, EZEQUIEL NICOLAS</v>
      </c>
      <c r="B534" s="89">
        <v>0</v>
      </c>
      <c r="C534" s="90" t="str">
        <v/>
      </c>
      <c r="D534" s="89" t="str">
        <v/>
      </c>
      <c r="E534" s="89" t="str">
        <v/>
      </c>
      <c r="F534" s="89" t="str">
        <v/>
      </c>
      <c r="G534" s="89" t="str">
        <f ca="1"/>
        <v>SIN FECHA</v>
      </c>
    </row>
    <row r="535" spans="1:7" x14ac:dyDescent="0.3">
      <c r="A535" s="89" t="str">
        <v>MONTES DE OCA, EZEQUIEL NICOLAS</v>
      </c>
      <c r="B535" s="89">
        <v>0</v>
      </c>
      <c r="C535" s="90" t="str">
        <v/>
      </c>
      <c r="D535" s="89" t="str">
        <v/>
      </c>
      <c r="E535" s="89" t="str">
        <v/>
      </c>
      <c r="F535" s="89" t="str">
        <v/>
      </c>
      <c r="G535" s="89" t="str">
        <f ca="1"/>
        <v>SIN FECHA</v>
      </c>
    </row>
    <row r="536" spans="1:7" x14ac:dyDescent="0.3">
      <c r="A536" s="89" t="str">
        <v>MONTES DE OCA, EZEQUIEL NICOLAS</v>
      </c>
      <c r="B536" s="89">
        <v>0</v>
      </c>
      <c r="C536" s="90" t="str">
        <v/>
      </c>
      <c r="D536" s="89" t="str">
        <v/>
      </c>
      <c r="E536" s="89" t="str">
        <v/>
      </c>
      <c r="F536" s="89" t="str">
        <v/>
      </c>
      <c r="G536" s="89" t="str">
        <f ca="1"/>
        <v>SIN FECHA</v>
      </c>
    </row>
    <row r="537" spans="1:7" x14ac:dyDescent="0.3">
      <c r="A537" s="89" t="str">
        <v>MONTES DE OCA, EZEQUIEL NICOLAS</v>
      </c>
      <c r="B537" s="89">
        <v>0</v>
      </c>
      <c r="C537" s="90" t="str">
        <v/>
      </c>
      <c r="D537" s="89" t="str">
        <v/>
      </c>
      <c r="E537" s="89" t="str">
        <v/>
      </c>
      <c r="F537" s="89" t="str">
        <v/>
      </c>
      <c r="G537" s="89" t="str">
        <f ca="1"/>
        <v>SIN FECHA</v>
      </c>
    </row>
    <row r="538" spans="1:7" x14ac:dyDescent="0.3">
      <c r="A538" s="89" t="str">
        <v>MONTES DE OCA, EZEQUIEL NICOLAS</v>
      </c>
      <c r="B538" s="89">
        <v>0</v>
      </c>
      <c r="C538" s="90" t="str">
        <v/>
      </c>
      <c r="D538" s="89" t="str">
        <v/>
      </c>
      <c r="E538" s="89" t="str">
        <v/>
      </c>
      <c r="F538" s="89" t="str">
        <v/>
      </c>
      <c r="G538" s="89" t="str">
        <f ca="1"/>
        <v>SIN FECHA</v>
      </c>
    </row>
    <row r="539" spans="1:7" x14ac:dyDescent="0.3">
      <c r="A539" s="89" t="str">
        <v>MONTES DE OCA, EZEQUIEL NICOLAS</v>
      </c>
      <c r="B539" s="89">
        <v>0</v>
      </c>
      <c r="C539" s="90" t="str">
        <v/>
      </c>
      <c r="D539" s="89" t="str">
        <v/>
      </c>
      <c r="E539" s="89" t="str">
        <v/>
      </c>
      <c r="F539" s="89" t="str">
        <v/>
      </c>
      <c r="G539" s="89" t="str">
        <f ca="1"/>
        <v>SIN FECHA</v>
      </c>
    </row>
    <row r="540" spans="1:7" x14ac:dyDescent="0.3">
      <c r="A540" s="89" t="str">
        <v>MONTES DE OCA, EZEQUIEL NICOLAS</v>
      </c>
      <c r="B540" s="89">
        <v>0</v>
      </c>
      <c r="C540" s="90" t="str">
        <v/>
      </c>
      <c r="D540" s="89" t="str">
        <v/>
      </c>
      <c r="E540" s="89" t="str">
        <v/>
      </c>
      <c r="F540" s="89" t="str">
        <v/>
      </c>
      <c r="G540" s="89" t="str">
        <f ca="1"/>
        <v>SIN FECHA</v>
      </c>
    </row>
    <row r="541" spans="1:7" x14ac:dyDescent="0.3">
      <c r="A541" s="89" t="str">
        <v>MONTES DE OCA, EZEQUIEL NICOLAS</v>
      </c>
      <c r="B541" s="89">
        <v>0</v>
      </c>
      <c r="C541" s="90" t="str">
        <v/>
      </c>
      <c r="D541" s="89" t="str">
        <v/>
      </c>
      <c r="E541" s="89" t="str">
        <v/>
      </c>
      <c r="F541" s="89" t="str">
        <v/>
      </c>
      <c r="G541" s="89" t="str">
        <f ca="1"/>
        <v>SIN FECHA</v>
      </c>
    </row>
    <row r="542" spans="1:7" x14ac:dyDescent="0.3">
      <c r="A542" s="89" t="str">
        <v>NICKELS, BRAIAN MICHEL</v>
      </c>
      <c r="B542" s="89" t="str">
        <v>Programa de Aire</v>
      </c>
      <c r="C542" s="90" t="str">
        <v/>
      </c>
      <c r="D542" s="89" t="str">
        <v>Evento</v>
      </c>
      <c r="E542" s="89">
        <v>0</v>
      </c>
      <c r="F542" s="89">
        <v>1</v>
      </c>
      <c r="G542" s="89" t="str">
        <f ca="1"/>
        <v>SIN FECHA</v>
      </c>
    </row>
    <row r="543" spans="1:7" x14ac:dyDescent="0.3">
      <c r="A543" s="89" t="str">
        <v>NICKELS, BRAIAN MICHEL</v>
      </c>
      <c r="B543" s="89" t="str">
        <v>Conciencia Ambiental</v>
      </c>
      <c r="C543" s="90">
        <v>46163</v>
      </c>
      <c r="D543" s="89" t="str">
        <v>Periódica</v>
      </c>
      <c r="E543" s="89">
        <v>365</v>
      </c>
      <c r="F543" s="89">
        <v>1</v>
      </c>
      <c r="G543" s="89" t="str">
        <f ca="1"/>
        <v>VIGENTE</v>
      </c>
    </row>
    <row r="544" spans="1:7" x14ac:dyDescent="0.3">
      <c r="A544" s="89" t="str">
        <v>NICKELS, BRAIAN MICHEL</v>
      </c>
      <c r="B544" s="89" t="str">
        <v xml:space="preserve">Control de Documentos e Informacion de HSE </v>
      </c>
      <c r="C544" s="90" t="str">
        <v/>
      </c>
      <c r="D544" s="89" t="str">
        <v>Evento</v>
      </c>
      <c r="E544" s="89">
        <v>0</v>
      </c>
      <c r="F544" s="89">
        <v>1</v>
      </c>
      <c r="G544" s="89" t="str">
        <f ca="1"/>
        <v>SIN FECHA</v>
      </c>
    </row>
    <row r="545" spans="1:7" x14ac:dyDescent="0.3">
      <c r="A545" s="89" t="str">
        <v>NICKELS, BRAIAN MICHEL</v>
      </c>
      <c r="B545" s="89" t="str">
        <v xml:space="preserve"> Acciones Correctivas y Preventivas (CAPA)</v>
      </c>
      <c r="C545" s="90" t="str">
        <v/>
      </c>
      <c r="D545" s="89" t="str">
        <v>Evento</v>
      </c>
      <c r="E545" s="89">
        <v>0</v>
      </c>
      <c r="F545" s="89">
        <v>1</v>
      </c>
      <c r="G545" s="89" t="str">
        <f ca="1"/>
        <v>SIN FECHA</v>
      </c>
    </row>
    <row r="546" spans="1:7" x14ac:dyDescent="0.3">
      <c r="A546" s="89" t="str">
        <v>NICKELS, BRAIAN MICHEL</v>
      </c>
      <c r="B546" s="89" t="str">
        <v>Seguridad Basada en el Comportamiento (Observation Program) // HSMS.043 / Autoridad de Detener el Trabajo</v>
      </c>
      <c r="C546" s="90">
        <v>45664</v>
      </c>
      <c r="D546" s="89" t="str">
        <v>Periódica</v>
      </c>
      <c r="E546" s="89">
        <v>365</v>
      </c>
      <c r="F546" s="89">
        <v>1</v>
      </c>
      <c r="G546" s="89" t="str">
        <f ca="1"/>
        <v>VENCIDA</v>
      </c>
    </row>
    <row r="547" spans="1:7" x14ac:dyDescent="0.3">
      <c r="A547" s="89" t="str">
        <v>NICKELS, BRAIAN MICHEL</v>
      </c>
      <c r="B547" s="89" t="str">
        <v>Identificacion de Peligros y Evaluacion de Riesgos</v>
      </c>
      <c r="C547" s="90">
        <v>45967</v>
      </c>
      <c r="D547" s="89" t="str">
        <v>Evento</v>
      </c>
      <c r="E547" s="89">
        <v>0</v>
      </c>
      <c r="F547" s="89">
        <v>1</v>
      </c>
      <c r="G547" s="89" t="str">
        <f ca="1"/>
        <v>VIGENTE</v>
      </c>
    </row>
    <row r="548" spans="1:7" x14ac:dyDescent="0.3">
      <c r="A548" s="89" t="str">
        <v>NICKELS, BRAIAN MICHEL</v>
      </c>
      <c r="B548" s="89" t="str">
        <v xml:space="preserve"> Plan de Respuesta ante Eemergencias / HSMS.010 /Primeros Axulios &amp; RCP/DEA / HSMSWT-002 / Patogenos Trasnmitidos por la Sangre</v>
      </c>
      <c r="C548" s="90" t="str">
        <v/>
      </c>
      <c r="D548" s="89" t="str">
        <v>Periódica</v>
      </c>
      <c r="E548" s="89">
        <v>365</v>
      </c>
      <c r="F548" s="89">
        <v>1</v>
      </c>
      <c r="G548" s="89" t="str">
        <f ca="1"/>
        <v>SIN FECHA</v>
      </c>
    </row>
    <row r="549" spans="1:7" x14ac:dyDescent="0.3">
      <c r="A549" s="89" t="str">
        <v>NICKELS, BRAIAN MICHEL</v>
      </c>
      <c r="B549" s="89" t="str">
        <v>Reporte y Gestion de Incidentes HSE (Todos)</v>
      </c>
      <c r="C549" s="90">
        <v>46000</v>
      </c>
      <c r="D549" s="89" t="str">
        <v>Periódica</v>
      </c>
      <c r="E549" s="89">
        <v>365</v>
      </c>
      <c r="F549" s="89">
        <v>1</v>
      </c>
      <c r="G549" s="89" t="str">
        <f ca="1"/>
        <v>VIGENTE</v>
      </c>
    </row>
    <row r="550" spans="1:7" x14ac:dyDescent="0.3">
      <c r="A550" s="89" t="str">
        <v>NICKELS, BRAIAN MICHEL</v>
      </c>
      <c r="B550" s="89" t="str">
        <v>Reporte, Gestion e Investigacion de Incidentes HSE (supervisores / investigadores (rol))</v>
      </c>
      <c r="C550" s="90" t="str">
        <v/>
      </c>
      <c r="D550" s="89" t="str">
        <v>Periódica</v>
      </c>
      <c r="E550" s="89">
        <v>1095</v>
      </c>
      <c r="F550" s="89">
        <v>2</v>
      </c>
      <c r="G550" s="89" t="str">
        <f ca="1"/>
        <v>SIN FECHA</v>
      </c>
    </row>
    <row r="551" spans="1:7" x14ac:dyDescent="0.3">
      <c r="A551" s="89" t="str">
        <v>NICKELS, BRAIAN MICHEL</v>
      </c>
      <c r="B551" s="89" t="str">
        <v>Gruas y Equipos de Izaje (Todos)</v>
      </c>
      <c r="C551" s="90" t="str">
        <v/>
      </c>
      <c r="D551" s="89" t="str">
        <v>Periódica</v>
      </c>
      <c r="E551" s="89">
        <v>365</v>
      </c>
      <c r="F551" s="89">
        <v>2</v>
      </c>
      <c r="G551" s="89" t="str">
        <f ca="1"/>
        <v>SIN FECHA</v>
      </c>
    </row>
    <row r="552" spans="1:7" x14ac:dyDescent="0.3">
      <c r="A552" s="89" t="str">
        <v>NICKELS, BRAIAN MICHEL</v>
      </c>
      <c r="B552" s="89" t="str">
        <v>HSMS.007 / Gruas y Equipos de Izaje (Operadores)</v>
      </c>
      <c r="C552" s="90" t="str">
        <v/>
      </c>
      <c r="D552" s="89" t="str">
        <v>Periódica</v>
      </c>
      <c r="E552" s="89">
        <v>365</v>
      </c>
      <c r="F552" s="89">
        <v>8</v>
      </c>
      <c r="G552" s="89" t="str">
        <f ca="1"/>
        <v>SIN FECHA</v>
      </c>
    </row>
    <row r="553" spans="1:7" x14ac:dyDescent="0.3">
      <c r="A553" s="89" t="str">
        <v>NICKELS, BRAIAN MICHEL</v>
      </c>
      <c r="B553" s="89" t="str">
        <v>Proteccion Contra Incendios (Todos)</v>
      </c>
      <c r="C553" s="90">
        <v>45793</v>
      </c>
      <c r="D553" s="89" t="str">
        <v>Periódica</v>
      </c>
      <c r="E553" s="89">
        <v>365</v>
      </c>
      <c r="F553" s="89">
        <v>1</v>
      </c>
      <c r="G553" s="89" t="str">
        <f ca="1"/>
        <v>VENCIDA</v>
      </c>
    </row>
    <row r="554" spans="1:7" x14ac:dyDescent="0.3">
      <c r="A554" s="89" t="str">
        <v>NICKELS, BRAIAN MICHEL</v>
      </c>
      <c r="B554" s="89" t="str">
        <v>Proteccion Contra Incendios (Brigadistas)</v>
      </c>
      <c r="C554" s="90" t="str">
        <v/>
      </c>
      <c r="D554" s="89" t="str">
        <v>Periódica</v>
      </c>
      <c r="E554" s="89">
        <v>365</v>
      </c>
      <c r="F554" s="89">
        <v>2</v>
      </c>
      <c r="G554" s="89" t="str">
        <f ca="1"/>
        <v>SIN FECHA</v>
      </c>
    </row>
    <row r="555" spans="1:7" x14ac:dyDescent="0.3">
      <c r="A555" s="89" t="str">
        <v>NICKELS, BRAIAN MICHEL</v>
      </c>
      <c r="B555" s="89" t="str">
        <v>Primeros Auxilios (Brigadistas)</v>
      </c>
      <c r="C555" s="90" t="str">
        <v/>
      </c>
      <c r="D555" s="89" t="str">
        <v>Periódica</v>
      </c>
      <c r="E555" s="89">
        <v>365</v>
      </c>
      <c r="F555" s="89">
        <v>2</v>
      </c>
      <c r="G555" s="89" t="str">
        <f ca="1"/>
        <v>SIN FECHA</v>
      </c>
    </row>
    <row r="556" spans="1:7" x14ac:dyDescent="0.3">
      <c r="A556" s="89" t="str">
        <v>NICKELS, BRAIAN MICHEL</v>
      </c>
      <c r="B556" s="89" t="str">
        <v>Seguridad Electrica (Todos)</v>
      </c>
      <c r="C556" s="90" t="str">
        <v/>
      </c>
      <c r="D556" s="89" t="str">
        <v>Periódica</v>
      </c>
      <c r="E556" s="89">
        <v>365</v>
      </c>
      <c r="F556" s="89">
        <v>1</v>
      </c>
      <c r="G556" s="89" t="str">
        <f ca="1"/>
        <v>SIN FECHA</v>
      </c>
    </row>
    <row r="557" spans="1:7" x14ac:dyDescent="0.3">
      <c r="A557" s="89" t="str">
        <v>NICKELS, BRAIAN MICHEL</v>
      </c>
      <c r="B557" s="89" t="str">
        <v>Seguridad Electrica (Personal Autorizado)</v>
      </c>
      <c r="C557" s="90" t="str">
        <v/>
      </c>
      <c r="D557" s="89" t="str">
        <v>Periódica</v>
      </c>
      <c r="E557" s="89">
        <v>1095</v>
      </c>
      <c r="F557" s="89">
        <v>4</v>
      </c>
      <c r="G557" s="89" t="str">
        <f ca="1"/>
        <v>SIN FECHA</v>
      </c>
    </row>
    <row r="558" spans="1:7" x14ac:dyDescent="0.3">
      <c r="A558" s="89" t="str">
        <v>NICKELS, BRAIAN MICHEL</v>
      </c>
      <c r="B558" s="89" t="str">
        <v>Camiones Industriales Motorizados (PIT) (Todos)</v>
      </c>
      <c r="C558" s="90" t="str">
        <v/>
      </c>
      <c r="D558" s="89" t="str">
        <v>Periódica</v>
      </c>
      <c r="E558" s="89">
        <v>365</v>
      </c>
      <c r="F558" s="89">
        <v>1</v>
      </c>
      <c r="G558" s="89" t="str">
        <f ca="1"/>
        <v>SIN FECHA</v>
      </c>
    </row>
    <row r="559" spans="1:7" x14ac:dyDescent="0.3">
      <c r="A559" s="89" t="str">
        <v>NICKELS, BRAIAN MICHEL</v>
      </c>
      <c r="B559" s="89" t="str">
        <v>Camiones Industriales Motorizados (PIT) (Op. Montacargas)</v>
      </c>
      <c r="C559" s="90" t="str">
        <v/>
      </c>
      <c r="D559" s="89" t="str">
        <v>Periódica</v>
      </c>
      <c r="E559" s="89">
        <v>365</v>
      </c>
      <c r="F559" s="89">
        <v>8</v>
      </c>
      <c r="G559" s="89" t="str">
        <f ca="1"/>
        <v>SIN FECHA</v>
      </c>
    </row>
    <row r="560" spans="1:7" x14ac:dyDescent="0.3">
      <c r="A560" s="89" t="str">
        <v>NICKELS, BRAIAN MICHEL</v>
      </c>
      <c r="B560" s="89" t="str">
        <v>Control de Energias Peligrosas (LOTO) (Todos)</v>
      </c>
      <c r="C560" s="90">
        <v>45707</v>
      </c>
      <c r="D560" s="89" t="str">
        <v>Evento</v>
      </c>
      <c r="E560" s="89">
        <v>0</v>
      </c>
      <c r="F560" s="89">
        <v>1</v>
      </c>
      <c r="G560" s="89" t="str">
        <f ca="1"/>
        <v>VIGENTE</v>
      </c>
    </row>
    <row r="561" spans="1:7" x14ac:dyDescent="0.3">
      <c r="A561" s="89" t="str">
        <v>NICKELS, BRAIAN MICHEL</v>
      </c>
      <c r="B561" s="89" t="str">
        <v>Control de Energias Peligrosas (LOTO) (Empleados Autorizados)</v>
      </c>
      <c r="C561" s="90">
        <v>46026</v>
      </c>
      <c r="D561" s="89" t="str">
        <v>Periódica</v>
      </c>
      <c r="E561" s="89">
        <v>365</v>
      </c>
      <c r="F561" s="89">
        <v>2</v>
      </c>
      <c r="G561" s="89" t="str">
        <f ca="1"/>
        <v>VIGENTE</v>
      </c>
    </row>
    <row r="562" spans="1:7" x14ac:dyDescent="0.3">
      <c r="A562" s="89" t="str">
        <v>NICKELS, BRAIAN MICHEL</v>
      </c>
      <c r="B562" s="89" t="str">
        <v>Seguridad aplicada al Pozo &amp; Yacimiento</v>
      </c>
      <c r="C562" s="90" t="str">
        <v/>
      </c>
      <c r="D562" s="89" t="str">
        <v>Periódica</v>
      </c>
      <c r="E562" s="89">
        <v>365</v>
      </c>
      <c r="F562" s="89">
        <v>1</v>
      </c>
      <c r="G562" s="89" t="str">
        <f ca="1"/>
        <v>SIN FECHA</v>
      </c>
    </row>
    <row r="563" spans="1:7" x14ac:dyDescent="0.3">
      <c r="A563" s="89" t="str">
        <v>NICKELS, BRAIAN MICHEL</v>
      </c>
      <c r="B563" s="89" t="str">
        <v>Las Reglas que Salvan Vidas</v>
      </c>
      <c r="C563" s="90" t="str">
        <v/>
      </c>
      <c r="D563" s="89" t="str">
        <v>Periódica</v>
      </c>
      <c r="E563" s="89">
        <v>365</v>
      </c>
      <c r="F563" s="89">
        <v>1</v>
      </c>
      <c r="G563" s="89" t="str">
        <f ca="1"/>
        <v>SIN FECHA</v>
      </c>
    </row>
    <row r="564" spans="1:7" x14ac:dyDescent="0.3">
      <c r="A564" s="89" t="str">
        <v>NICKELS, BRAIAN MICHEL</v>
      </c>
      <c r="B564" s="89" t="str">
        <v xml:space="preserve">Resguardo de Maquinas &amp; Equipos </v>
      </c>
      <c r="C564" s="90" t="str">
        <v/>
      </c>
      <c r="D564" s="89" t="str">
        <v>Periódica</v>
      </c>
      <c r="E564" s="89">
        <v>365</v>
      </c>
      <c r="F564" s="89">
        <v>1</v>
      </c>
      <c r="G564" s="89" t="str">
        <f ca="1"/>
        <v>SIN FECHA</v>
      </c>
    </row>
    <row r="565" spans="1:7" x14ac:dyDescent="0.3">
      <c r="A565" s="89" t="str">
        <v>NICKELS, BRAIAN MICHEL</v>
      </c>
      <c r="B565" s="89" t="str">
        <v>Conduccion y Gestion de Viajes (Todos)</v>
      </c>
      <c r="C565" s="90">
        <v>45777</v>
      </c>
      <c r="D565" s="89" t="str">
        <v>Periódica</v>
      </c>
      <c r="E565" s="89">
        <v>730</v>
      </c>
      <c r="F565" s="89">
        <v>1</v>
      </c>
      <c r="G565" s="89" t="str">
        <f ca="1"/>
        <v>VIGENTE</v>
      </c>
    </row>
    <row r="566" spans="1:7" x14ac:dyDescent="0.3">
      <c r="A566" s="89" t="str">
        <v>NICKELS, BRAIAN MICHEL</v>
      </c>
      <c r="B566" s="89" t="str">
        <v>Conduccion y Gestion de Viajes (Conductores)</v>
      </c>
      <c r="C566" s="90">
        <v>45483</v>
      </c>
      <c r="D566" s="89" t="str">
        <v>Periódica</v>
      </c>
      <c r="E566" s="89">
        <v>1095</v>
      </c>
      <c r="F566" s="89">
        <v>5</v>
      </c>
      <c r="G566" s="89" t="str">
        <f ca="1"/>
        <v>VIGENTE</v>
      </c>
    </row>
    <row r="567" spans="1:7" x14ac:dyDescent="0.3">
      <c r="A567" s="89" t="str">
        <v>NICKELS, BRAIAN MICHEL</v>
      </c>
      <c r="B567" s="89" t="str">
        <v>Patogenos Transmitidos por la Sangre</v>
      </c>
      <c r="C567" s="90" t="str">
        <v/>
      </c>
      <c r="D567" s="89" t="str">
        <v>Periódica</v>
      </c>
      <c r="E567" s="89">
        <v>365</v>
      </c>
      <c r="F567" s="89">
        <v>1</v>
      </c>
      <c r="G567" s="89" t="str">
        <f ca="1"/>
        <v>SIN FECHA</v>
      </c>
    </row>
    <row r="568" spans="1:7" x14ac:dyDescent="0.3">
      <c r="A568" s="89" t="str">
        <v>NICKELS, BRAIAN MICHEL</v>
      </c>
      <c r="B568" s="89" t="str">
        <v>Conservacion Auditiva</v>
      </c>
      <c r="C568" s="90" t="str">
        <v/>
      </c>
      <c r="D568" s="89" t="str">
        <v>Periódica</v>
      </c>
      <c r="E568" s="89">
        <v>365</v>
      </c>
      <c r="F568" s="89">
        <v>1</v>
      </c>
      <c r="G568" s="89" t="str">
        <f ca="1"/>
        <v>SIN FECHA</v>
      </c>
    </row>
    <row r="569" spans="1:7" x14ac:dyDescent="0.3">
      <c r="A569" s="89" t="str">
        <v>NICKELS, BRAIAN MICHEL</v>
      </c>
      <c r="B569" s="89" t="str">
        <v xml:space="preserve">Ergonomia //  / Levantamiento &amp; Seguridad en la Espalda </v>
      </c>
      <c r="C569" s="90">
        <v>46000</v>
      </c>
      <c r="D569" s="89" t="str">
        <v>Periódica</v>
      </c>
      <c r="E569" s="89">
        <v>365</v>
      </c>
      <c r="F569" s="89">
        <v>1</v>
      </c>
      <c r="G569" s="89" t="str">
        <f ca="1"/>
        <v>VIGENTE</v>
      </c>
    </row>
    <row r="570" spans="1:7" x14ac:dyDescent="0.3">
      <c r="A570" s="89" t="str">
        <v>NICKELS, BRAIAN MICHEL</v>
      </c>
      <c r="B570" s="89" t="str">
        <v>Superficies Elevadas (Todos)</v>
      </c>
      <c r="C570" s="90">
        <v>45838</v>
      </c>
      <c r="D570" s="89" t="str">
        <v>Periódica</v>
      </c>
      <c r="E570" s="89">
        <v>365</v>
      </c>
      <c r="F570" s="89">
        <v>1</v>
      </c>
      <c r="G570" s="89" t="str">
        <f ca="1"/>
        <v>VENCIDA</v>
      </c>
    </row>
    <row r="571" spans="1:7" x14ac:dyDescent="0.3">
      <c r="A571" s="89" t="str">
        <v>NICKELS, BRAIAN MICHEL</v>
      </c>
      <c r="B571" s="89" t="str">
        <v>Superficies Elevadas (Personal Habilitado)</v>
      </c>
      <c r="C571" s="90">
        <v>45503</v>
      </c>
      <c r="D571" s="89" t="str">
        <v>Periódica</v>
      </c>
      <c r="E571" s="89">
        <v>365</v>
      </c>
      <c r="F571" s="89">
        <v>8</v>
      </c>
      <c r="G571" s="89" t="str">
        <f ca="1"/>
        <v>VENCIDA</v>
      </c>
    </row>
    <row r="572" spans="1:7" x14ac:dyDescent="0.3">
      <c r="A572" s="89" t="str">
        <v>NICKELS, BRAIAN MICHEL</v>
      </c>
      <c r="B572" s="89" t="str">
        <v>Seguridad Quimica (Todos)</v>
      </c>
      <c r="C572" s="90">
        <v>45916</v>
      </c>
      <c r="D572" s="89" t="str">
        <v>Periódica</v>
      </c>
      <c r="E572" s="89">
        <v>730</v>
      </c>
      <c r="F572" s="89">
        <v>1</v>
      </c>
      <c r="G572" s="89" t="str">
        <f ca="1"/>
        <v>VIGENTE</v>
      </c>
    </row>
    <row r="573" spans="1:7" x14ac:dyDescent="0.3">
      <c r="A573" s="89" t="str">
        <v>NICKELS, BRAIAN MICHEL</v>
      </c>
      <c r="B573" s="89" t="str">
        <v>Seguridad Quimica (Mantenimiento)</v>
      </c>
      <c r="C573" s="90" t="str">
        <v/>
      </c>
      <c r="D573" s="89" t="str">
        <v>Periódica</v>
      </c>
      <c r="E573" s="89">
        <v>365</v>
      </c>
      <c r="F573" s="89">
        <v>1</v>
      </c>
      <c r="G573" s="89" t="str">
        <f ca="1"/>
        <v>SIN FECHA</v>
      </c>
    </row>
    <row r="574" spans="1:7" x14ac:dyDescent="0.3">
      <c r="A574" s="89" t="str">
        <v>NICKELS, BRAIAN MICHEL</v>
      </c>
      <c r="B574" s="89" t="str">
        <v>Seguridad Quimica (Contratistas)</v>
      </c>
      <c r="C574" s="90" t="str">
        <v/>
      </c>
      <c r="D574" s="89" t="str">
        <v>Periódica</v>
      </c>
      <c r="E574" s="89">
        <v>365</v>
      </c>
      <c r="F574" s="89">
        <v>1</v>
      </c>
      <c r="G574" s="89" t="str">
        <f ca="1"/>
        <v>SIN FECHA</v>
      </c>
    </row>
    <row r="575" spans="1:7" x14ac:dyDescent="0.3">
      <c r="A575" s="89" t="str">
        <v>NICKELS, BRAIAN MICHEL</v>
      </c>
      <c r="B575" s="89" t="str">
        <v>Seguridad para Trabajos en Caliente</v>
      </c>
      <c r="C575" s="90" t="str">
        <v/>
      </c>
      <c r="D575" s="89" t="str">
        <v>Periódica</v>
      </c>
      <c r="E575" s="89">
        <v>365</v>
      </c>
      <c r="F575" s="89">
        <v>1</v>
      </c>
      <c r="G575" s="89" t="str">
        <f ca="1"/>
        <v>SIN FECHA</v>
      </c>
    </row>
    <row r="576" spans="1:7" x14ac:dyDescent="0.3">
      <c r="A576" s="89" t="str">
        <v>NICKELS, BRAIAN MICHEL</v>
      </c>
      <c r="B576" s="89" t="str">
        <v>Seguridad con la Radiacion</v>
      </c>
      <c r="C576" s="90">
        <v>46026</v>
      </c>
      <c r="D576" s="89" t="str">
        <v>Periódica</v>
      </c>
      <c r="E576" s="89">
        <v>365</v>
      </c>
      <c r="F576" s="89">
        <v>2</v>
      </c>
      <c r="G576" s="89" t="str">
        <f ca="1"/>
        <v>VIGENTE</v>
      </c>
    </row>
    <row r="577" spans="1:7" x14ac:dyDescent="0.3">
      <c r="A577" s="89" t="str">
        <v>NICKELS, BRAIAN MICHEL</v>
      </c>
      <c r="B577" s="89" t="str">
        <v>Equipo de Proteccion Personal (PPE)</v>
      </c>
      <c r="C577" s="90">
        <v>45897</v>
      </c>
      <c r="D577" s="89" t="str">
        <v>Periódica</v>
      </c>
      <c r="E577" s="89">
        <v>365</v>
      </c>
      <c r="F577" s="89">
        <v>1</v>
      </c>
      <c r="G577" s="89" t="str">
        <f ca="1"/>
        <v>POR VENCER</v>
      </c>
    </row>
    <row r="578" spans="1:7" x14ac:dyDescent="0.3">
      <c r="A578" s="89" t="str">
        <v>NICKELS, BRAIAN MICHEL</v>
      </c>
      <c r="B578" s="89" t="str">
        <v>Proteccion Respiratoria</v>
      </c>
      <c r="C578" s="90" t="str">
        <v/>
      </c>
      <c r="D578" s="89" t="str">
        <v>Periódica</v>
      </c>
      <c r="E578" s="89">
        <v>365</v>
      </c>
      <c r="F578" s="89">
        <v>1</v>
      </c>
      <c r="G578" s="89" t="str">
        <f ca="1"/>
        <v>SIN FECHA</v>
      </c>
    </row>
    <row r="579" spans="1:7" x14ac:dyDescent="0.3">
      <c r="A579" s="89" t="str">
        <v>NICKELS, BRAIAN MICHEL</v>
      </c>
      <c r="B579" s="89" t="str">
        <v xml:space="preserve">Seguridad con Escaleras </v>
      </c>
      <c r="C579" s="90">
        <v>45838</v>
      </c>
      <c r="D579" s="89" t="str">
        <v>Periódica</v>
      </c>
      <c r="E579" s="89">
        <v>365</v>
      </c>
      <c r="F579" s="89">
        <v>1</v>
      </c>
      <c r="G579" s="89" t="str">
        <f ca="1"/>
        <v>VENCIDA</v>
      </c>
    </row>
    <row r="580" spans="1:7" x14ac:dyDescent="0.3">
      <c r="A580" s="89" t="str">
        <v>NICKELS, BRAIAN MICHEL</v>
      </c>
      <c r="B580" s="89" t="str">
        <v>Seguridad con Escaleras // Estantes de Almacenamiento</v>
      </c>
      <c r="C580" s="90" t="str">
        <v/>
      </c>
      <c r="D580" s="89" t="str">
        <v>Periódica</v>
      </c>
      <c r="E580" s="89">
        <v>365</v>
      </c>
      <c r="F580" s="89">
        <v>1</v>
      </c>
      <c r="G580" s="89" t="str">
        <f ca="1"/>
        <v>SIN FECHA</v>
      </c>
    </row>
    <row r="581" spans="1:7" x14ac:dyDescent="0.3">
      <c r="A581" s="89" t="str">
        <v>NICKELS, BRAIAN MICHEL</v>
      </c>
      <c r="B581" s="89" t="str">
        <v>Responsabilidades del Supervisor</v>
      </c>
      <c r="C581" s="90" t="str">
        <v/>
      </c>
      <c r="D581" s="89" t="str">
        <v>Periódica</v>
      </c>
      <c r="E581" s="89">
        <v>365</v>
      </c>
      <c r="F581" s="89">
        <v>1</v>
      </c>
      <c r="G581" s="89" t="str">
        <f ca="1"/>
        <v>SIN FECHA</v>
      </c>
    </row>
    <row r="582" spans="1:7" x14ac:dyDescent="0.3">
      <c r="A582" s="89" t="str">
        <v>NICKELS, BRAIAN MICHEL</v>
      </c>
      <c r="B582" s="89" t="str">
        <v>Espacios Confinados (Todos)</v>
      </c>
      <c r="C582" s="90" t="str">
        <v/>
      </c>
      <c r="D582" s="89" t="str">
        <v>Periódica</v>
      </c>
      <c r="E582" s="89">
        <v>365</v>
      </c>
      <c r="F582" s="89">
        <v>1</v>
      </c>
      <c r="G582" s="89" t="str">
        <f ca="1"/>
        <v>SIN FECHA</v>
      </c>
    </row>
    <row r="583" spans="1:7" x14ac:dyDescent="0.3">
      <c r="A583" s="89" t="str">
        <v>NICKELS, BRAIAN MICHEL</v>
      </c>
      <c r="B583" s="89" t="str">
        <v>HSMS.017 / Espacios Confinados (Entrantes)</v>
      </c>
      <c r="C583" s="90" t="str">
        <v/>
      </c>
      <c r="D583" s="89" t="str">
        <v>Evento</v>
      </c>
      <c r="E583" s="89">
        <v>0</v>
      </c>
      <c r="F583" s="89">
        <v>8</v>
      </c>
      <c r="G583" s="89" t="str">
        <f ca="1"/>
        <v>SIN FECHA</v>
      </c>
    </row>
    <row r="584" spans="1:7" x14ac:dyDescent="0.3">
      <c r="A584" s="89" t="str">
        <v>NICKELS, BRAIAN MICHEL</v>
      </c>
      <c r="B584" s="89" t="str">
        <v>Programa de Agua (Todos)</v>
      </c>
      <c r="C584" s="90">
        <v>46163</v>
      </c>
      <c r="D584" s="89" t="str">
        <v>Evento</v>
      </c>
      <c r="E584" s="89">
        <v>0</v>
      </c>
      <c r="F584" s="89">
        <v>1</v>
      </c>
      <c r="G584" s="89" t="str">
        <f ca="1"/>
        <v>VIGENTE</v>
      </c>
    </row>
    <row r="585" spans="1:7" x14ac:dyDescent="0.3">
      <c r="A585" s="89" t="str">
        <v>NICKELS, BRAIAN MICHEL</v>
      </c>
      <c r="B585" s="89" t="str">
        <v>Programa de Agua (HSE)</v>
      </c>
      <c r="C585" s="90" t="str">
        <v/>
      </c>
      <c r="D585" s="89" t="str">
        <v>Evento</v>
      </c>
      <c r="E585" s="89">
        <v>0</v>
      </c>
      <c r="F585" s="89">
        <v>1</v>
      </c>
      <c r="G585" s="89" t="str">
        <f ca="1"/>
        <v>SIN FECHA</v>
      </c>
    </row>
    <row r="586" spans="1:7" x14ac:dyDescent="0.3">
      <c r="A586" s="89" t="str">
        <v>NICKELS, BRAIAN MICHEL</v>
      </c>
      <c r="B586" s="89" t="str">
        <v>HIV/SIDA y otras enfermedades de transmisión sexual (ETS)</v>
      </c>
      <c r="C586" s="90" t="str">
        <v/>
      </c>
      <c r="D586" s="89" t="str">
        <v>Periódica</v>
      </c>
      <c r="E586" s="89">
        <v>365</v>
      </c>
      <c r="F586" s="89">
        <v>1</v>
      </c>
      <c r="G586" s="89" t="str">
        <f ca="1"/>
        <v>SIN FECHA</v>
      </c>
    </row>
    <row r="587" spans="1:7" x14ac:dyDescent="0.3">
      <c r="A587" s="89" t="str">
        <v>NICKELS, BRAIAN MICHEL</v>
      </c>
      <c r="B587" s="89" t="str">
        <v>Drogas de abuso (concientización y prevención)</v>
      </c>
      <c r="C587" s="90" t="str">
        <v/>
      </c>
      <c r="D587" s="89" t="str">
        <v>Periódica</v>
      </c>
      <c r="E587" s="89">
        <v>365</v>
      </c>
      <c r="F587" s="89">
        <v>1</v>
      </c>
      <c r="G587" s="89" t="str">
        <f ca="1"/>
        <v>SIN FECHA</v>
      </c>
    </row>
    <row r="588" spans="1:7" x14ac:dyDescent="0.3">
      <c r="A588" s="89" t="str">
        <v>NICKELS, BRAIAN MICHEL</v>
      </c>
      <c r="B588" s="89" t="str">
        <v>Vida saludable (hábitos, autocuidado y bienestar)</v>
      </c>
      <c r="C588" s="90" t="str">
        <v/>
      </c>
      <c r="D588" s="89" t="str">
        <v>Periódica</v>
      </c>
      <c r="E588" s="89">
        <v>365</v>
      </c>
      <c r="F588" s="89">
        <v>1</v>
      </c>
      <c r="G588" s="89" t="str">
        <f ca="1"/>
        <v>SIN FECHA</v>
      </c>
    </row>
    <row r="589" spans="1:7" x14ac:dyDescent="0.3">
      <c r="A589" s="89" t="str">
        <v>NICKELS, BRAIAN MICHEL</v>
      </c>
      <c r="B589" s="89" t="str">
        <v>Primeros auxilios y Reanimación Cardio Pulmonar (RCP)</v>
      </c>
      <c r="C589" s="90" t="str">
        <v/>
      </c>
      <c r="D589" s="89" t="str">
        <v>Periódica</v>
      </c>
      <c r="E589" s="89">
        <v>365</v>
      </c>
      <c r="F589" s="89">
        <v>4</v>
      </c>
      <c r="G589" s="89" t="str">
        <f ca="1"/>
        <v>SIN FECHA</v>
      </c>
    </row>
    <row r="590" spans="1:7" x14ac:dyDescent="0.3">
      <c r="A590" s="89" t="str">
        <v>NICKELS, BRAIAN MICHEL</v>
      </c>
      <c r="B590" s="89" t="str">
        <v>Prevención cardiovascular (factores de riesgo y señales de alarma)</v>
      </c>
      <c r="C590" s="90" t="str">
        <v/>
      </c>
      <c r="D590" s="89" t="str">
        <v>Periódica</v>
      </c>
      <c r="E590" s="89">
        <v>365</v>
      </c>
      <c r="F590" s="89">
        <v>1</v>
      </c>
      <c r="G590" s="89" t="str">
        <f ca="1"/>
        <v>SIN FECHA</v>
      </c>
    </row>
    <row r="591" spans="1:7" x14ac:dyDescent="0.3">
      <c r="A591" s="89" t="str">
        <v>NICKELS, BRAIAN MICHEL</v>
      </c>
      <c r="B591" s="89" t="str">
        <v>Efectos del tabaco sobre la salud</v>
      </c>
      <c r="C591" s="90" t="str">
        <v/>
      </c>
      <c r="D591" s="89" t="str">
        <v>Periódica</v>
      </c>
      <c r="E591" s="89">
        <v>365</v>
      </c>
      <c r="F591" s="89">
        <v>1</v>
      </c>
      <c r="G591" s="89" t="str">
        <f ca="1"/>
        <v>SIN FECHA</v>
      </c>
    </row>
    <row r="592" spans="1:7" x14ac:dyDescent="0.3">
      <c r="A592" s="89" t="str">
        <v>NICKELS, BRAIAN MICHEL</v>
      </c>
      <c r="B592" s="89" t="str">
        <v>Cargadora (Op. Montacargas)</v>
      </c>
      <c r="C592" s="90" t="str">
        <v/>
      </c>
      <c r="D592" s="89" t="str">
        <v>Periódica</v>
      </c>
      <c r="E592" s="89">
        <v>365</v>
      </c>
      <c r="F592" s="89">
        <v>8</v>
      </c>
      <c r="G592" s="89" t="str">
        <f ca="1"/>
        <v>SIN FECHA</v>
      </c>
    </row>
    <row r="593" spans="1:7" x14ac:dyDescent="0.3">
      <c r="A593" s="89" t="str">
        <v>NICKELS, BRAIAN MICHEL</v>
      </c>
      <c r="B593" s="89">
        <v>0</v>
      </c>
      <c r="C593" s="90" t="str">
        <v/>
      </c>
      <c r="D593" s="89" t="str">
        <v/>
      </c>
      <c r="E593" s="89" t="str">
        <v/>
      </c>
      <c r="F593" s="89" t="str">
        <v/>
      </c>
      <c r="G593" s="89" t="str">
        <f ca="1"/>
        <v>SIN FECHA</v>
      </c>
    </row>
    <row r="594" spans="1:7" x14ac:dyDescent="0.3">
      <c r="A594" s="89" t="str">
        <v>NICKELS, BRAIAN MICHEL</v>
      </c>
      <c r="B594" s="89">
        <v>0</v>
      </c>
      <c r="C594" s="90" t="str">
        <v/>
      </c>
      <c r="D594" s="89" t="str">
        <v/>
      </c>
      <c r="E594" s="89" t="str">
        <v/>
      </c>
      <c r="F594" s="89" t="str">
        <v/>
      </c>
      <c r="G594" s="89" t="str">
        <f ca="1"/>
        <v>SIN FECHA</v>
      </c>
    </row>
    <row r="595" spans="1:7" x14ac:dyDescent="0.3">
      <c r="A595" s="89" t="str">
        <v>NICKELS, BRAIAN MICHEL</v>
      </c>
      <c r="B595" s="89">
        <v>0</v>
      </c>
      <c r="C595" s="90" t="str">
        <v/>
      </c>
      <c r="D595" s="89" t="str">
        <v/>
      </c>
      <c r="E595" s="89" t="str">
        <v/>
      </c>
      <c r="F595" s="89" t="str">
        <v/>
      </c>
      <c r="G595" s="89" t="str">
        <f ca="1"/>
        <v>SIN FECHA</v>
      </c>
    </row>
    <row r="596" spans="1:7" x14ac:dyDescent="0.3">
      <c r="A596" s="89" t="str">
        <v>NICKELS, BRAIAN MICHEL</v>
      </c>
      <c r="B596" s="89">
        <v>0</v>
      </c>
      <c r="C596" s="90" t="str">
        <v/>
      </c>
      <c r="D596" s="89" t="str">
        <v/>
      </c>
      <c r="E596" s="89" t="str">
        <v/>
      </c>
      <c r="F596" s="89" t="str">
        <v/>
      </c>
      <c r="G596" s="89" t="str">
        <f ca="1"/>
        <v>SIN FECHA</v>
      </c>
    </row>
    <row r="597" spans="1:7" x14ac:dyDescent="0.3">
      <c r="A597" s="89" t="str">
        <v>NICKELS, BRAIAN MICHEL</v>
      </c>
      <c r="B597" s="89">
        <v>0</v>
      </c>
      <c r="C597" s="90" t="str">
        <v/>
      </c>
      <c r="D597" s="89" t="str">
        <v/>
      </c>
      <c r="E597" s="89" t="str">
        <v/>
      </c>
      <c r="F597" s="89" t="str">
        <v/>
      </c>
      <c r="G597" s="89" t="str">
        <f ca="1"/>
        <v>SIN FECHA</v>
      </c>
    </row>
    <row r="598" spans="1:7" x14ac:dyDescent="0.3">
      <c r="A598" s="89" t="str">
        <v>NICKELS, BRAIAN MICHEL</v>
      </c>
      <c r="B598" s="89">
        <v>0</v>
      </c>
      <c r="C598" s="90" t="str">
        <v/>
      </c>
      <c r="D598" s="89" t="str">
        <v/>
      </c>
      <c r="E598" s="89" t="str">
        <v/>
      </c>
      <c r="F598" s="89" t="str">
        <v/>
      </c>
      <c r="G598" s="89" t="str">
        <f ca="1"/>
        <v>SIN FECHA</v>
      </c>
    </row>
    <row r="599" spans="1:7" x14ac:dyDescent="0.3">
      <c r="A599" s="89" t="str">
        <v>NICKELS, BRAIAN MICHEL</v>
      </c>
      <c r="B599" s="89">
        <v>0</v>
      </c>
      <c r="C599" s="90" t="str">
        <v/>
      </c>
      <c r="D599" s="89" t="str">
        <v/>
      </c>
      <c r="E599" s="89" t="str">
        <v/>
      </c>
      <c r="F599" s="89" t="str">
        <v/>
      </c>
      <c r="G599" s="89" t="str">
        <f ca="1"/>
        <v>SIN FECHA</v>
      </c>
    </row>
    <row r="600" spans="1:7" x14ac:dyDescent="0.3">
      <c r="A600" s="89" t="str">
        <v>NICKELS, BRAIAN MICHEL</v>
      </c>
      <c r="B600" s="89">
        <v>0</v>
      </c>
      <c r="C600" s="90" t="str">
        <v/>
      </c>
      <c r="D600" s="89" t="str">
        <v/>
      </c>
      <c r="E600" s="89" t="str">
        <v/>
      </c>
      <c r="F600" s="89" t="str">
        <v/>
      </c>
      <c r="G600" s="89" t="str">
        <f ca="1"/>
        <v>SIN FECHA</v>
      </c>
    </row>
    <row r="601" spans="1:7" x14ac:dyDescent="0.3">
      <c r="A601" s="89" t="str">
        <v>NICKELS, BRAIAN MICHEL</v>
      </c>
      <c r="B601" s="89">
        <v>0</v>
      </c>
      <c r="C601" s="90" t="str">
        <v/>
      </c>
      <c r="D601" s="89" t="str">
        <v/>
      </c>
      <c r="E601" s="89" t="str">
        <v/>
      </c>
      <c r="F601" s="89" t="str">
        <v/>
      </c>
      <c r="G601" s="89" t="str">
        <f ca="1"/>
        <v>SIN FECHA</v>
      </c>
    </row>
    <row r="602" spans="1:7" x14ac:dyDescent="0.3">
      <c r="A602" s="89" t="str">
        <v>SANDOVAL, MATIAS</v>
      </c>
      <c r="B602" s="89" t="str">
        <v>Programa de Aire</v>
      </c>
      <c r="C602" s="90" t="str">
        <v/>
      </c>
      <c r="D602" s="89" t="str">
        <v>Evento</v>
      </c>
      <c r="E602" s="89">
        <v>0</v>
      </c>
      <c r="F602" s="89">
        <v>1</v>
      </c>
      <c r="G602" s="89" t="str">
        <f ca="1"/>
        <v>SIN FECHA</v>
      </c>
    </row>
    <row r="603" spans="1:7" x14ac:dyDescent="0.3">
      <c r="A603" s="89" t="str">
        <v>SANDOVAL, MATIAS</v>
      </c>
      <c r="B603" s="89" t="str">
        <v>Conciencia Ambiental</v>
      </c>
      <c r="C603" s="90" t="str">
        <v/>
      </c>
      <c r="D603" s="89" t="str">
        <v>Periódica</v>
      </c>
      <c r="E603" s="89">
        <v>365</v>
      </c>
      <c r="F603" s="89">
        <v>1</v>
      </c>
      <c r="G603" s="89" t="str">
        <f ca="1"/>
        <v>SIN FECHA</v>
      </c>
    </row>
    <row r="604" spans="1:7" x14ac:dyDescent="0.3">
      <c r="A604" s="89" t="str">
        <v>SANDOVAL, MATIAS</v>
      </c>
      <c r="B604" s="89" t="str">
        <v xml:space="preserve">Control de Documentos e Informacion de HSE </v>
      </c>
      <c r="C604" s="90" t="str">
        <v/>
      </c>
      <c r="D604" s="89" t="str">
        <v>Evento</v>
      </c>
      <c r="E604" s="89">
        <v>0</v>
      </c>
      <c r="F604" s="89">
        <v>1</v>
      </c>
      <c r="G604" s="89" t="str">
        <f ca="1"/>
        <v>SIN FECHA</v>
      </c>
    </row>
    <row r="605" spans="1:7" x14ac:dyDescent="0.3">
      <c r="A605" s="89" t="str">
        <v>SANDOVAL, MATIAS</v>
      </c>
      <c r="B605" s="89" t="str">
        <v xml:space="preserve"> Acciones Correctivas y Preventivas (CAPA)</v>
      </c>
      <c r="C605" s="90" t="str">
        <v/>
      </c>
      <c r="D605" s="89" t="str">
        <v>Evento</v>
      </c>
      <c r="E605" s="89">
        <v>0</v>
      </c>
      <c r="F605" s="89">
        <v>1</v>
      </c>
      <c r="G605" s="89" t="str">
        <f ca="1"/>
        <v>SIN FECHA</v>
      </c>
    </row>
    <row r="606" spans="1:7" x14ac:dyDescent="0.3">
      <c r="A606" s="89" t="str">
        <v>SANDOVAL, MATIAS</v>
      </c>
      <c r="B606" s="89" t="str">
        <v>Seguridad Basada en el Comportamiento (Observation Program) // HSMS.043 / Autoridad de Detener el Trabajo</v>
      </c>
      <c r="C606" s="90">
        <v>45827</v>
      </c>
      <c r="D606" s="89" t="str">
        <v>Periódica</v>
      </c>
      <c r="E606" s="89">
        <v>365</v>
      </c>
      <c r="F606" s="89">
        <v>1</v>
      </c>
      <c r="G606" s="89" t="str">
        <f ca="1"/>
        <v>VENCIDA</v>
      </c>
    </row>
    <row r="607" spans="1:7" x14ac:dyDescent="0.3">
      <c r="A607" s="89" t="str">
        <v>SANDOVAL, MATIAS</v>
      </c>
      <c r="B607" s="89" t="str">
        <v>Identificacion de Peligros y Evaluacion de Riesgos</v>
      </c>
      <c r="C607" s="90" t="str">
        <v/>
      </c>
      <c r="D607" s="89" t="str">
        <v>Evento</v>
      </c>
      <c r="E607" s="89">
        <v>0</v>
      </c>
      <c r="F607" s="89">
        <v>1</v>
      </c>
      <c r="G607" s="89" t="str">
        <f ca="1"/>
        <v>SIN FECHA</v>
      </c>
    </row>
    <row r="608" spans="1:7" x14ac:dyDescent="0.3">
      <c r="A608" s="89" t="str">
        <v>SANDOVAL, MATIAS</v>
      </c>
      <c r="B608" s="89" t="str">
        <v xml:space="preserve"> Plan de Respuesta ante Eemergencias / HSMS.010 /Primeros Axulios &amp; RCP/DEA / HSMSWT-002 / Patogenos Trasnmitidos por la Sangre</v>
      </c>
      <c r="C608" s="90" t="str">
        <v/>
      </c>
      <c r="D608" s="89" t="str">
        <v>Periódica</v>
      </c>
      <c r="E608" s="89">
        <v>365</v>
      </c>
      <c r="F608" s="89">
        <v>1</v>
      </c>
      <c r="G608" s="89" t="str">
        <f ca="1"/>
        <v>SIN FECHA</v>
      </c>
    </row>
    <row r="609" spans="1:7" x14ac:dyDescent="0.3">
      <c r="A609" s="89" t="str">
        <v>SANDOVAL, MATIAS</v>
      </c>
      <c r="B609" s="89" t="str">
        <v>Reporte y Gestion de Incidentes HSE (Todos)</v>
      </c>
      <c r="C609" s="90" t="str">
        <v/>
      </c>
      <c r="D609" s="89" t="str">
        <v>Periódica</v>
      </c>
      <c r="E609" s="89">
        <v>365</v>
      </c>
      <c r="F609" s="89">
        <v>1</v>
      </c>
      <c r="G609" s="89" t="str">
        <f ca="1"/>
        <v>SIN FECHA</v>
      </c>
    </row>
    <row r="610" spans="1:7" x14ac:dyDescent="0.3">
      <c r="A610" s="89" t="str">
        <v>SANDOVAL, MATIAS</v>
      </c>
      <c r="B610" s="89" t="str">
        <v>Reporte, Gestion e Investigacion de Incidentes HSE (supervisores / investigadores (rol))</v>
      </c>
      <c r="C610" s="90" t="str">
        <v/>
      </c>
      <c r="D610" s="89" t="str">
        <v>Periódica</v>
      </c>
      <c r="E610" s="89">
        <v>1095</v>
      </c>
      <c r="F610" s="89">
        <v>2</v>
      </c>
      <c r="G610" s="89" t="str">
        <f ca="1"/>
        <v>SIN FECHA</v>
      </c>
    </row>
    <row r="611" spans="1:7" x14ac:dyDescent="0.3">
      <c r="A611" s="89" t="str">
        <v>SANDOVAL, MATIAS</v>
      </c>
      <c r="B611" s="89" t="str">
        <v>Gruas y Equipos de Izaje (Todos)</v>
      </c>
      <c r="C611" s="90" t="str">
        <v/>
      </c>
      <c r="D611" s="89" t="str">
        <v>Periódica</v>
      </c>
      <c r="E611" s="89">
        <v>365</v>
      </c>
      <c r="F611" s="89">
        <v>2</v>
      </c>
      <c r="G611" s="89" t="str">
        <f ca="1"/>
        <v>SIN FECHA</v>
      </c>
    </row>
    <row r="612" spans="1:7" x14ac:dyDescent="0.3">
      <c r="A612" s="89" t="str">
        <v>SANDOVAL, MATIAS</v>
      </c>
      <c r="B612" s="89" t="str">
        <v>HSMS.007 / Gruas y Equipos de Izaje (Operadores)</v>
      </c>
      <c r="C612" s="90">
        <v>46141</v>
      </c>
      <c r="D612" s="89" t="str">
        <v>Periódica</v>
      </c>
      <c r="E612" s="89">
        <v>365</v>
      </c>
      <c r="F612" s="89">
        <v>8</v>
      </c>
      <c r="G612" s="89" t="str">
        <f ca="1"/>
        <v>VIGENTE</v>
      </c>
    </row>
    <row r="613" spans="1:7" x14ac:dyDescent="0.3">
      <c r="A613" s="89" t="str">
        <v>SANDOVAL, MATIAS</v>
      </c>
      <c r="B613" s="89" t="str">
        <v>Proteccion Contra Incendios (Todos)</v>
      </c>
      <c r="C613" s="90">
        <v>45835</v>
      </c>
      <c r="D613" s="89" t="str">
        <v>Periódica</v>
      </c>
      <c r="E613" s="89">
        <v>365</v>
      </c>
      <c r="F613" s="89">
        <v>1</v>
      </c>
      <c r="G613" s="89" t="str">
        <f ca="1"/>
        <v>VENCIDA</v>
      </c>
    </row>
    <row r="614" spans="1:7" x14ac:dyDescent="0.3">
      <c r="A614" s="89" t="str">
        <v>SANDOVAL, MATIAS</v>
      </c>
      <c r="B614" s="89" t="str">
        <v>Proteccion Contra Incendios (Brigadistas)</v>
      </c>
      <c r="C614" s="90" t="str">
        <v/>
      </c>
      <c r="D614" s="89" t="str">
        <v>Periódica</v>
      </c>
      <c r="E614" s="89">
        <v>365</v>
      </c>
      <c r="F614" s="89">
        <v>2</v>
      </c>
      <c r="G614" s="89" t="str">
        <f ca="1"/>
        <v>SIN FECHA</v>
      </c>
    </row>
    <row r="615" spans="1:7" x14ac:dyDescent="0.3">
      <c r="A615" s="89" t="str">
        <v>SANDOVAL, MATIAS</v>
      </c>
      <c r="B615" s="89" t="str">
        <v>Primeros Auxilios (Brigadistas)</v>
      </c>
      <c r="C615" s="90" t="str">
        <v/>
      </c>
      <c r="D615" s="89" t="str">
        <v>Periódica</v>
      </c>
      <c r="E615" s="89">
        <v>365</v>
      </c>
      <c r="F615" s="89">
        <v>2</v>
      </c>
      <c r="G615" s="89" t="str">
        <f ca="1"/>
        <v>SIN FECHA</v>
      </c>
    </row>
    <row r="616" spans="1:7" x14ac:dyDescent="0.3">
      <c r="A616" s="89" t="str">
        <v>SANDOVAL, MATIAS</v>
      </c>
      <c r="B616" s="89" t="str">
        <v>Seguridad Electrica (Todos)</v>
      </c>
      <c r="C616" s="90" t="str">
        <v/>
      </c>
      <c r="D616" s="89" t="str">
        <v>Periódica</v>
      </c>
      <c r="E616" s="89">
        <v>365</v>
      </c>
      <c r="F616" s="89">
        <v>1</v>
      </c>
      <c r="G616" s="89" t="str">
        <f ca="1"/>
        <v>SIN FECHA</v>
      </c>
    </row>
    <row r="617" spans="1:7" x14ac:dyDescent="0.3">
      <c r="A617" s="89" t="str">
        <v>SANDOVAL, MATIAS</v>
      </c>
      <c r="B617" s="89" t="str">
        <v>Seguridad Electrica (Personal Autorizado)</v>
      </c>
      <c r="C617" s="90" t="str">
        <v/>
      </c>
      <c r="D617" s="89" t="str">
        <v>Periódica</v>
      </c>
      <c r="E617" s="89">
        <v>1095</v>
      </c>
      <c r="F617" s="89">
        <v>4</v>
      </c>
      <c r="G617" s="89" t="str">
        <f ca="1"/>
        <v>SIN FECHA</v>
      </c>
    </row>
    <row r="618" spans="1:7" x14ac:dyDescent="0.3">
      <c r="A618" s="89" t="str">
        <v>SANDOVAL, MATIAS</v>
      </c>
      <c r="B618" s="89" t="str">
        <v>Camiones Industriales Motorizados (PIT) (Todos)</v>
      </c>
      <c r="C618" s="90" t="str">
        <v/>
      </c>
      <c r="D618" s="89" t="str">
        <v>Periódica</v>
      </c>
      <c r="E618" s="89">
        <v>365</v>
      </c>
      <c r="F618" s="89">
        <v>1</v>
      </c>
      <c r="G618" s="89" t="str">
        <f ca="1"/>
        <v>SIN FECHA</v>
      </c>
    </row>
    <row r="619" spans="1:7" x14ac:dyDescent="0.3">
      <c r="A619" s="89" t="str">
        <v>SANDOVAL, MATIAS</v>
      </c>
      <c r="B619" s="89" t="str">
        <v>Camiones Industriales Motorizados (PIT) (Op. Montacargas)</v>
      </c>
      <c r="C619" s="90" t="str">
        <v/>
      </c>
      <c r="D619" s="89" t="str">
        <v>Periódica</v>
      </c>
      <c r="E619" s="89">
        <v>365</v>
      </c>
      <c r="F619" s="89">
        <v>8</v>
      </c>
      <c r="G619" s="89" t="str">
        <f ca="1"/>
        <v>SIN FECHA</v>
      </c>
    </row>
    <row r="620" spans="1:7" x14ac:dyDescent="0.3">
      <c r="A620" s="89" t="str">
        <v>SANDOVAL, MATIAS</v>
      </c>
      <c r="B620" s="89" t="str">
        <v>Control de Energias Peligrosas (LOTO) (Todos)</v>
      </c>
      <c r="C620" s="90">
        <v>45827</v>
      </c>
      <c r="D620" s="89" t="str">
        <v>Evento</v>
      </c>
      <c r="E620" s="89">
        <v>0</v>
      </c>
      <c r="F620" s="89">
        <v>1</v>
      </c>
      <c r="G620" s="89" t="str">
        <f ca="1"/>
        <v>VIGENTE</v>
      </c>
    </row>
    <row r="621" spans="1:7" x14ac:dyDescent="0.3">
      <c r="A621" s="89" t="str">
        <v>SANDOVAL, MATIAS</v>
      </c>
      <c r="B621" s="89" t="str">
        <v>Control de Energias Peligrosas (LOTO) (Empleados Autorizados)</v>
      </c>
      <c r="C621" s="90">
        <v>46164</v>
      </c>
      <c r="D621" s="89" t="str">
        <v>Periódica</v>
      </c>
      <c r="E621" s="89">
        <v>365</v>
      </c>
      <c r="F621" s="89">
        <v>2</v>
      </c>
      <c r="G621" s="89" t="str">
        <f ca="1"/>
        <v>VIGENTE</v>
      </c>
    </row>
    <row r="622" spans="1:7" x14ac:dyDescent="0.3">
      <c r="A622" s="89" t="str">
        <v>SANDOVAL, MATIAS</v>
      </c>
      <c r="B622" s="89" t="str">
        <v>Seguridad aplicada al Pozo &amp; Yacimiento</v>
      </c>
      <c r="C622" s="90" t="str">
        <v/>
      </c>
      <c r="D622" s="89" t="str">
        <v>Periódica</v>
      </c>
      <c r="E622" s="89">
        <v>365</v>
      </c>
      <c r="F622" s="89">
        <v>1</v>
      </c>
      <c r="G622" s="89" t="str">
        <f ca="1"/>
        <v>SIN FECHA</v>
      </c>
    </row>
    <row r="623" spans="1:7" x14ac:dyDescent="0.3">
      <c r="A623" s="89" t="str">
        <v>SANDOVAL, MATIAS</v>
      </c>
      <c r="B623" s="89" t="str">
        <v>Las Reglas que Salvan Vidas</v>
      </c>
      <c r="C623" s="90" t="str">
        <v/>
      </c>
      <c r="D623" s="89" t="str">
        <v>Periódica</v>
      </c>
      <c r="E623" s="89">
        <v>365</v>
      </c>
      <c r="F623" s="89">
        <v>1</v>
      </c>
      <c r="G623" s="89" t="str">
        <f ca="1"/>
        <v>SIN FECHA</v>
      </c>
    </row>
    <row r="624" spans="1:7" x14ac:dyDescent="0.3">
      <c r="A624" s="89" t="str">
        <v>SANDOVAL, MATIAS</v>
      </c>
      <c r="B624" s="89" t="str">
        <v xml:space="preserve">Resguardo de Maquinas &amp; Equipos </v>
      </c>
      <c r="C624" s="90" t="str">
        <v/>
      </c>
      <c r="D624" s="89" t="str">
        <v>Periódica</v>
      </c>
      <c r="E624" s="89">
        <v>365</v>
      </c>
      <c r="F624" s="89">
        <v>1</v>
      </c>
      <c r="G624" s="89" t="str">
        <f ca="1"/>
        <v>SIN FECHA</v>
      </c>
    </row>
    <row r="625" spans="1:7" x14ac:dyDescent="0.3">
      <c r="A625" s="89" t="str">
        <v>SANDOVAL, MATIAS</v>
      </c>
      <c r="B625" s="89" t="str">
        <v>Conduccion y Gestion de Viajes (Todos)</v>
      </c>
      <c r="C625" s="90">
        <v>45827</v>
      </c>
      <c r="D625" s="89" t="str">
        <v>Periódica</v>
      </c>
      <c r="E625" s="89">
        <v>730</v>
      </c>
      <c r="F625" s="89">
        <v>1</v>
      </c>
      <c r="G625" s="89" t="str">
        <f ca="1"/>
        <v>VIGENTE</v>
      </c>
    </row>
    <row r="626" spans="1:7" x14ac:dyDescent="0.3">
      <c r="A626" s="89" t="str">
        <v>SANDOVAL, MATIAS</v>
      </c>
      <c r="B626" s="89" t="str">
        <v>Conduccion y Gestion de Viajes (Conductores)</v>
      </c>
      <c r="C626" s="90">
        <v>46034</v>
      </c>
      <c r="D626" s="89" t="str">
        <v>Periódica</v>
      </c>
      <c r="E626" s="89">
        <v>1095</v>
      </c>
      <c r="F626" s="89">
        <v>5</v>
      </c>
      <c r="G626" s="89" t="str">
        <f ca="1"/>
        <v>VIGENTE</v>
      </c>
    </row>
    <row r="627" spans="1:7" x14ac:dyDescent="0.3">
      <c r="A627" s="89" t="str">
        <v>SANDOVAL, MATIAS</v>
      </c>
      <c r="B627" s="89" t="str">
        <v>Patogenos Transmitidos por la Sangre</v>
      </c>
      <c r="C627" s="90" t="str">
        <v/>
      </c>
      <c r="D627" s="89" t="str">
        <v>Periódica</v>
      </c>
      <c r="E627" s="89">
        <v>365</v>
      </c>
      <c r="F627" s="89">
        <v>1</v>
      </c>
      <c r="G627" s="89" t="str">
        <f ca="1"/>
        <v>SIN FECHA</v>
      </c>
    </row>
    <row r="628" spans="1:7" x14ac:dyDescent="0.3">
      <c r="A628" s="89" t="str">
        <v>SANDOVAL, MATIAS</v>
      </c>
      <c r="B628" s="89" t="str">
        <v>Conservacion Auditiva</v>
      </c>
      <c r="C628" s="90" t="str">
        <v/>
      </c>
      <c r="D628" s="89" t="str">
        <v>Periódica</v>
      </c>
      <c r="E628" s="89">
        <v>365</v>
      </c>
      <c r="F628" s="89">
        <v>1</v>
      </c>
      <c r="G628" s="89" t="str">
        <f ca="1"/>
        <v>SIN FECHA</v>
      </c>
    </row>
    <row r="629" spans="1:7" x14ac:dyDescent="0.3">
      <c r="A629" s="89" t="str">
        <v>SANDOVAL, MATIAS</v>
      </c>
      <c r="B629" s="89" t="str">
        <v xml:space="preserve">Ergonomia //  / Levantamiento &amp; Seguridad en la Espalda </v>
      </c>
      <c r="C629" s="90" t="str">
        <v/>
      </c>
      <c r="D629" s="89" t="str">
        <v>Periódica</v>
      </c>
      <c r="E629" s="89">
        <v>365</v>
      </c>
      <c r="F629" s="89">
        <v>1</v>
      </c>
      <c r="G629" s="89" t="str">
        <f ca="1"/>
        <v>SIN FECHA</v>
      </c>
    </row>
    <row r="630" spans="1:7" x14ac:dyDescent="0.3">
      <c r="A630" s="89" t="str">
        <v>SANDOVAL, MATIAS</v>
      </c>
      <c r="B630" s="89" t="str">
        <v>Superficies Elevadas (Todos)</v>
      </c>
      <c r="C630" s="90" t="str">
        <v/>
      </c>
      <c r="D630" s="89" t="str">
        <v>Periódica</v>
      </c>
      <c r="E630" s="89">
        <v>365</v>
      </c>
      <c r="F630" s="89">
        <v>1</v>
      </c>
      <c r="G630" s="89" t="str">
        <f ca="1"/>
        <v>SIN FECHA</v>
      </c>
    </row>
    <row r="631" spans="1:7" x14ac:dyDescent="0.3">
      <c r="A631" s="89" t="str">
        <v>SANDOVAL, MATIAS</v>
      </c>
      <c r="B631" s="89" t="str">
        <v>Superficies Elevadas (Personal Habilitado)</v>
      </c>
      <c r="C631" s="90" t="str">
        <v/>
      </c>
      <c r="D631" s="89" t="str">
        <v>Periódica</v>
      </c>
      <c r="E631" s="89">
        <v>365</v>
      </c>
      <c r="F631" s="89">
        <v>8</v>
      </c>
      <c r="G631" s="89" t="str">
        <f ca="1"/>
        <v>SIN FECHA</v>
      </c>
    </row>
    <row r="632" spans="1:7" x14ac:dyDescent="0.3">
      <c r="A632" s="89" t="str">
        <v>SANDOVAL, MATIAS</v>
      </c>
      <c r="B632" s="89" t="str">
        <v>Seguridad Quimica (Todos)</v>
      </c>
      <c r="C632" s="90" t="str">
        <v/>
      </c>
      <c r="D632" s="89" t="str">
        <v>Periódica</v>
      </c>
      <c r="E632" s="89">
        <v>730</v>
      </c>
      <c r="F632" s="89">
        <v>1</v>
      </c>
      <c r="G632" s="89" t="str">
        <f ca="1"/>
        <v>SIN FECHA</v>
      </c>
    </row>
    <row r="633" spans="1:7" x14ac:dyDescent="0.3">
      <c r="A633" s="89" t="str">
        <v>SANDOVAL, MATIAS</v>
      </c>
      <c r="B633" s="89" t="str">
        <v>Seguridad Quimica (Mantenimiento)</v>
      </c>
      <c r="C633" s="90" t="str">
        <v/>
      </c>
      <c r="D633" s="89" t="str">
        <v>Periódica</v>
      </c>
      <c r="E633" s="89">
        <v>365</v>
      </c>
      <c r="F633" s="89">
        <v>1</v>
      </c>
      <c r="G633" s="89" t="str">
        <f ca="1"/>
        <v>SIN FECHA</v>
      </c>
    </row>
    <row r="634" spans="1:7" x14ac:dyDescent="0.3">
      <c r="A634" s="89" t="str">
        <v>SANDOVAL, MATIAS</v>
      </c>
      <c r="B634" s="89" t="str">
        <v>Seguridad Quimica (Contratistas)</v>
      </c>
      <c r="C634" s="90" t="str">
        <v/>
      </c>
      <c r="D634" s="89" t="str">
        <v>Periódica</v>
      </c>
      <c r="E634" s="89">
        <v>365</v>
      </c>
      <c r="F634" s="89">
        <v>1</v>
      </c>
      <c r="G634" s="89" t="str">
        <f ca="1"/>
        <v>SIN FECHA</v>
      </c>
    </row>
    <row r="635" spans="1:7" x14ac:dyDescent="0.3">
      <c r="A635" s="89" t="str">
        <v>SANDOVAL, MATIAS</v>
      </c>
      <c r="B635" s="89" t="str">
        <v>Seguridad para Trabajos en Caliente</v>
      </c>
      <c r="C635" s="90">
        <v>45835</v>
      </c>
      <c r="D635" s="89" t="str">
        <v>Periódica</v>
      </c>
      <c r="E635" s="89">
        <v>365</v>
      </c>
      <c r="F635" s="89">
        <v>1</v>
      </c>
      <c r="G635" s="89" t="str">
        <f ca="1"/>
        <v>VENCIDA</v>
      </c>
    </row>
    <row r="636" spans="1:7" x14ac:dyDescent="0.3">
      <c r="A636" s="89" t="str">
        <v>SANDOVAL, MATIAS</v>
      </c>
      <c r="B636" s="89" t="str">
        <v>Seguridad con la Radiacion</v>
      </c>
      <c r="C636" s="90" t="str">
        <v/>
      </c>
      <c r="D636" s="89" t="str">
        <v>Periódica</v>
      </c>
      <c r="E636" s="89">
        <v>365</v>
      </c>
      <c r="F636" s="89">
        <v>2</v>
      </c>
      <c r="G636" s="89" t="str">
        <f ca="1"/>
        <v>SIN FECHA</v>
      </c>
    </row>
    <row r="637" spans="1:7" x14ac:dyDescent="0.3">
      <c r="A637" s="89" t="str">
        <v>SANDOVAL, MATIAS</v>
      </c>
      <c r="B637" s="89" t="str">
        <v>Equipo de Proteccion Personal (PPE)</v>
      </c>
      <c r="C637" s="90" t="str">
        <v/>
      </c>
      <c r="D637" s="89" t="str">
        <v>Periódica</v>
      </c>
      <c r="E637" s="89">
        <v>365</v>
      </c>
      <c r="F637" s="89">
        <v>1</v>
      </c>
      <c r="G637" s="89" t="str">
        <f ca="1"/>
        <v>SIN FECHA</v>
      </c>
    </row>
    <row r="638" spans="1:7" x14ac:dyDescent="0.3">
      <c r="A638" s="89" t="str">
        <v>SANDOVAL, MATIAS</v>
      </c>
      <c r="B638" s="89" t="str">
        <v>Proteccion Respiratoria</v>
      </c>
      <c r="C638" s="90" t="str">
        <v/>
      </c>
      <c r="D638" s="89" t="str">
        <v>Periódica</v>
      </c>
      <c r="E638" s="89">
        <v>365</v>
      </c>
      <c r="F638" s="89">
        <v>1</v>
      </c>
      <c r="G638" s="89" t="str">
        <f ca="1"/>
        <v>SIN FECHA</v>
      </c>
    </row>
    <row r="639" spans="1:7" x14ac:dyDescent="0.3">
      <c r="A639" s="89" t="str">
        <v>SANDOVAL, MATIAS</v>
      </c>
      <c r="B639" s="89" t="str">
        <v xml:space="preserve">Seguridad con Escaleras </v>
      </c>
      <c r="C639" s="90" t="str">
        <v/>
      </c>
      <c r="D639" s="89" t="str">
        <v>Periódica</v>
      </c>
      <c r="E639" s="89">
        <v>365</v>
      </c>
      <c r="F639" s="89">
        <v>1</v>
      </c>
      <c r="G639" s="89" t="str">
        <f ca="1"/>
        <v>SIN FECHA</v>
      </c>
    </row>
    <row r="640" spans="1:7" x14ac:dyDescent="0.3">
      <c r="A640" s="89" t="str">
        <v>SANDOVAL, MATIAS</v>
      </c>
      <c r="B640" s="89" t="str">
        <v>Seguridad con Escaleras // Estantes de Almacenamiento</v>
      </c>
      <c r="C640" s="90" t="str">
        <v/>
      </c>
      <c r="D640" s="89" t="str">
        <v>Periódica</v>
      </c>
      <c r="E640" s="89">
        <v>365</v>
      </c>
      <c r="F640" s="89">
        <v>1</v>
      </c>
      <c r="G640" s="89" t="str">
        <f ca="1"/>
        <v>SIN FECHA</v>
      </c>
    </row>
    <row r="641" spans="1:7" x14ac:dyDescent="0.3">
      <c r="A641" s="89" t="str">
        <v>SANDOVAL, MATIAS</v>
      </c>
      <c r="B641" s="89" t="str">
        <v>Responsabilidades del Supervisor</v>
      </c>
      <c r="C641" s="90" t="str">
        <v/>
      </c>
      <c r="D641" s="89" t="str">
        <v>Periódica</v>
      </c>
      <c r="E641" s="89">
        <v>365</v>
      </c>
      <c r="F641" s="89">
        <v>1</v>
      </c>
      <c r="G641" s="89" t="str">
        <f ca="1"/>
        <v>SIN FECHA</v>
      </c>
    </row>
    <row r="642" spans="1:7" x14ac:dyDescent="0.3">
      <c r="A642" s="89" t="str">
        <v>SANDOVAL, MATIAS</v>
      </c>
      <c r="B642" s="89" t="str">
        <v>Espacios Confinados (Todos)</v>
      </c>
      <c r="C642" s="90" t="str">
        <v/>
      </c>
      <c r="D642" s="89" t="str">
        <v>Periódica</v>
      </c>
      <c r="E642" s="89">
        <v>365</v>
      </c>
      <c r="F642" s="89">
        <v>1</v>
      </c>
      <c r="G642" s="89" t="str">
        <f ca="1"/>
        <v>SIN FECHA</v>
      </c>
    </row>
    <row r="643" spans="1:7" x14ac:dyDescent="0.3">
      <c r="A643" s="89" t="str">
        <v>SANDOVAL, MATIAS</v>
      </c>
      <c r="B643" s="89" t="str">
        <v>HSMS.017 / Espacios Confinados (Entrantes)</v>
      </c>
      <c r="C643" s="90" t="str">
        <v/>
      </c>
      <c r="D643" s="89" t="str">
        <v>Evento</v>
      </c>
      <c r="E643" s="89">
        <v>0</v>
      </c>
      <c r="F643" s="89">
        <v>8</v>
      </c>
      <c r="G643" s="89" t="str">
        <f ca="1"/>
        <v>SIN FECHA</v>
      </c>
    </row>
    <row r="644" spans="1:7" x14ac:dyDescent="0.3">
      <c r="A644" s="89" t="str">
        <v>SANDOVAL, MATIAS</v>
      </c>
      <c r="B644" s="89" t="str">
        <v>Programa de Agua (Todos)</v>
      </c>
      <c r="C644" s="90" t="str">
        <v/>
      </c>
      <c r="D644" s="89" t="str">
        <v>Evento</v>
      </c>
      <c r="E644" s="89">
        <v>0</v>
      </c>
      <c r="F644" s="89">
        <v>1</v>
      </c>
      <c r="G644" s="89" t="str">
        <f ca="1"/>
        <v>SIN FECHA</v>
      </c>
    </row>
    <row r="645" spans="1:7" x14ac:dyDescent="0.3">
      <c r="A645" s="89" t="str">
        <v>SANDOVAL, MATIAS</v>
      </c>
      <c r="B645" s="89" t="str">
        <v>Programa de Agua (HSE)</v>
      </c>
      <c r="C645" s="90" t="str">
        <v/>
      </c>
      <c r="D645" s="89" t="str">
        <v>Evento</v>
      </c>
      <c r="E645" s="89">
        <v>0</v>
      </c>
      <c r="F645" s="89">
        <v>1</v>
      </c>
      <c r="G645" s="89" t="str">
        <f ca="1"/>
        <v>SIN FECHA</v>
      </c>
    </row>
    <row r="646" spans="1:7" x14ac:dyDescent="0.3">
      <c r="A646" s="89" t="str">
        <v>SANDOVAL, MATIAS</v>
      </c>
      <c r="B646" s="89" t="str">
        <v>HIV/SIDA y otras enfermedades de transmisión sexual (ETS)</v>
      </c>
      <c r="C646" s="90" t="str">
        <v/>
      </c>
      <c r="D646" s="89" t="str">
        <v>Periódica</v>
      </c>
      <c r="E646" s="89">
        <v>365</v>
      </c>
      <c r="F646" s="89">
        <v>1</v>
      </c>
      <c r="G646" s="89" t="str">
        <f ca="1"/>
        <v>SIN FECHA</v>
      </c>
    </row>
    <row r="647" spans="1:7" x14ac:dyDescent="0.3">
      <c r="A647" s="89" t="str">
        <v>SANDOVAL, MATIAS</v>
      </c>
      <c r="B647" s="89" t="str">
        <v>Drogas de abuso (concientización y prevención)</v>
      </c>
      <c r="C647" s="90" t="str">
        <v/>
      </c>
      <c r="D647" s="89" t="str">
        <v>Periódica</v>
      </c>
      <c r="E647" s="89">
        <v>365</v>
      </c>
      <c r="F647" s="89">
        <v>1</v>
      </c>
      <c r="G647" s="89" t="str">
        <f ca="1"/>
        <v>SIN FECHA</v>
      </c>
    </row>
    <row r="648" spans="1:7" x14ac:dyDescent="0.3">
      <c r="A648" s="89" t="str">
        <v>SANDOVAL, MATIAS</v>
      </c>
      <c r="B648" s="89" t="str">
        <v>Vida saludable (hábitos, autocuidado y bienestar)</v>
      </c>
      <c r="C648" s="90" t="str">
        <v/>
      </c>
      <c r="D648" s="89" t="str">
        <v>Periódica</v>
      </c>
      <c r="E648" s="89">
        <v>365</v>
      </c>
      <c r="F648" s="89">
        <v>1</v>
      </c>
      <c r="G648" s="89" t="str">
        <f ca="1"/>
        <v>SIN FECHA</v>
      </c>
    </row>
    <row r="649" spans="1:7" x14ac:dyDescent="0.3">
      <c r="A649" s="89" t="str">
        <v>SANDOVAL, MATIAS</v>
      </c>
      <c r="B649" s="89" t="str">
        <v>Primeros auxilios y Reanimación Cardio Pulmonar (RCP)</v>
      </c>
      <c r="C649" s="90" t="str">
        <v/>
      </c>
      <c r="D649" s="89" t="str">
        <v>Periódica</v>
      </c>
      <c r="E649" s="89">
        <v>365</v>
      </c>
      <c r="F649" s="89">
        <v>4</v>
      </c>
      <c r="G649" s="89" t="str">
        <f ca="1"/>
        <v>SIN FECHA</v>
      </c>
    </row>
    <row r="650" spans="1:7" x14ac:dyDescent="0.3">
      <c r="A650" s="89" t="str">
        <v>SANDOVAL, MATIAS</v>
      </c>
      <c r="B650" s="89" t="str">
        <v>Prevención cardiovascular (factores de riesgo y señales de alarma)</v>
      </c>
      <c r="C650" s="90" t="str">
        <v/>
      </c>
      <c r="D650" s="89" t="str">
        <v>Periódica</v>
      </c>
      <c r="E650" s="89">
        <v>365</v>
      </c>
      <c r="F650" s="89">
        <v>1</v>
      </c>
      <c r="G650" s="89" t="str">
        <f ca="1"/>
        <v>SIN FECHA</v>
      </c>
    </row>
    <row r="651" spans="1:7" x14ac:dyDescent="0.3">
      <c r="A651" s="89" t="str">
        <v>SANDOVAL, MATIAS</v>
      </c>
      <c r="B651" s="89" t="str">
        <v>Efectos del tabaco sobre la salud</v>
      </c>
      <c r="C651" s="90" t="str">
        <v/>
      </c>
      <c r="D651" s="89" t="str">
        <v>Periódica</v>
      </c>
      <c r="E651" s="89">
        <v>365</v>
      </c>
      <c r="F651" s="89">
        <v>1</v>
      </c>
      <c r="G651" s="89" t="str">
        <f ca="1"/>
        <v>SIN FECHA</v>
      </c>
    </row>
    <row r="652" spans="1:7" x14ac:dyDescent="0.3">
      <c r="A652" s="89" t="str">
        <v>SANDOVAL, MATIAS</v>
      </c>
      <c r="B652" s="89" t="str">
        <v>Cargadora (Op. Montacargas)</v>
      </c>
      <c r="C652" s="90" t="str">
        <v/>
      </c>
      <c r="D652" s="89" t="str">
        <v>Periódica</v>
      </c>
      <c r="E652" s="89">
        <v>365</v>
      </c>
      <c r="F652" s="89">
        <v>8</v>
      </c>
      <c r="G652" s="89" t="str">
        <f ca="1"/>
        <v>SIN FECHA</v>
      </c>
    </row>
    <row r="653" spans="1:7" x14ac:dyDescent="0.3">
      <c r="A653" s="89" t="str">
        <v>SANDOVAL, MATIAS</v>
      </c>
      <c r="B653" s="89">
        <v>0</v>
      </c>
      <c r="C653" s="90" t="str">
        <v/>
      </c>
      <c r="D653" s="89" t="str">
        <v/>
      </c>
      <c r="E653" s="89" t="str">
        <v/>
      </c>
      <c r="F653" s="89" t="str">
        <v/>
      </c>
      <c r="G653" s="89" t="str">
        <f ca="1"/>
        <v>SIN FECHA</v>
      </c>
    </row>
    <row r="654" spans="1:7" x14ac:dyDescent="0.3">
      <c r="A654" s="89" t="str">
        <v>SANDOVAL, MATIAS</v>
      </c>
      <c r="B654" s="89">
        <v>0</v>
      </c>
      <c r="C654" s="90" t="str">
        <v/>
      </c>
      <c r="D654" s="89" t="str">
        <v/>
      </c>
      <c r="E654" s="89" t="str">
        <v/>
      </c>
      <c r="F654" s="89" t="str">
        <v/>
      </c>
      <c r="G654" s="89" t="str">
        <f ca="1"/>
        <v>SIN FECHA</v>
      </c>
    </row>
    <row r="655" spans="1:7" x14ac:dyDescent="0.3">
      <c r="A655" s="89" t="str">
        <v>SANDOVAL, MATIAS</v>
      </c>
      <c r="B655" s="89">
        <v>0</v>
      </c>
      <c r="C655" s="90" t="str">
        <v/>
      </c>
      <c r="D655" s="89" t="str">
        <v/>
      </c>
      <c r="E655" s="89" t="str">
        <v/>
      </c>
      <c r="F655" s="89" t="str">
        <v/>
      </c>
      <c r="G655" s="89" t="str">
        <f ca="1"/>
        <v>SIN FECHA</v>
      </c>
    </row>
    <row r="656" spans="1:7" x14ac:dyDescent="0.3">
      <c r="A656" s="89" t="str">
        <v>SANDOVAL, MATIAS</v>
      </c>
      <c r="B656" s="89">
        <v>0</v>
      </c>
      <c r="C656" s="90" t="str">
        <v/>
      </c>
      <c r="D656" s="89" t="str">
        <v/>
      </c>
      <c r="E656" s="89" t="str">
        <v/>
      </c>
      <c r="F656" s="89" t="str">
        <v/>
      </c>
      <c r="G656" s="89" t="str">
        <f ca="1"/>
        <v>SIN FECHA</v>
      </c>
    </row>
    <row r="657" spans="1:7" x14ac:dyDescent="0.3">
      <c r="A657" s="89" t="str">
        <v>SANDOVAL, MATIAS</v>
      </c>
      <c r="B657" s="89">
        <v>0</v>
      </c>
      <c r="C657" s="90" t="str">
        <v/>
      </c>
      <c r="D657" s="89" t="str">
        <v/>
      </c>
      <c r="E657" s="89" t="str">
        <v/>
      </c>
      <c r="F657" s="89" t="str">
        <v/>
      </c>
      <c r="G657" s="89" t="str">
        <f ca="1"/>
        <v>SIN FECHA</v>
      </c>
    </row>
    <row r="658" spans="1:7" x14ac:dyDescent="0.3">
      <c r="A658" s="89" t="str">
        <v>SANDOVAL, MATIAS</v>
      </c>
      <c r="B658" s="89">
        <v>0</v>
      </c>
      <c r="C658" s="90" t="str">
        <v/>
      </c>
      <c r="D658" s="89" t="str">
        <v/>
      </c>
      <c r="E658" s="89" t="str">
        <v/>
      </c>
      <c r="F658" s="89" t="str">
        <v/>
      </c>
      <c r="G658" s="89" t="str">
        <f ca="1"/>
        <v>SIN FECHA</v>
      </c>
    </row>
    <row r="659" spans="1:7" x14ac:dyDescent="0.3">
      <c r="A659" s="89" t="str">
        <v>SANDOVAL, MATIAS</v>
      </c>
      <c r="B659" s="89">
        <v>0</v>
      </c>
      <c r="C659" s="90" t="str">
        <v/>
      </c>
      <c r="D659" s="89" t="str">
        <v/>
      </c>
      <c r="E659" s="89" t="str">
        <v/>
      </c>
      <c r="F659" s="89" t="str">
        <v/>
      </c>
      <c r="G659" s="89" t="str">
        <f ca="1"/>
        <v>SIN FECHA</v>
      </c>
    </row>
    <row r="660" spans="1:7" x14ac:dyDescent="0.3">
      <c r="A660" s="89" t="str">
        <v>SANDOVAL, MATIAS</v>
      </c>
      <c r="B660" s="89">
        <v>0</v>
      </c>
      <c r="C660" s="90" t="str">
        <v/>
      </c>
      <c r="D660" s="89" t="str">
        <v/>
      </c>
      <c r="E660" s="89" t="str">
        <v/>
      </c>
      <c r="F660" s="89" t="str">
        <v/>
      </c>
      <c r="G660" s="89" t="str">
        <f ca="1"/>
        <v>SIN FECHA</v>
      </c>
    </row>
    <row r="661" spans="1:7" x14ac:dyDescent="0.3">
      <c r="A661" s="89" t="str">
        <v>SANDOVAL, MATIAS</v>
      </c>
      <c r="B661" s="89">
        <v>0</v>
      </c>
      <c r="C661" s="90" t="str">
        <v/>
      </c>
      <c r="D661" s="89" t="str">
        <v/>
      </c>
      <c r="E661" s="89" t="str">
        <v/>
      </c>
      <c r="F661" s="89" t="str">
        <v/>
      </c>
      <c r="G661" s="89" t="str">
        <f ca="1"/>
        <v>SIN FECHA</v>
      </c>
    </row>
    <row r="662" spans="1:7" x14ac:dyDescent="0.3">
      <c r="A662" s="89" t="str">
        <v>WOODLEY, ENRIQUE JAVIER</v>
      </c>
      <c r="B662" s="89" t="str">
        <v>Programa de Aire</v>
      </c>
      <c r="C662" s="90" t="str">
        <v/>
      </c>
      <c r="D662" s="89" t="str">
        <v>Evento</v>
      </c>
      <c r="E662" s="89">
        <v>0</v>
      </c>
      <c r="F662" s="89">
        <v>1</v>
      </c>
      <c r="G662" s="89" t="str">
        <f ca="1"/>
        <v>SIN FECHA</v>
      </c>
    </row>
    <row r="663" spans="1:7" x14ac:dyDescent="0.3">
      <c r="A663" s="89" t="str">
        <v>WOODLEY, ENRIQUE JAVIER</v>
      </c>
      <c r="B663" s="89" t="str">
        <v>Conciencia Ambiental</v>
      </c>
      <c r="C663" s="90" t="str">
        <v/>
      </c>
      <c r="D663" s="89" t="str">
        <v>Periódica</v>
      </c>
      <c r="E663" s="89">
        <v>365</v>
      </c>
      <c r="F663" s="89">
        <v>1</v>
      </c>
      <c r="G663" s="89" t="str">
        <f ca="1"/>
        <v>SIN FECHA</v>
      </c>
    </row>
    <row r="664" spans="1:7" x14ac:dyDescent="0.3">
      <c r="A664" s="89" t="str">
        <v>WOODLEY, ENRIQUE JAVIER</v>
      </c>
      <c r="B664" s="89" t="str">
        <v xml:space="preserve">Control de Documentos e Informacion de HSE </v>
      </c>
      <c r="C664" s="90" t="str">
        <v/>
      </c>
      <c r="D664" s="89" t="str">
        <v>Evento</v>
      </c>
      <c r="E664" s="89">
        <v>0</v>
      </c>
      <c r="F664" s="89">
        <v>1</v>
      </c>
      <c r="G664" s="89" t="str">
        <f ca="1"/>
        <v>SIN FECHA</v>
      </c>
    </row>
    <row r="665" spans="1:7" x14ac:dyDescent="0.3">
      <c r="A665" s="89" t="str">
        <v>WOODLEY, ENRIQUE JAVIER</v>
      </c>
      <c r="B665" s="89" t="str">
        <v xml:space="preserve"> Acciones Correctivas y Preventivas (CAPA)</v>
      </c>
      <c r="C665" s="90" t="str">
        <v/>
      </c>
      <c r="D665" s="89" t="str">
        <v>Evento</v>
      </c>
      <c r="E665" s="89">
        <v>0</v>
      </c>
      <c r="F665" s="89">
        <v>1</v>
      </c>
      <c r="G665" s="89" t="str">
        <f ca="1"/>
        <v>SIN FECHA</v>
      </c>
    </row>
    <row r="666" spans="1:7" x14ac:dyDescent="0.3">
      <c r="A666" s="89" t="str">
        <v>WOODLEY, ENRIQUE JAVIER</v>
      </c>
      <c r="B666" s="89" t="str">
        <v>Seguridad Basada en el Comportamiento (Observation Program) // HSMS.043 / Autoridad de Detener el Trabajo</v>
      </c>
      <c r="C666" s="90" t="str">
        <v/>
      </c>
      <c r="D666" s="89" t="str">
        <v>Periódica</v>
      </c>
      <c r="E666" s="89">
        <v>365</v>
      </c>
      <c r="F666" s="89">
        <v>1</v>
      </c>
      <c r="G666" s="89" t="str">
        <f ca="1"/>
        <v>SIN FECHA</v>
      </c>
    </row>
    <row r="667" spans="1:7" x14ac:dyDescent="0.3">
      <c r="A667" s="89" t="str">
        <v>WOODLEY, ENRIQUE JAVIER</v>
      </c>
      <c r="B667" s="89" t="str">
        <v>Identificacion de Peligros y Evaluacion de Riesgos</v>
      </c>
      <c r="C667" s="90">
        <v>46020</v>
      </c>
      <c r="D667" s="89" t="str">
        <v>Evento</v>
      </c>
      <c r="E667" s="89">
        <v>0</v>
      </c>
      <c r="F667" s="89">
        <v>1</v>
      </c>
      <c r="G667" s="89" t="str">
        <f ca="1"/>
        <v>VIGENTE</v>
      </c>
    </row>
    <row r="668" spans="1:7" x14ac:dyDescent="0.3">
      <c r="A668" s="89" t="str">
        <v>WOODLEY, ENRIQUE JAVIER</v>
      </c>
      <c r="B668" s="89" t="str">
        <v xml:space="preserve"> Plan de Respuesta ante Eemergencias / HSMS.010 /Primeros Axulios &amp; RCP/DEA / HSMSWT-002 / Patogenos Trasnmitidos por la Sangre</v>
      </c>
      <c r="C668" s="90" t="str">
        <v/>
      </c>
      <c r="D668" s="89" t="str">
        <v>Periódica</v>
      </c>
      <c r="E668" s="89">
        <v>365</v>
      </c>
      <c r="F668" s="89">
        <v>1</v>
      </c>
      <c r="G668" s="89" t="str">
        <f ca="1"/>
        <v>SIN FECHA</v>
      </c>
    </row>
    <row r="669" spans="1:7" x14ac:dyDescent="0.3">
      <c r="A669" s="89" t="str">
        <v>WOODLEY, ENRIQUE JAVIER</v>
      </c>
      <c r="B669" s="89" t="str">
        <v>Reporte y Gestion de Incidentes HSE (Todos)</v>
      </c>
      <c r="C669" s="90">
        <v>46013</v>
      </c>
      <c r="D669" s="89" t="str">
        <v>Periódica</v>
      </c>
      <c r="E669" s="89">
        <v>365</v>
      </c>
      <c r="F669" s="89">
        <v>1</v>
      </c>
      <c r="G669" s="89" t="str">
        <f ca="1"/>
        <v>VIGENTE</v>
      </c>
    </row>
    <row r="670" spans="1:7" x14ac:dyDescent="0.3">
      <c r="A670" s="89" t="str">
        <v>WOODLEY, ENRIQUE JAVIER</v>
      </c>
      <c r="B670" s="89" t="str">
        <v>Reporte, Gestion e Investigacion de Incidentes HSE (supervisores / investigadores (rol))</v>
      </c>
      <c r="C670" s="90" t="str">
        <v/>
      </c>
      <c r="D670" s="89" t="str">
        <v>Periódica</v>
      </c>
      <c r="E670" s="89">
        <v>1095</v>
      </c>
      <c r="F670" s="89">
        <v>2</v>
      </c>
      <c r="G670" s="89" t="str">
        <f ca="1"/>
        <v>SIN FECHA</v>
      </c>
    </row>
    <row r="671" spans="1:7" x14ac:dyDescent="0.3">
      <c r="A671" s="89" t="str">
        <v>WOODLEY, ENRIQUE JAVIER</v>
      </c>
      <c r="B671" s="89" t="str">
        <v>Gruas y Equipos de Izaje (Todos)</v>
      </c>
      <c r="C671" s="90" t="str">
        <v/>
      </c>
      <c r="D671" s="89" t="str">
        <v>Periódica</v>
      </c>
      <c r="E671" s="89">
        <v>365</v>
      </c>
      <c r="F671" s="89">
        <v>2</v>
      </c>
      <c r="G671" s="89" t="str">
        <f ca="1"/>
        <v>SIN FECHA</v>
      </c>
    </row>
    <row r="672" spans="1:7" x14ac:dyDescent="0.3">
      <c r="A672" s="89" t="str">
        <v>WOODLEY, ENRIQUE JAVIER</v>
      </c>
      <c r="B672" s="89" t="str">
        <v>HSMS.007 / Gruas y Equipos de Izaje (Operadores)</v>
      </c>
      <c r="C672" s="90">
        <v>46141</v>
      </c>
      <c r="D672" s="89" t="str">
        <v>Periódica</v>
      </c>
      <c r="E672" s="89">
        <v>365</v>
      </c>
      <c r="F672" s="89">
        <v>8</v>
      </c>
      <c r="G672" s="89" t="str">
        <f ca="1"/>
        <v>VIGENTE</v>
      </c>
    </row>
    <row r="673" spans="1:7" x14ac:dyDescent="0.3">
      <c r="A673" s="89" t="str">
        <v>WOODLEY, ENRIQUE JAVIER</v>
      </c>
      <c r="B673" s="89" t="str">
        <v>Proteccion Contra Incendios (Todos)</v>
      </c>
      <c r="C673" s="90">
        <v>46021</v>
      </c>
      <c r="D673" s="89" t="str">
        <v>Periódica</v>
      </c>
      <c r="E673" s="89">
        <v>365</v>
      </c>
      <c r="F673" s="89">
        <v>1</v>
      </c>
      <c r="G673" s="89" t="str">
        <f ca="1"/>
        <v>VIGENTE</v>
      </c>
    </row>
    <row r="674" spans="1:7" x14ac:dyDescent="0.3">
      <c r="A674" s="89" t="str">
        <v>WOODLEY, ENRIQUE JAVIER</v>
      </c>
      <c r="B674" s="89" t="str">
        <v>Proteccion Contra Incendios (Brigadistas)</v>
      </c>
      <c r="C674" s="90" t="str">
        <v/>
      </c>
      <c r="D674" s="89" t="str">
        <v>Periódica</v>
      </c>
      <c r="E674" s="89">
        <v>365</v>
      </c>
      <c r="F674" s="89">
        <v>2</v>
      </c>
      <c r="G674" s="89" t="str">
        <f ca="1"/>
        <v>SIN FECHA</v>
      </c>
    </row>
    <row r="675" spans="1:7" x14ac:dyDescent="0.3">
      <c r="A675" s="89" t="str">
        <v>WOODLEY, ENRIQUE JAVIER</v>
      </c>
      <c r="B675" s="89" t="str">
        <v>Primeros Auxilios (Brigadistas)</v>
      </c>
      <c r="C675" s="90" t="str">
        <v/>
      </c>
      <c r="D675" s="89" t="str">
        <v>Periódica</v>
      </c>
      <c r="E675" s="89">
        <v>365</v>
      </c>
      <c r="F675" s="89">
        <v>2</v>
      </c>
      <c r="G675" s="89" t="str">
        <f ca="1"/>
        <v>SIN FECHA</v>
      </c>
    </row>
    <row r="676" spans="1:7" x14ac:dyDescent="0.3">
      <c r="A676" s="89" t="str">
        <v>WOODLEY, ENRIQUE JAVIER</v>
      </c>
      <c r="B676" s="89" t="str">
        <v>Seguridad Electrica (Todos)</v>
      </c>
      <c r="C676" s="90" t="str">
        <v/>
      </c>
      <c r="D676" s="89" t="str">
        <v>Periódica</v>
      </c>
      <c r="E676" s="89">
        <v>365</v>
      </c>
      <c r="F676" s="89">
        <v>1</v>
      </c>
      <c r="G676" s="89" t="str">
        <f ca="1"/>
        <v>SIN FECHA</v>
      </c>
    </row>
    <row r="677" spans="1:7" x14ac:dyDescent="0.3">
      <c r="A677" s="89" t="str">
        <v>WOODLEY, ENRIQUE JAVIER</v>
      </c>
      <c r="B677" s="89" t="str">
        <v>Seguridad Electrica (Personal Autorizado)</v>
      </c>
      <c r="C677" s="90" t="str">
        <v/>
      </c>
      <c r="D677" s="89" t="str">
        <v>Periódica</v>
      </c>
      <c r="E677" s="89">
        <v>1095</v>
      </c>
      <c r="F677" s="89">
        <v>4</v>
      </c>
      <c r="G677" s="89" t="str">
        <f ca="1"/>
        <v>SIN FECHA</v>
      </c>
    </row>
    <row r="678" spans="1:7" x14ac:dyDescent="0.3">
      <c r="A678" s="89" t="str">
        <v>WOODLEY, ENRIQUE JAVIER</v>
      </c>
      <c r="B678" s="89" t="str">
        <v>Camiones Industriales Motorizados (PIT) (Todos)</v>
      </c>
      <c r="C678" s="90" t="str">
        <v/>
      </c>
      <c r="D678" s="89" t="str">
        <v>Periódica</v>
      </c>
      <c r="E678" s="89">
        <v>365</v>
      </c>
      <c r="F678" s="89">
        <v>1</v>
      </c>
      <c r="G678" s="89" t="str">
        <f ca="1"/>
        <v>SIN FECHA</v>
      </c>
    </row>
    <row r="679" spans="1:7" x14ac:dyDescent="0.3">
      <c r="A679" s="89" t="str">
        <v>WOODLEY, ENRIQUE JAVIER</v>
      </c>
      <c r="B679" s="89" t="str">
        <v>Camiones Industriales Motorizados (PIT) (Op. Montacargas)</v>
      </c>
      <c r="C679" s="90" t="str">
        <v/>
      </c>
      <c r="D679" s="89" t="str">
        <v>Periódica</v>
      </c>
      <c r="E679" s="89">
        <v>365</v>
      </c>
      <c r="F679" s="89">
        <v>8</v>
      </c>
      <c r="G679" s="89" t="str">
        <f ca="1"/>
        <v>SIN FECHA</v>
      </c>
    </row>
    <row r="680" spans="1:7" x14ac:dyDescent="0.3">
      <c r="A680" s="89" t="str">
        <v>WOODLEY, ENRIQUE JAVIER</v>
      </c>
      <c r="B680" s="89" t="str">
        <v>Control de Energias Peligrosas (LOTO) (Todos)</v>
      </c>
      <c r="C680" s="90" t="str">
        <v/>
      </c>
      <c r="D680" s="89" t="str">
        <v>Evento</v>
      </c>
      <c r="E680" s="89">
        <v>0</v>
      </c>
      <c r="F680" s="89">
        <v>1</v>
      </c>
      <c r="G680" s="89" t="str">
        <f ca="1"/>
        <v>SIN FECHA</v>
      </c>
    </row>
    <row r="681" spans="1:7" x14ac:dyDescent="0.3">
      <c r="A681" s="89" t="str">
        <v>WOODLEY, ENRIQUE JAVIER</v>
      </c>
      <c r="B681" s="89" t="str">
        <v>Control de Energias Peligrosas (LOTO) (Empleados Autorizados)</v>
      </c>
      <c r="C681" s="90">
        <v>46134</v>
      </c>
      <c r="D681" s="89" t="str">
        <v>Periódica</v>
      </c>
      <c r="E681" s="89">
        <v>365</v>
      </c>
      <c r="F681" s="89">
        <v>2</v>
      </c>
      <c r="G681" s="89" t="str">
        <f ca="1"/>
        <v>VIGENTE</v>
      </c>
    </row>
    <row r="682" spans="1:7" x14ac:dyDescent="0.3">
      <c r="A682" s="89" t="str">
        <v>WOODLEY, ENRIQUE JAVIER</v>
      </c>
      <c r="B682" s="89" t="str">
        <v>Seguridad aplicada al Pozo &amp; Yacimiento</v>
      </c>
      <c r="C682" s="90" t="str">
        <v/>
      </c>
      <c r="D682" s="89" t="str">
        <v>Periódica</v>
      </c>
      <c r="E682" s="89">
        <v>365</v>
      </c>
      <c r="F682" s="89">
        <v>1</v>
      </c>
      <c r="G682" s="89" t="str">
        <f ca="1"/>
        <v>SIN FECHA</v>
      </c>
    </row>
    <row r="683" spans="1:7" x14ac:dyDescent="0.3">
      <c r="A683" s="89" t="str">
        <v>WOODLEY, ENRIQUE JAVIER</v>
      </c>
      <c r="B683" s="89" t="str">
        <v>Las Reglas que Salvan Vidas</v>
      </c>
      <c r="C683" s="90" t="str">
        <v/>
      </c>
      <c r="D683" s="89" t="str">
        <v>Periódica</v>
      </c>
      <c r="E683" s="89">
        <v>365</v>
      </c>
      <c r="F683" s="89">
        <v>1</v>
      </c>
      <c r="G683" s="89" t="str">
        <f ca="1"/>
        <v>SIN FECHA</v>
      </c>
    </row>
    <row r="684" spans="1:7" x14ac:dyDescent="0.3">
      <c r="A684" s="89" t="str">
        <v>WOODLEY, ENRIQUE JAVIER</v>
      </c>
      <c r="B684" s="89" t="str">
        <v xml:space="preserve">Resguardo de Maquinas &amp; Equipos </v>
      </c>
      <c r="C684" s="90" t="str">
        <v/>
      </c>
      <c r="D684" s="89" t="str">
        <v>Periódica</v>
      </c>
      <c r="E684" s="89">
        <v>365</v>
      </c>
      <c r="F684" s="89">
        <v>1</v>
      </c>
      <c r="G684" s="89" t="str">
        <f ca="1"/>
        <v>SIN FECHA</v>
      </c>
    </row>
    <row r="685" spans="1:7" x14ac:dyDescent="0.3">
      <c r="A685" s="89" t="str">
        <v>WOODLEY, ENRIQUE JAVIER</v>
      </c>
      <c r="B685" s="89" t="str">
        <v>Conduccion y Gestion de Viajes (Todos)</v>
      </c>
      <c r="C685" s="90">
        <v>45770</v>
      </c>
      <c r="D685" s="89" t="str">
        <v>Periódica</v>
      </c>
      <c r="E685" s="89">
        <v>730</v>
      </c>
      <c r="F685" s="89">
        <v>1</v>
      </c>
      <c r="G685" s="89" t="str">
        <f ca="1"/>
        <v>VIGENTE</v>
      </c>
    </row>
    <row r="686" spans="1:7" x14ac:dyDescent="0.3">
      <c r="A686" s="89" t="str">
        <v>WOODLEY, ENRIQUE JAVIER</v>
      </c>
      <c r="B686" s="89" t="str">
        <v>Conduccion y Gestion de Viajes (Conductores)</v>
      </c>
      <c r="C686" s="90">
        <v>46993</v>
      </c>
      <c r="D686" s="89" t="str">
        <v>Periódica</v>
      </c>
      <c r="E686" s="89">
        <v>1095</v>
      </c>
      <c r="F686" s="89">
        <v>5</v>
      </c>
      <c r="G686" s="89" t="str">
        <f ca="1"/>
        <v>VIGENTE</v>
      </c>
    </row>
    <row r="687" spans="1:7" x14ac:dyDescent="0.3">
      <c r="A687" s="89" t="str">
        <v>WOODLEY, ENRIQUE JAVIER</v>
      </c>
      <c r="B687" s="89" t="str">
        <v>Patogenos Transmitidos por la Sangre</v>
      </c>
      <c r="C687" s="90" t="str">
        <v/>
      </c>
      <c r="D687" s="89" t="str">
        <v>Periódica</v>
      </c>
      <c r="E687" s="89">
        <v>365</v>
      </c>
      <c r="F687" s="89">
        <v>1</v>
      </c>
      <c r="G687" s="89" t="str">
        <f ca="1"/>
        <v>SIN FECHA</v>
      </c>
    </row>
    <row r="688" spans="1:7" x14ac:dyDescent="0.3">
      <c r="A688" s="89" t="str">
        <v>WOODLEY, ENRIQUE JAVIER</v>
      </c>
      <c r="B688" s="89" t="str">
        <v>Conservacion Auditiva</v>
      </c>
      <c r="C688" s="90" t="str">
        <v/>
      </c>
      <c r="D688" s="89" t="str">
        <v>Periódica</v>
      </c>
      <c r="E688" s="89">
        <v>365</v>
      </c>
      <c r="F688" s="89">
        <v>1</v>
      </c>
      <c r="G688" s="89" t="str">
        <f ca="1"/>
        <v>SIN FECHA</v>
      </c>
    </row>
    <row r="689" spans="1:7" x14ac:dyDescent="0.3">
      <c r="A689" s="89" t="str">
        <v>WOODLEY, ENRIQUE JAVIER</v>
      </c>
      <c r="B689" s="89" t="str">
        <v xml:space="preserve">Ergonomia //  / Levantamiento &amp; Seguridad en la Espalda </v>
      </c>
      <c r="C689" s="90">
        <v>46013</v>
      </c>
      <c r="D689" s="89" t="str">
        <v>Periódica</v>
      </c>
      <c r="E689" s="89">
        <v>365</v>
      </c>
      <c r="F689" s="89">
        <v>1</v>
      </c>
      <c r="G689" s="89" t="str">
        <f ca="1"/>
        <v>VIGENTE</v>
      </c>
    </row>
    <row r="690" spans="1:7" x14ac:dyDescent="0.3">
      <c r="A690" s="89" t="str">
        <v>WOODLEY, ENRIQUE JAVIER</v>
      </c>
      <c r="B690" s="89" t="str">
        <v>Superficies Elevadas (Todos)</v>
      </c>
      <c r="C690" s="90">
        <v>46021</v>
      </c>
      <c r="D690" s="89" t="str">
        <v>Periódica</v>
      </c>
      <c r="E690" s="89">
        <v>365</v>
      </c>
      <c r="F690" s="89">
        <v>1</v>
      </c>
      <c r="G690" s="89" t="str">
        <f ca="1"/>
        <v>VIGENTE</v>
      </c>
    </row>
    <row r="691" spans="1:7" x14ac:dyDescent="0.3">
      <c r="A691" s="89" t="str">
        <v>WOODLEY, ENRIQUE JAVIER</v>
      </c>
      <c r="B691" s="89" t="str">
        <v>Superficies Elevadas (Personal Habilitado)</v>
      </c>
      <c r="C691" s="90" t="str">
        <v/>
      </c>
      <c r="D691" s="89" t="str">
        <v>Periódica</v>
      </c>
      <c r="E691" s="89">
        <v>365</v>
      </c>
      <c r="F691" s="89">
        <v>8</v>
      </c>
      <c r="G691" s="89" t="str">
        <f ca="1"/>
        <v>SIN FECHA</v>
      </c>
    </row>
    <row r="692" spans="1:7" x14ac:dyDescent="0.3">
      <c r="A692" s="89" t="str">
        <v>WOODLEY, ENRIQUE JAVIER</v>
      </c>
      <c r="B692" s="89" t="str">
        <v>Seguridad Quimica (Todos)</v>
      </c>
      <c r="C692" s="90">
        <v>46020</v>
      </c>
      <c r="D692" s="89" t="str">
        <v>Periódica</v>
      </c>
      <c r="E692" s="89">
        <v>730</v>
      </c>
      <c r="F692" s="89">
        <v>1</v>
      </c>
      <c r="G692" s="89" t="str">
        <f ca="1"/>
        <v>VIGENTE</v>
      </c>
    </row>
    <row r="693" spans="1:7" x14ac:dyDescent="0.3">
      <c r="A693" s="89" t="str">
        <v>WOODLEY, ENRIQUE JAVIER</v>
      </c>
      <c r="B693" s="89" t="str">
        <v>Seguridad Quimica (Mantenimiento)</v>
      </c>
      <c r="C693" s="90" t="str">
        <v/>
      </c>
      <c r="D693" s="89" t="str">
        <v>Periódica</v>
      </c>
      <c r="E693" s="89">
        <v>365</v>
      </c>
      <c r="F693" s="89">
        <v>1</v>
      </c>
      <c r="G693" s="89" t="str">
        <f ca="1"/>
        <v>SIN FECHA</v>
      </c>
    </row>
    <row r="694" spans="1:7" x14ac:dyDescent="0.3">
      <c r="A694" s="89" t="str">
        <v>WOODLEY, ENRIQUE JAVIER</v>
      </c>
      <c r="B694" s="89" t="str">
        <v>Seguridad Quimica (Contratistas)</v>
      </c>
      <c r="C694" s="90" t="str">
        <v/>
      </c>
      <c r="D694" s="89" t="str">
        <v>Periódica</v>
      </c>
      <c r="E694" s="89">
        <v>365</v>
      </c>
      <c r="F694" s="89">
        <v>1</v>
      </c>
      <c r="G694" s="89" t="str">
        <f ca="1"/>
        <v>SIN FECHA</v>
      </c>
    </row>
    <row r="695" spans="1:7" x14ac:dyDescent="0.3">
      <c r="A695" s="89" t="str">
        <v>WOODLEY, ENRIQUE JAVIER</v>
      </c>
      <c r="B695" s="89" t="str">
        <v>Seguridad para Trabajos en Caliente</v>
      </c>
      <c r="C695" s="90">
        <v>46021</v>
      </c>
      <c r="D695" s="89" t="str">
        <v>Periódica</v>
      </c>
      <c r="E695" s="89">
        <v>365</v>
      </c>
      <c r="F695" s="89">
        <v>1</v>
      </c>
      <c r="G695" s="89" t="str">
        <f ca="1"/>
        <v>VIGENTE</v>
      </c>
    </row>
    <row r="696" spans="1:7" x14ac:dyDescent="0.3">
      <c r="A696" s="89" t="str">
        <v>WOODLEY, ENRIQUE JAVIER</v>
      </c>
      <c r="B696" s="89" t="str">
        <v>Seguridad con la Radiacion</v>
      </c>
      <c r="C696" s="90">
        <v>46013</v>
      </c>
      <c r="D696" s="89" t="str">
        <v>Periódica</v>
      </c>
      <c r="E696" s="89">
        <v>365</v>
      </c>
      <c r="F696" s="89">
        <v>2</v>
      </c>
      <c r="G696" s="89" t="str">
        <f ca="1"/>
        <v>VIGENTE</v>
      </c>
    </row>
    <row r="697" spans="1:7" x14ac:dyDescent="0.3">
      <c r="A697" s="89" t="str">
        <v>WOODLEY, ENRIQUE JAVIER</v>
      </c>
      <c r="B697" s="89" t="str">
        <v>Equipo de Proteccion Personal (PPE)</v>
      </c>
      <c r="C697" s="90">
        <v>46021</v>
      </c>
      <c r="D697" s="89" t="str">
        <v>Periódica</v>
      </c>
      <c r="E697" s="89">
        <v>365</v>
      </c>
      <c r="F697" s="89">
        <v>1</v>
      </c>
      <c r="G697" s="89" t="str">
        <f ca="1"/>
        <v>VIGENTE</v>
      </c>
    </row>
    <row r="698" spans="1:7" x14ac:dyDescent="0.3">
      <c r="A698" s="89" t="str">
        <v>WOODLEY, ENRIQUE JAVIER</v>
      </c>
      <c r="B698" s="89" t="str">
        <v>Proteccion Respiratoria</v>
      </c>
      <c r="C698" s="90" t="str">
        <v/>
      </c>
      <c r="D698" s="89" t="str">
        <v>Periódica</v>
      </c>
      <c r="E698" s="89">
        <v>365</v>
      </c>
      <c r="F698" s="89">
        <v>1</v>
      </c>
      <c r="G698" s="89" t="str">
        <f ca="1"/>
        <v>SIN FECHA</v>
      </c>
    </row>
    <row r="699" spans="1:7" x14ac:dyDescent="0.3">
      <c r="A699" s="89" t="str">
        <v>WOODLEY, ENRIQUE JAVIER</v>
      </c>
      <c r="B699" s="89" t="str">
        <v xml:space="preserve">Seguridad con Escaleras </v>
      </c>
      <c r="C699" s="90">
        <v>46021</v>
      </c>
      <c r="D699" s="89" t="str">
        <v>Periódica</v>
      </c>
      <c r="E699" s="89">
        <v>365</v>
      </c>
      <c r="F699" s="89">
        <v>1</v>
      </c>
      <c r="G699" s="89" t="str">
        <f ca="1"/>
        <v>VIGENTE</v>
      </c>
    </row>
    <row r="700" spans="1:7" x14ac:dyDescent="0.3">
      <c r="A700" s="89" t="str">
        <v>WOODLEY, ENRIQUE JAVIER</v>
      </c>
      <c r="B700" s="89" t="str">
        <v>Seguridad con Escaleras // Estantes de Almacenamiento</v>
      </c>
      <c r="C700" s="90" t="str">
        <v/>
      </c>
      <c r="D700" s="89" t="str">
        <v>Periódica</v>
      </c>
      <c r="E700" s="89">
        <v>365</v>
      </c>
      <c r="F700" s="89">
        <v>1</v>
      </c>
      <c r="G700" s="89" t="str">
        <f ca="1"/>
        <v>SIN FECHA</v>
      </c>
    </row>
    <row r="701" spans="1:7" x14ac:dyDescent="0.3">
      <c r="A701" s="89" t="str">
        <v>WOODLEY, ENRIQUE JAVIER</v>
      </c>
      <c r="B701" s="89" t="str">
        <v>Responsabilidades del Supervisor</v>
      </c>
      <c r="C701" s="90" t="str">
        <v/>
      </c>
      <c r="D701" s="89" t="str">
        <v>Periódica</v>
      </c>
      <c r="E701" s="89">
        <v>365</v>
      </c>
      <c r="F701" s="89">
        <v>1</v>
      </c>
      <c r="G701" s="89" t="str">
        <f ca="1"/>
        <v>SIN FECHA</v>
      </c>
    </row>
    <row r="702" spans="1:7" x14ac:dyDescent="0.3">
      <c r="A702" s="89" t="str">
        <v>WOODLEY, ENRIQUE JAVIER</v>
      </c>
      <c r="B702" s="89" t="str">
        <v>Espacios Confinados (Todos)</v>
      </c>
      <c r="C702" s="90" t="str">
        <v/>
      </c>
      <c r="D702" s="89" t="str">
        <v>Periódica</v>
      </c>
      <c r="E702" s="89">
        <v>365</v>
      </c>
      <c r="F702" s="89">
        <v>1</v>
      </c>
      <c r="G702" s="89" t="str">
        <f ca="1"/>
        <v>SIN FECHA</v>
      </c>
    </row>
    <row r="703" spans="1:7" x14ac:dyDescent="0.3">
      <c r="A703" s="89" t="str">
        <v>WOODLEY, ENRIQUE JAVIER</v>
      </c>
      <c r="B703" s="89" t="str">
        <v>HSMS.017 / Espacios Confinados (Entrantes)</v>
      </c>
      <c r="C703" s="90" t="str">
        <v/>
      </c>
      <c r="D703" s="89" t="str">
        <v>Evento</v>
      </c>
      <c r="E703" s="89">
        <v>0</v>
      </c>
      <c r="F703" s="89">
        <v>8</v>
      </c>
      <c r="G703" s="89" t="str">
        <f ca="1"/>
        <v>SIN FECHA</v>
      </c>
    </row>
    <row r="704" spans="1:7" x14ac:dyDescent="0.3">
      <c r="A704" s="89" t="str">
        <v>WOODLEY, ENRIQUE JAVIER</v>
      </c>
      <c r="B704" s="89" t="str">
        <v>Programa de Agua (Todos)</v>
      </c>
      <c r="C704" s="90" t="str">
        <v/>
      </c>
      <c r="D704" s="89" t="str">
        <v>Evento</v>
      </c>
      <c r="E704" s="89">
        <v>0</v>
      </c>
      <c r="F704" s="89">
        <v>1</v>
      </c>
      <c r="G704" s="89" t="str">
        <f ca="1"/>
        <v>SIN FECHA</v>
      </c>
    </row>
    <row r="705" spans="1:7" x14ac:dyDescent="0.3">
      <c r="A705" s="89" t="str">
        <v>WOODLEY, ENRIQUE JAVIER</v>
      </c>
      <c r="B705" s="89" t="str">
        <v>Programa de Agua (HSE)</v>
      </c>
      <c r="C705" s="90" t="str">
        <v/>
      </c>
      <c r="D705" s="89" t="str">
        <v>Evento</v>
      </c>
      <c r="E705" s="89">
        <v>0</v>
      </c>
      <c r="F705" s="89">
        <v>1</v>
      </c>
      <c r="G705" s="89" t="str">
        <f ca="1"/>
        <v>SIN FECHA</v>
      </c>
    </row>
    <row r="706" spans="1:7" x14ac:dyDescent="0.3">
      <c r="A706" s="89" t="str">
        <v>WOODLEY, ENRIQUE JAVIER</v>
      </c>
      <c r="B706" s="89" t="str">
        <v>HIV/SIDA y otras enfermedades de transmisión sexual (ETS)</v>
      </c>
      <c r="C706" s="90" t="str">
        <v/>
      </c>
      <c r="D706" s="89" t="str">
        <v>Periódica</v>
      </c>
      <c r="E706" s="89">
        <v>365</v>
      </c>
      <c r="F706" s="89">
        <v>1</v>
      </c>
      <c r="G706" s="89" t="str">
        <f ca="1"/>
        <v>SIN FECHA</v>
      </c>
    </row>
    <row r="707" spans="1:7" x14ac:dyDescent="0.3">
      <c r="A707" s="89" t="str">
        <v>WOODLEY, ENRIQUE JAVIER</v>
      </c>
      <c r="B707" s="89" t="str">
        <v>Drogas de abuso (concientización y prevención)</v>
      </c>
      <c r="C707" s="90" t="str">
        <v/>
      </c>
      <c r="D707" s="89" t="str">
        <v>Periódica</v>
      </c>
      <c r="E707" s="89">
        <v>365</v>
      </c>
      <c r="F707" s="89">
        <v>1</v>
      </c>
      <c r="G707" s="89" t="str">
        <f ca="1"/>
        <v>SIN FECHA</v>
      </c>
    </row>
    <row r="708" spans="1:7" x14ac:dyDescent="0.3">
      <c r="A708" s="89" t="str">
        <v>WOODLEY, ENRIQUE JAVIER</v>
      </c>
      <c r="B708" s="89" t="str">
        <v>Vida saludable (hábitos, autocuidado y bienestar)</v>
      </c>
      <c r="C708" s="90" t="str">
        <v/>
      </c>
      <c r="D708" s="89" t="str">
        <v>Periódica</v>
      </c>
      <c r="E708" s="89">
        <v>365</v>
      </c>
      <c r="F708" s="89">
        <v>1</v>
      </c>
      <c r="G708" s="89" t="str">
        <f ca="1"/>
        <v>SIN FECHA</v>
      </c>
    </row>
    <row r="709" spans="1:7" x14ac:dyDescent="0.3">
      <c r="A709" s="89" t="str">
        <v>WOODLEY, ENRIQUE JAVIER</v>
      </c>
      <c r="B709" s="89" t="str">
        <v>Primeros auxilios y Reanimación Cardio Pulmonar (RCP)</v>
      </c>
      <c r="C709" s="90" t="str">
        <v/>
      </c>
      <c r="D709" s="89" t="str">
        <v>Periódica</v>
      </c>
      <c r="E709" s="89">
        <v>365</v>
      </c>
      <c r="F709" s="89">
        <v>4</v>
      </c>
      <c r="G709" s="89" t="str">
        <f ca="1"/>
        <v>SIN FECHA</v>
      </c>
    </row>
    <row r="710" spans="1:7" x14ac:dyDescent="0.3">
      <c r="A710" s="89" t="str">
        <v>WOODLEY, ENRIQUE JAVIER</v>
      </c>
      <c r="B710" s="89" t="str">
        <v>Prevención cardiovascular (factores de riesgo y señales de alarma)</v>
      </c>
      <c r="C710" s="90" t="str">
        <v/>
      </c>
      <c r="D710" s="89" t="str">
        <v>Periódica</v>
      </c>
      <c r="E710" s="89">
        <v>365</v>
      </c>
      <c r="F710" s="89">
        <v>1</v>
      </c>
      <c r="G710" s="89" t="str">
        <f ca="1"/>
        <v>SIN FECHA</v>
      </c>
    </row>
    <row r="711" spans="1:7" x14ac:dyDescent="0.3">
      <c r="A711" s="89" t="str">
        <v>WOODLEY, ENRIQUE JAVIER</v>
      </c>
      <c r="B711" s="89" t="str">
        <v>Efectos del tabaco sobre la salud</v>
      </c>
      <c r="C711" s="90" t="str">
        <v/>
      </c>
      <c r="D711" s="89" t="str">
        <v>Periódica</v>
      </c>
      <c r="E711" s="89">
        <v>365</v>
      </c>
      <c r="F711" s="89">
        <v>1</v>
      </c>
      <c r="G711" s="89" t="str">
        <f ca="1"/>
        <v>SIN FECHA</v>
      </c>
    </row>
    <row r="712" spans="1:7" x14ac:dyDescent="0.3">
      <c r="A712" s="89" t="str">
        <v>WOODLEY, ENRIQUE JAVIER</v>
      </c>
      <c r="B712" s="89" t="str">
        <v>Cargadora (Op. Montacargas)</v>
      </c>
      <c r="C712" s="90" t="str">
        <v/>
      </c>
      <c r="D712" s="89" t="str">
        <v>Periódica</v>
      </c>
      <c r="E712" s="89">
        <v>365</v>
      </c>
      <c r="F712" s="89">
        <v>8</v>
      </c>
      <c r="G712" s="89" t="str">
        <f ca="1"/>
        <v>SIN FECHA</v>
      </c>
    </row>
    <row r="713" spans="1:7" x14ac:dyDescent="0.3">
      <c r="A713" s="89" t="str">
        <v>WOODLEY, ENRIQUE JAVIER</v>
      </c>
      <c r="B713" s="89">
        <v>0</v>
      </c>
      <c r="C713" s="90" t="str">
        <v/>
      </c>
      <c r="D713" s="89" t="str">
        <v/>
      </c>
      <c r="E713" s="89" t="str">
        <v/>
      </c>
      <c r="F713" s="89" t="str">
        <v/>
      </c>
      <c r="G713" s="89" t="str">
        <f ca="1"/>
        <v>SIN FECHA</v>
      </c>
    </row>
    <row r="714" spans="1:7" x14ac:dyDescent="0.3">
      <c r="A714" s="89" t="str">
        <v>WOODLEY, ENRIQUE JAVIER</v>
      </c>
      <c r="B714" s="89">
        <v>0</v>
      </c>
      <c r="C714" s="90" t="str">
        <v/>
      </c>
      <c r="D714" s="89" t="str">
        <v/>
      </c>
      <c r="E714" s="89" t="str">
        <v/>
      </c>
      <c r="F714" s="89" t="str">
        <v/>
      </c>
      <c r="G714" s="89" t="str">
        <f ca="1"/>
        <v>SIN FECHA</v>
      </c>
    </row>
    <row r="715" spans="1:7" x14ac:dyDescent="0.3">
      <c r="A715" s="89" t="str">
        <v>WOODLEY, ENRIQUE JAVIER</v>
      </c>
      <c r="B715" s="89">
        <v>0</v>
      </c>
      <c r="C715" s="90" t="str">
        <v/>
      </c>
      <c r="D715" s="89" t="str">
        <v/>
      </c>
      <c r="E715" s="89" t="str">
        <v/>
      </c>
      <c r="F715" s="89" t="str">
        <v/>
      </c>
      <c r="G715" s="89" t="str">
        <f ca="1"/>
        <v>SIN FECHA</v>
      </c>
    </row>
    <row r="716" spans="1:7" x14ac:dyDescent="0.3">
      <c r="A716" s="89" t="str">
        <v>WOODLEY, ENRIQUE JAVIER</v>
      </c>
      <c r="B716" s="89">
        <v>0</v>
      </c>
      <c r="C716" s="90" t="str">
        <v/>
      </c>
      <c r="D716" s="89" t="str">
        <v/>
      </c>
      <c r="E716" s="89" t="str">
        <v/>
      </c>
      <c r="F716" s="89" t="str">
        <v/>
      </c>
      <c r="G716" s="89" t="str">
        <f ca="1"/>
        <v>SIN FECHA</v>
      </c>
    </row>
    <row r="717" spans="1:7" x14ac:dyDescent="0.3">
      <c r="A717" s="89" t="str">
        <v>WOODLEY, ENRIQUE JAVIER</v>
      </c>
      <c r="B717" s="89">
        <v>0</v>
      </c>
      <c r="C717" s="90" t="str">
        <v/>
      </c>
      <c r="D717" s="89" t="str">
        <v/>
      </c>
      <c r="E717" s="89" t="str">
        <v/>
      </c>
      <c r="F717" s="89" t="str">
        <v/>
      </c>
      <c r="G717" s="89" t="str">
        <f ca="1"/>
        <v>SIN FECHA</v>
      </c>
    </row>
    <row r="718" spans="1:7" x14ac:dyDescent="0.3">
      <c r="A718" s="89" t="str">
        <v>WOODLEY, ENRIQUE JAVIER</v>
      </c>
      <c r="B718" s="89">
        <v>0</v>
      </c>
      <c r="C718" s="90" t="str">
        <v/>
      </c>
      <c r="D718" s="89" t="str">
        <v/>
      </c>
      <c r="E718" s="89" t="str">
        <v/>
      </c>
      <c r="F718" s="89" t="str">
        <v/>
      </c>
      <c r="G718" s="89" t="str">
        <f ca="1"/>
        <v>SIN FECHA</v>
      </c>
    </row>
    <row r="719" spans="1:7" x14ac:dyDescent="0.3">
      <c r="A719" s="89" t="str">
        <v>WOODLEY, ENRIQUE JAVIER</v>
      </c>
      <c r="B719" s="89">
        <v>0</v>
      </c>
      <c r="C719" s="90" t="str">
        <v/>
      </c>
      <c r="D719" s="89" t="str">
        <v/>
      </c>
      <c r="E719" s="89" t="str">
        <v/>
      </c>
      <c r="F719" s="89" t="str">
        <v/>
      </c>
      <c r="G719" s="89" t="str">
        <f ca="1"/>
        <v>SIN FECHA</v>
      </c>
    </row>
    <row r="720" spans="1:7" x14ac:dyDescent="0.3">
      <c r="A720" s="89" t="str">
        <v>WOODLEY, ENRIQUE JAVIER</v>
      </c>
      <c r="B720" s="89">
        <v>0</v>
      </c>
      <c r="C720" s="90" t="str">
        <v/>
      </c>
      <c r="D720" s="89" t="str">
        <v/>
      </c>
      <c r="E720" s="89" t="str">
        <v/>
      </c>
      <c r="F720" s="89" t="str">
        <v/>
      </c>
      <c r="G720" s="89" t="str">
        <f ca="1"/>
        <v>SIN FECHA</v>
      </c>
    </row>
    <row r="721" spans="1:7" x14ac:dyDescent="0.3">
      <c r="A721" s="89" t="str">
        <v>WOODLEY, ENRIQUE JAVIER</v>
      </c>
      <c r="B721" s="89">
        <v>0</v>
      </c>
      <c r="C721" s="90" t="str">
        <v/>
      </c>
      <c r="D721" s="89" t="str">
        <v/>
      </c>
      <c r="E721" s="89" t="str">
        <v/>
      </c>
      <c r="F721" s="89" t="str">
        <v/>
      </c>
      <c r="G721" s="89" t="str">
        <f ca="1"/>
        <v>SIN FECHA</v>
      </c>
    </row>
    <row r="722" spans="1:7" x14ac:dyDescent="0.3">
      <c r="A722" s="89" t="str">
        <v/>
      </c>
      <c r="B722" s="89" t="str">
        <v>Programa de Aire</v>
      </c>
      <c r="C722" s="90" t="str">
        <v/>
      </c>
      <c r="D722" s="89" t="str">
        <v>Evento</v>
      </c>
      <c r="E722" s="89">
        <v>0</v>
      </c>
      <c r="F722" s="89" t="str">
        <v/>
      </c>
      <c r="G722" s="89" t="str">
        <f ca="1"/>
        <v/>
      </c>
    </row>
    <row r="723" spans="1:7" x14ac:dyDescent="0.3">
      <c r="A723" s="89" t="str">
        <v/>
      </c>
      <c r="B723" s="89" t="str">
        <v>Conciencia Ambiental</v>
      </c>
      <c r="C723" s="90" t="str">
        <v/>
      </c>
      <c r="D723" s="89" t="str">
        <v>Periódica</v>
      </c>
      <c r="E723" s="89">
        <v>365</v>
      </c>
      <c r="F723" s="89" t="str">
        <v/>
      </c>
      <c r="G723" s="89" t="str">
        <f ca="1"/>
        <v/>
      </c>
    </row>
    <row r="724" spans="1:7" x14ac:dyDescent="0.3">
      <c r="A724" s="89" t="str">
        <v/>
      </c>
      <c r="B724" s="89" t="str">
        <v xml:space="preserve">Control de Documentos e Informacion de HSE </v>
      </c>
      <c r="C724" s="90" t="str">
        <v/>
      </c>
      <c r="D724" s="89" t="str">
        <v>Evento</v>
      </c>
      <c r="E724" s="89">
        <v>0</v>
      </c>
      <c r="F724" s="89" t="str">
        <v/>
      </c>
      <c r="G724" s="89" t="str">
        <f ca="1"/>
        <v/>
      </c>
    </row>
    <row r="725" spans="1:7" x14ac:dyDescent="0.3">
      <c r="A725" s="89" t="str">
        <v/>
      </c>
      <c r="B725" s="89" t="str">
        <v xml:space="preserve"> Acciones Correctivas y Preventivas (CAPA)</v>
      </c>
      <c r="C725" s="90" t="str">
        <v/>
      </c>
      <c r="D725" s="89" t="str">
        <v>Evento</v>
      </c>
      <c r="E725" s="89">
        <v>0</v>
      </c>
      <c r="F725" s="89" t="str">
        <v/>
      </c>
      <c r="G725" s="89" t="str">
        <f ca="1"/>
        <v/>
      </c>
    </row>
    <row r="726" spans="1:7" x14ac:dyDescent="0.3">
      <c r="A726" s="89" t="str">
        <v/>
      </c>
      <c r="B726" s="89" t="str">
        <v>Seguridad Basada en el Comportamiento (Observation Program) // HSMS.043 / Autoridad de Detener el Trabajo</v>
      </c>
      <c r="C726" s="90" t="str">
        <v/>
      </c>
      <c r="D726" s="89" t="str">
        <v>Periódica</v>
      </c>
      <c r="E726" s="89">
        <v>365</v>
      </c>
      <c r="F726" s="89" t="str">
        <v/>
      </c>
      <c r="G726" s="89" t="str">
        <f ca="1"/>
        <v/>
      </c>
    </row>
    <row r="727" spans="1:7" x14ac:dyDescent="0.3">
      <c r="A727" s="89" t="str">
        <v/>
      </c>
      <c r="B727" s="89" t="str">
        <v>Identificacion de Peligros y Evaluacion de Riesgos</v>
      </c>
      <c r="C727" s="90" t="str">
        <v/>
      </c>
      <c r="D727" s="89" t="str">
        <v>Evento</v>
      </c>
      <c r="E727" s="89">
        <v>0</v>
      </c>
      <c r="F727" s="89" t="str">
        <v/>
      </c>
      <c r="G727" s="89" t="str">
        <f ca="1"/>
        <v/>
      </c>
    </row>
    <row r="728" spans="1:7" x14ac:dyDescent="0.3">
      <c r="A728" s="89" t="str">
        <v/>
      </c>
      <c r="B728" s="89" t="str">
        <v xml:space="preserve"> Plan de Respuesta ante Eemergencias / HSMS.010 /Primeros Axulios &amp; RCP/DEA / HSMSWT-002 / Patogenos Trasnmitidos por la Sangre</v>
      </c>
      <c r="C728" s="90" t="str">
        <v/>
      </c>
      <c r="D728" s="89" t="str">
        <v>Periódica</v>
      </c>
      <c r="E728" s="89">
        <v>365</v>
      </c>
      <c r="F728" s="89" t="str">
        <v/>
      </c>
      <c r="G728" s="89" t="str">
        <f ca="1"/>
        <v/>
      </c>
    </row>
    <row r="729" spans="1:7" x14ac:dyDescent="0.3">
      <c r="A729" s="89" t="str">
        <v/>
      </c>
      <c r="B729" s="89" t="str">
        <v>Reporte y Gestion de Incidentes HSE (Todos)</v>
      </c>
      <c r="C729" s="90" t="str">
        <v/>
      </c>
      <c r="D729" s="89" t="str">
        <v>Periódica</v>
      </c>
      <c r="E729" s="89">
        <v>365</v>
      </c>
      <c r="F729" s="89" t="str">
        <v/>
      </c>
      <c r="G729" s="89" t="str">
        <f ca="1"/>
        <v/>
      </c>
    </row>
    <row r="730" spans="1:7" x14ac:dyDescent="0.3">
      <c r="A730" s="89" t="str">
        <v/>
      </c>
      <c r="B730" s="89" t="str">
        <v>Reporte, Gestion e Investigacion de Incidentes HSE (supervisores / investigadores (rol))</v>
      </c>
      <c r="C730" s="90" t="str">
        <v/>
      </c>
      <c r="D730" s="89" t="str">
        <v>Periódica</v>
      </c>
      <c r="E730" s="89">
        <v>1095</v>
      </c>
      <c r="F730" s="89" t="str">
        <v/>
      </c>
      <c r="G730" s="89" t="str">
        <f ca="1"/>
        <v/>
      </c>
    </row>
    <row r="731" spans="1:7" x14ac:dyDescent="0.3">
      <c r="A731" s="89" t="str">
        <v/>
      </c>
      <c r="B731" s="89" t="str">
        <v>Gruas y Equipos de Izaje (Todos)</v>
      </c>
      <c r="C731" s="90" t="str">
        <v/>
      </c>
      <c r="D731" s="89" t="str">
        <v>Periódica</v>
      </c>
      <c r="E731" s="89">
        <v>365</v>
      </c>
      <c r="F731" s="89" t="str">
        <v/>
      </c>
      <c r="G731" s="89" t="str">
        <f ca="1"/>
        <v/>
      </c>
    </row>
    <row r="732" spans="1:7" x14ac:dyDescent="0.3">
      <c r="A732" s="89" t="str">
        <v/>
      </c>
      <c r="B732" s="89" t="str">
        <v>HSMS.007 / Gruas y Equipos de Izaje (Operadores)</v>
      </c>
      <c r="C732" s="90" t="str">
        <v/>
      </c>
      <c r="D732" s="89" t="str">
        <v>Periódica</v>
      </c>
      <c r="E732" s="89">
        <v>365</v>
      </c>
      <c r="F732" s="89" t="str">
        <v/>
      </c>
      <c r="G732" s="89" t="str">
        <f ca="1"/>
        <v/>
      </c>
    </row>
    <row r="733" spans="1:7" x14ac:dyDescent="0.3">
      <c r="A733" s="89" t="str">
        <v/>
      </c>
      <c r="B733" s="89" t="str">
        <v>Proteccion Contra Incendios (Todos)</v>
      </c>
      <c r="C733" s="90" t="str">
        <v/>
      </c>
      <c r="D733" s="89" t="str">
        <v>Periódica</v>
      </c>
      <c r="E733" s="89">
        <v>365</v>
      </c>
      <c r="F733" s="89" t="str">
        <v/>
      </c>
      <c r="G733" s="89" t="str">
        <f ca="1"/>
        <v/>
      </c>
    </row>
    <row r="734" spans="1:7" x14ac:dyDescent="0.3">
      <c r="A734" s="89" t="str">
        <v/>
      </c>
      <c r="B734" s="89" t="str">
        <v>Proteccion Contra Incendios (Brigadistas)</v>
      </c>
      <c r="C734" s="90" t="str">
        <v/>
      </c>
      <c r="D734" s="89" t="str">
        <v>Periódica</v>
      </c>
      <c r="E734" s="89">
        <v>365</v>
      </c>
      <c r="F734" s="89" t="str">
        <v/>
      </c>
      <c r="G734" s="89" t="str">
        <f ca="1"/>
        <v/>
      </c>
    </row>
    <row r="735" spans="1:7" x14ac:dyDescent="0.3">
      <c r="A735" s="89" t="str">
        <v/>
      </c>
      <c r="B735" s="89" t="str">
        <v>Primeros Auxilios (Brigadistas)</v>
      </c>
      <c r="C735" s="90" t="str">
        <v/>
      </c>
      <c r="D735" s="89" t="str">
        <v>Periódica</v>
      </c>
      <c r="E735" s="89">
        <v>365</v>
      </c>
      <c r="F735" s="89" t="str">
        <v/>
      </c>
      <c r="G735" s="89" t="str">
        <f ca="1"/>
        <v/>
      </c>
    </row>
    <row r="736" spans="1:7" x14ac:dyDescent="0.3">
      <c r="A736" s="89" t="str">
        <v/>
      </c>
      <c r="B736" s="89" t="str">
        <v>Seguridad Electrica (Todos)</v>
      </c>
      <c r="C736" s="90" t="str">
        <v/>
      </c>
      <c r="D736" s="89" t="str">
        <v>Periódica</v>
      </c>
      <c r="E736" s="89">
        <v>365</v>
      </c>
      <c r="F736" s="89" t="str">
        <v/>
      </c>
      <c r="G736" s="89" t="str">
        <f ca="1"/>
        <v/>
      </c>
    </row>
    <row r="737" spans="1:7" x14ac:dyDescent="0.3">
      <c r="A737" s="89" t="str">
        <v/>
      </c>
      <c r="B737" s="89" t="str">
        <v>Seguridad Electrica (Personal Autorizado)</v>
      </c>
      <c r="C737" s="90" t="str">
        <v/>
      </c>
      <c r="D737" s="89" t="str">
        <v>Periódica</v>
      </c>
      <c r="E737" s="89">
        <v>1095</v>
      </c>
      <c r="F737" s="89" t="str">
        <v/>
      </c>
      <c r="G737" s="89" t="str">
        <f ca="1"/>
        <v/>
      </c>
    </row>
    <row r="738" spans="1:7" x14ac:dyDescent="0.3">
      <c r="A738" s="89" t="str">
        <v/>
      </c>
      <c r="B738" s="89" t="str">
        <v>Camiones Industriales Motorizados (PIT) (Todos)</v>
      </c>
      <c r="C738" s="90" t="str">
        <v/>
      </c>
      <c r="D738" s="89" t="str">
        <v>Periódica</v>
      </c>
      <c r="E738" s="89">
        <v>365</v>
      </c>
      <c r="F738" s="89" t="str">
        <v/>
      </c>
      <c r="G738" s="89" t="str">
        <f ca="1"/>
        <v/>
      </c>
    </row>
    <row r="739" spans="1:7" x14ac:dyDescent="0.3">
      <c r="A739" s="89" t="str">
        <v/>
      </c>
      <c r="B739" s="89" t="str">
        <v>Camiones Industriales Motorizados (PIT) (Op. Montacargas)</v>
      </c>
      <c r="C739" s="90" t="str">
        <v/>
      </c>
      <c r="D739" s="89" t="str">
        <v>Periódica</v>
      </c>
      <c r="E739" s="89">
        <v>365</v>
      </c>
      <c r="F739" s="89" t="str">
        <v/>
      </c>
      <c r="G739" s="89" t="str">
        <f ca="1"/>
        <v/>
      </c>
    </row>
    <row r="740" spans="1:7" x14ac:dyDescent="0.3">
      <c r="A740" s="89" t="str">
        <v/>
      </c>
      <c r="B740" s="89" t="str">
        <v>Control de Energias Peligrosas (LOTO) (Todos)</v>
      </c>
      <c r="C740" s="90" t="str">
        <v/>
      </c>
      <c r="D740" s="89" t="str">
        <v>Evento</v>
      </c>
      <c r="E740" s="89">
        <v>0</v>
      </c>
      <c r="F740" s="89" t="str">
        <v/>
      </c>
      <c r="G740" s="89" t="str">
        <f ca="1"/>
        <v/>
      </c>
    </row>
    <row r="741" spans="1:7" x14ac:dyDescent="0.3">
      <c r="A741" s="89" t="str">
        <v/>
      </c>
      <c r="B741" s="89" t="str">
        <v>Control de Energias Peligrosas (LOTO) (Empleados Autorizados)</v>
      </c>
      <c r="C741" s="90" t="str">
        <v/>
      </c>
      <c r="D741" s="89" t="str">
        <v>Periódica</v>
      </c>
      <c r="E741" s="89">
        <v>365</v>
      </c>
      <c r="F741" s="89" t="str">
        <v/>
      </c>
      <c r="G741" s="89" t="str">
        <f ca="1"/>
        <v/>
      </c>
    </row>
    <row r="742" spans="1:7" x14ac:dyDescent="0.3">
      <c r="A742" s="89" t="str">
        <v/>
      </c>
      <c r="B742" s="89" t="str">
        <v>Seguridad aplicada al Pozo &amp; Yacimiento</v>
      </c>
      <c r="C742" s="90" t="str">
        <v/>
      </c>
      <c r="D742" s="89" t="str">
        <v>Periódica</v>
      </c>
      <c r="E742" s="89">
        <v>365</v>
      </c>
      <c r="F742" s="89" t="str">
        <v/>
      </c>
      <c r="G742" s="89" t="str">
        <f ca="1"/>
        <v/>
      </c>
    </row>
    <row r="743" spans="1:7" x14ac:dyDescent="0.3">
      <c r="A743" s="89" t="str">
        <v/>
      </c>
      <c r="B743" s="89" t="str">
        <v>Las Reglas que Salvan Vidas</v>
      </c>
      <c r="C743" s="90" t="str">
        <v/>
      </c>
      <c r="D743" s="89" t="str">
        <v>Periódica</v>
      </c>
      <c r="E743" s="89">
        <v>365</v>
      </c>
      <c r="F743" s="89" t="str">
        <v/>
      </c>
      <c r="G743" s="89" t="str">
        <f ca="1"/>
        <v/>
      </c>
    </row>
    <row r="744" spans="1:7" x14ac:dyDescent="0.3">
      <c r="A744" s="89" t="str">
        <v/>
      </c>
      <c r="B744" s="89" t="str">
        <v xml:space="preserve">Resguardo de Maquinas &amp; Equipos </v>
      </c>
      <c r="C744" s="90" t="str">
        <v/>
      </c>
      <c r="D744" s="89" t="str">
        <v>Periódica</v>
      </c>
      <c r="E744" s="89">
        <v>365</v>
      </c>
      <c r="F744" s="89" t="str">
        <v/>
      </c>
      <c r="G744" s="89" t="str">
        <f ca="1"/>
        <v/>
      </c>
    </row>
    <row r="745" spans="1:7" x14ac:dyDescent="0.3">
      <c r="A745" s="89" t="str">
        <v/>
      </c>
      <c r="B745" s="89" t="str">
        <v>Conduccion y Gestion de Viajes (Todos)</v>
      </c>
      <c r="C745" s="90" t="str">
        <v/>
      </c>
      <c r="D745" s="89" t="str">
        <v>Periódica</v>
      </c>
      <c r="E745" s="89">
        <v>730</v>
      </c>
      <c r="F745" s="89" t="str">
        <v/>
      </c>
      <c r="G745" s="89" t="str">
        <f ca="1"/>
        <v/>
      </c>
    </row>
    <row r="746" spans="1:7" x14ac:dyDescent="0.3">
      <c r="A746" s="89" t="str">
        <v/>
      </c>
      <c r="B746" s="89" t="str">
        <v>Conduccion y Gestion de Viajes (Conductores)</v>
      </c>
      <c r="C746" s="90" t="str">
        <v/>
      </c>
      <c r="D746" s="89" t="str">
        <v>Periódica</v>
      </c>
      <c r="E746" s="89">
        <v>1095</v>
      </c>
      <c r="F746" s="89" t="str">
        <v/>
      </c>
      <c r="G746" s="89" t="str">
        <f ca="1"/>
        <v/>
      </c>
    </row>
    <row r="747" spans="1:7" x14ac:dyDescent="0.3">
      <c r="A747" s="89" t="str">
        <v/>
      </c>
      <c r="B747" s="89" t="str">
        <v>Patogenos Transmitidos por la Sangre</v>
      </c>
      <c r="C747" s="90" t="str">
        <v/>
      </c>
      <c r="D747" s="89" t="str">
        <v>Periódica</v>
      </c>
      <c r="E747" s="89">
        <v>365</v>
      </c>
      <c r="F747" s="89" t="str">
        <v/>
      </c>
      <c r="G747" s="89" t="str">
        <f ca="1"/>
        <v/>
      </c>
    </row>
    <row r="748" spans="1:7" x14ac:dyDescent="0.3">
      <c r="A748" s="89" t="str">
        <v/>
      </c>
      <c r="B748" s="89" t="str">
        <v>Conservacion Auditiva</v>
      </c>
      <c r="C748" s="90" t="str">
        <v/>
      </c>
      <c r="D748" s="89" t="str">
        <v>Periódica</v>
      </c>
      <c r="E748" s="89">
        <v>365</v>
      </c>
      <c r="F748" s="89" t="str">
        <v/>
      </c>
      <c r="G748" s="89" t="str">
        <f ca="1"/>
        <v/>
      </c>
    </row>
    <row r="749" spans="1:7" x14ac:dyDescent="0.3">
      <c r="A749" s="89" t="str">
        <v/>
      </c>
      <c r="B749" s="89" t="str">
        <v xml:space="preserve">Ergonomia //  / Levantamiento &amp; Seguridad en la Espalda </v>
      </c>
      <c r="C749" s="90" t="str">
        <v/>
      </c>
      <c r="D749" s="89" t="str">
        <v>Periódica</v>
      </c>
      <c r="E749" s="89">
        <v>365</v>
      </c>
      <c r="F749" s="89" t="str">
        <v/>
      </c>
      <c r="G749" s="89" t="str">
        <f ca="1"/>
        <v/>
      </c>
    </row>
    <row r="750" spans="1:7" x14ac:dyDescent="0.3">
      <c r="A750" s="89" t="str">
        <v/>
      </c>
      <c r="B750" s="89" t="str">
        <v>Superficies Elevadas (Todos)</v>
      </c>
      <c r="C750" s="90" t="str">
        <v/>
      </c>
      <c r="D750" s="89" t="str">
        <v>Periódica</v>
      </c>
      <c r="E750" s="89">
        <v>365</v>
      </c>
      <c r="F750" s="89" t="str">
        <v/>
      </c>
      <c r="G750" s="89" t="str">
        <f ca="1"/>
        <v/>
      </c>
    </row>
    <row r="751" spans="1:7" x14ac:dyDescent="0.3">
      <c r="A751" s="89" t="str">
        <v/>
      </c>
      <c r="B751" s="89" t="str">
        <v>Superficies Elevadas (Personal Habilitado)</v>
      </c>
      <c r="C751" s="90" t="str">
        <v/>
      </c>
      <c r="D751" s="89" t="str">
        <v>Periódica</v>
      </c>
      <c r="E751" s="89">
        <v>365</v>
      </c>
      <c r="F751" s="89" t="str">
        <v/>
      </c>
      <c r="G751" s="89" t="str">
        <f ca="1"/>
        <v/>
      </c>
    </row>
    <row r="752" spans="1:7" x14ac:dyDescent="0.3">
      <c r="A752" s="89" t="str">
        <v/>
      </c>
      <c r="B752" s="89" t="str">
        <v>Seguridad Quimica (Todos)</v>
      </c>
      <c r="C752" s="90" t="str">
        <v/>
      </c>
      <c r="D752" s="89" t="str">
        <v>Periódica</v>
      </c>
      <c r="E752" s="89">
        <v>730</v>
      </c>
      <c r="F752" s="89" t="str">
        <v/>
      </c>
      <c r="G752" s="89" t="str">
        <f ca="1"/>
        <v/>
      </c>
    </row>
    <row r="753" spans="1:7" x14ac:dyDescent="0.3">
      <c r="A753" s="89" t="str">
        <v/>
      </c>
      <c r="B753" s="89" t="str">
        <v>Seguridad Quimica (Mantenimiento)</v>
      </c>
      <c r="C753" s="90" t="str">
        <v/>
      </c>
      <c r="D753" s="89" t="str">
        <v>Periódica</v>
      </c>
      <c r="E753" s="89">
        <v>365</v>
      </c>
      <c r="F753" s="89" t="str">
        <v/>
      </c>
      <c r="G753" s="89" t="str">
        <f ca="1"/>
        <v/>
      </c>
    </row>
    <row r="754" spans="1:7" x14ac:dyDescent="0.3">
      <c r="A754" s="89" t="str">
        <v/>
      </c>
      <c r="B754" s="89" t="str">
        <v>Seguridad Quimica (Contratistas)</v>
      </c>
      <c r="C754" s="90" t="str">
        <v/>
      </c>
      <c r="D754" s="89" t="str">
        <v>Periódica</v>
      </c>
      <c r="E754" s="89">
        <v>365</v>
      </c>
      <c r="F754" s="89" t="str">
        <v/>
      </c>
      <c r="G754" s="89" t="str">
        <f ca="1"/>
        <v/>
      </c>
    </row>
    <row r="755" spans="1:7" x14ac:dyDescent="0.3">
      <c r="A755" s="89" t="str">
        <v/>
      </c>
      <c r="B755" s="89" t="str">
        <v>Seguridad para Trabajos en Caliente</v>
      </c>
      <c r="C755" s="90" t="str">
        <v/>
      </c>
      <c r="D755" s="89" t="str">
        <v>Periódica</v>
      </c>
      <c r="E755" s="89">
        <v>365</v>
      </c>
      <c r="F755" s="89" t="str">
        <v/>
      </c>
      <c r="G755" s="89" t="str">
        <f ca="1"/>
        <v/>
      </c>
    </row>
    <row r="756" spans="1:7" x14ac:dyDescent="0.3">
      <c r="A756" s="89" t="str">
        <v/>
      </c>
      <c r="B756" s="89" t="str">
        <v>Seguridad con la Radiacion</v>
      </c>
      <c r="C756" s="90" t="str">
        <v/>
      </c>
      <c r="D756" s="89" t="str">
        <v>Periódica</v>
      </c>
      <c r="E756" s="89">
        <v>365</v>
      </c>
      <c r="F756" s="89" t="str">
        <v/>
      </c>
      <c r="G756" s="89" t="str">
        <f ca="1"/>
        <v/>
      </c>
    </row>
    <row r="757" spans="1:7" x14ac:dyDescent="0.3">
      <c r="A757" s="89" t="str">
        <v/>
      </c>
      <c r="B757" s="89" t="str">
        <v>Equipo de Proteccion Personal (PPE)</v>
      </c>
      <c r="C757" s="90" t="str">
        <v/>
      </c>
      <c r="D757" s="89" t="str">
        <v>Periódica</v>
      </c>
      <c r="E757" s="89">
        <v>365</v>
      </c>
      <c r="F757" s="89" t="str">
        <v/>
      </c>
      <c r="G757" s="89" t="str">
        <f ca="1"/>
        <v/>
      </c>
    </row>
    <row r="758" spans="1:7" x14ac:dyDescent="0.3">
      <c r="A758" s="89" t="str">
        <v/>
      </c>
      <c r="B758" s="89" t="str">
        <v>Proteccion Respiratoria</v>
      </c>
      <c r="C758" s="90" t="str">
        <v/>
      </c>
      <c r="D758" s="89" t="str">
        <v>Periódica</v>
      </c>
      <c r="E758" s="89">
        <v>365</v>
      </c>
      <c r="F758" s="89" t="str">
        <v/>
      </c>
      <c r="G758" s="89" t="str">
        <f ca="1"/>
        <v/>
      </c>
    </row>
    <row r="759" spans="1:7" x14ac:dyDescent="0.3">
      <c r="A759" s="89" t="str">
        <v/>
      </c>
      <c r="B759" s="89" t="str">
        <v xml:space="preserve">Seguridad con Escaleras </v>
      </c>
      <c r="C759" s="90" t="str">
        <v/>
      </c>
      <c r="D759" s="89" t="str">
        <v>Periódica</v>
      </c>
      <c r="E759" s="89">
        <v>365</v>
      </c>
      <c r="F759" s="89" t="str">
        <v/>
      </c>
      <c r="G759" s="89" t="str">
        <f ca="1"/>
        <v/>
      </c>
    </row>
    <row r="760" spans="1:7" x14ac:dyDescent="0.3">
      <c r="A760" s="89" t="str">
        <v/>
      </c>
      <c r="B760" s="89" t="str">
        <v>Seguridad con Escaleras // Estantes de Almacenamiento</v>
      </c>
      <c r="C760" s="90" t="str">
        <v/>
      </c>
      <c r="D760" s="89" t="str">
        <v>Periódica</v>
      </c>
      <c r="E760" s="89">
        <v>365</v>
      </c>
      <c r="F760" s="89" t="str">
        <v/>
      </c>
      <c r="G760" s="89" t="str">
        <f ca="1"/>
        <v/>
      </c>
    </row>
    <row r="761" spans="1:7" x14ac:dyDescent="0.3">
      <c r="A761" s="89" t="str">
        <v/>
      </c>
      <c r="B761" s="89" t="str">
        <v>Responsabilidades del Supervisor</v>
      </c>
      <c r="C761" s="90" t="str">
        <v/>
      </c>
      <c r="D761" s="89" t="str">
        <v>Periódica</v>
      </c>
      <c r="E761" s="89">
        <v>365</v>
      </c>
      <c r="F761" s="89" t="str">
        <v/>
      </c>
      <c r="G761" s="89" t="str">
        <f ca="1"/>
        <v/>
      </c>
    </row>
    <row r="762" spans="1:7" x14ac:dyDescent="0.3">
      <c r="A762" s="89" t="str">
        <v/>
      </c>
      <c r="B762" s="89" t="str">
        <v>Espacios Confinados (Todos)</v>
      </c>
      <c r="C762" s="90" t="str">
        <v/>
      </c>
      <c r="D762" s="89" t="str">
        <v>Periódica</v>
      </c>
      <c r="E762" s="89">
        <v>365</v>
      </c>
      <c r="F762" s="89" t="str">
        <v/>
      </c>
      <c r="G762" s="89" t="str">
        <f ca="1"/>
        <v/>
      </c>
    </row>
    <row r="763" spans="1:7" x14ac:dyDescent="0.3">
      <c r="A763" s="89" t="str">
        <v/>
      </c>
      <c r="B763" s="89" t="str">
        <v>HSMS.017 / Espacios Confinados (Entrantes)</v>
      </c>
      <c r="C763" s="90" t="str">
        <v/>
      </c>
      <c r="D763" s="89" t="str">
        <v>Evento</v>
      </c>
      <c r="E763" s="89">
        <v>0</v>
      </c>
      <c r="F763" s="89" t="str">
        <v/>
      </c>
      <c r="G763" s="89" t="str">
        <f ca="1"/>
        <v/>
      </c>
    </row>
    <row r="764" spans="1:7" x14ac:dyDescent="0.3">
      <c r="A764" s="89" t="str">
        <v/>
      </c>
      <c r="B764" s="89" t="str">
        <v>Programa de Agua (Todos)</v>
      </c>
      <c r="C764" s="90" t="str">
        <v/>
      </c>
      <c r="D764" s="89" t="str">
        <v>Evento</v>
      </c>
      <c r="E764" s="89">
        <v>0</v>
      </c>
      <c r="F764" s="89" t="str">
        <v/>
      </c>
      <c r="G764" s="89" t="str">
        <f ca="1"/>
        <v/>
      </c>
    </row>
    <row r="765" spans="1:7" x14ac:dyDescent="0.3">
      <c r="A765" s="89" t="str">
        <v/>
      </c>
      <c r="B765" s="89" t="str">
        <v>Programa de Agua (HSE)</v>
      </c>
      <c r="C765" s="90" t="str">
        <v/>
      </c>
      <c r="D765" s="89" t="str">
        <v>Evento</v>
      </c>
      <c r="E765" s="89">
        <v>0</v>
      </c>
      <c r="F765" s="89" t="str">
        <v/>
      </c>
      <c r="G765" s="89" t="str">
        <f ca="1"/>
        <v/>
      </c>
    </row>
    <row r="766" spans="1:7" x14ac:dyDescent="0.3">
      <c r="A766" s="89" t="str">
        <v/>
      </c>
      <c r="B766" s="89" t="str">
        <v>HIV/SIDA y otras enfermedades de transmisión sexual (ETS)</v>
      </c>
      <c r="C766" s="90" t="str">
        <v/>
      </c>
      <c r="D766" s="89" t="str">
        <v>Periódica</v>
      </c>
      <c r="E766" s="89">
        <v>365</v>
      </c>
      <c r="F766" s="89" t="str">
        <v/>
      </c>
      <c r="G766" s="89" t="str">
        <f ca="1"/>
        <v/>
      </c>
    </row>
    <row r="767" spans="1:7" x14ac:dyDescent="0.3">
      <c r="A767" s="89" t="str">
        <v/>
      </c>
      <c r="B767" s="89" t="str">
        <v>Drogas de abuso (concientización y prevención)</v>
      </c>
      <c r="C767" s="90" t="str">
        <v/>
      </c>
      <c r="D767" s="89" t="str">
        <v>Periódica</v>
      </c>
      <c r="E767" s="89">
        <v>365</v>
      </c>
      <c r="F767" s="89" t="str">
        <v/>
      </c>
      <c r="G767" s="89" t="str">
        <f ca="1"/>
        <v/>
      </c>
    </row>
    <row r="768" spans="1:7" x14ac:dyDescent="0.3">
      <c r="A768" s="89" t="str">
        <v/>
      </c>
      <c r="B768" s="89" t="str">
        <v>Vida saludable (hábitos, autocuidado y bienestar)</v>
      </c>
      <c r="C768" s="90" t="str">
        <v/>
      </c>
      <c r="D768" s="89" t="str">
        <v>Periódica</v>
      </c>
      <c r="E768" s="89">
        <v>365</v>
      </c>
      <c r="F768" s="89" t="str">
        <v/>
      </c>
      <c r="G768" s="89" t="str">
        <f ca="1"/>
        <v/>
      </c>
    </row>
    <row r="769" spans="1:7" x14ac:dyDescent="0.3">
      <c r="A769" s="89" t="str">
        <v/>
      </c>
      <c r="B769" s="89" t="str">
        <v>Primeros auxilios y Reanimación Cardio Pulmonar (RCP)</v>
      </c>
      <c r="C769" s="90" t="str">
        <v/>
      </c>
      <c r="D769" s="89" t="str">
        <v>Periódica</v>
      </c>
      <c r="E769" s="89">
        <v>365</v>
      </c>
      <c r="F769" s="89" t="str">
        <v/>
      </c>
      <c r="G769" s="89" t="str">
        <f ca="1"/>
        <v/>
      </c>
    </row>
    <row r="770" spans="1:7" x14ac:dyDescent="0.3">
      <c r="A770" s="89" t="str">
        <v/>
      </c>
      <c r="B770" s="89" t="str">
        <v>Prevención cardiovascular (factores de riesgo y señales de alarma)</v>
      </c>
      <c r="C770" s="90" t="str">
        <v/>
      </c>
      <c r="D770" s="89" t="str">
        <v>Periódica</v>
      </c>
      <c r="E770" s="89">
        <v>365</v>
      </c>
      <c r="F770" s="89" t="str">
        <v/>
      </c>
      <c r="G770" s="89" t="str">
        <f ca="1"/>
        <v/>
      </c>
    </row>
    <row r="771" spans="1:7" x14ac:dyDescent="0.3">
      <c r="A771" s="89" t="str">
        <v/>
      </c>
      <c r="B771" s="89" t="str">
        <v>Efectos del tabaco sobre la salud</v>
      </c>
      <c r="C771" s="90" t="str">
        <v/>
      </c>
      <c r="D771" s="89" t="str">
        <v>Periódica</v>
      </c>
      <c r="E771" s="89">
        <v>365</v>
      </c>
      <c r="F771" s="89" t="str">
        <v/>
      </c>
      <c r="G771" s="89" t="str">
        <f ca="1"/>
        <v/>
      </c>
    </row>
    <row r="772" spans="1:7" x14ac:dyDescent="0.3">
      <c r="A772" s="89" t="str">
        <v/>
      </c>
      <c r="B772" s="89" t="str">
        <v>Cargadora (Op. Montacargas)</v>
      </c>
      <c r="C772" s="90" t="str">
        <v/>
      </c>
      <c r="D772" s="89" t="str">
        <v>Periódica</v>
      </c>
      <c r="E772" s="89">
        <v>365</v>
      </c>
      <c r="F772" s="89" t="str">
        <v/>
      </c>
      <c r="G772" s="89" t="str">
        <f ca="1"/>
        <v/>
      </c>
    </row>
    <row r="773" spans="1:7" x14ac:dyDescent="0.3">
      <c r="A773" s="89" t="str">
        <v/>
      </c>
      <c r="B773" s="89">
        <v>0</v>
      </c>
      <c r="C773" s="90" t="str">
        <v/>
      </c>
      <c r="D773" s="89" t="str">
        <v/>
      </c>
      <c r="E773" s="89" t="str">
        <v/>
      </c>
      <c r="F773" s="89" t="str">
        <v/>
      </c>
      <c r="G773" s="89" t="str">
        <f ca="1"/>
        <v/>
      </c>
    </row>
    <row r="774" spans="1:7" x14ac:dyDescent="0.3">
      <c r="A774" s="89" t="str">
        <v/>
      </c>
      <c r="B774" s="89">
        <v>0</v>
      </c>
      <c r="C774" s="90" t="str">
        <v/>
      </c>
      <c r="D774" s="89" t="str">
        <v/>
      </c>
      <c r="E774" s="89" t="str">
        <v/>
      </c>
      <c r="F774" s="89" t="str">
        <v/>
      </c>
      <c r="G774" s="89" t="str">
        <f ca="1"/>
        <v/>
      </c>
    </row>
    <row r="775" spans="1:7" x14ac:dyDescent="0.3">
      <c r="A775" s="89" t="str">
        <v/>
      </c>
      <c r="B775" s="89">
        <v>0</v>
      </c>
      <c r="C775" s="90" t="str">
        <v/>
      </c>
      <c r="D775" s="89" t="str">
        <v/>
      </c>
      <c r="E775" s="89" t="str">
        <v/>
      </c>
      <c r="F775" s="89" t="str">
        <v/>
      </c>
      <c r="G775" s="89" t="str">
        <f ca="1"/>
        <v/>
      </c>
    </row>
    <row r="776" spans="1:7" x14ac:dyDescent="0.3">
      <c r="A776" s="89" t="str">
        <v/>
      </c>
      <c r="B776" s="89">
        <v>0</v>
      </c>
      <c r="C776" s="90" t="str">
        <v/>
      </c>
      <c r="D776" s="89" t="str">
        <v/>
      </c>
      <c r="E776" s="89" t="str">
        <v/>
      </c>
      <c r="F776" s="89" t="str">
        <v/>
      </c>
      <c r="G776" s="89" t="str">
        <f ca="1"/>
        <v/>
      </c>
    </row>
    <row r="777" spans="1:7" x14ac:dyDescent="0.3">
      <c r="A777" s="89" t="str">
        <v/>
      </c>
      <c r="B777" s="89">
        <v>0</v>
      </c>
      <c r="C777" s="90" t="str">
        <v/>
      </c>
      <c r="D777" s="89" t="str">
        <v/>
      </c>
      <c r="E777" s="89" t="str">
        <v/>
      </c>
      <c r="F777" s="89" t="str">
        <v/>
      </c>
      <c r="G777" s="89" t="str">
        <f ca="1"/>
        <v/>
      </c>
    </row>
    <row r="778" spans="1:7" x14ac:dyDescent="0.3">
      <c r="A778" s="89" t="str">
        <v/>
      </c>
      <c r="B778" s="89">
        <v>0</v>
      </c>
      <c r="C778" s="90" t="str">
        <v/>
      </c>
      <c r="D778" s="89" t="str">
        <v/>
      </c>
      <c r="E778" s="89" t="str">
        <v/>
      </c>
      <c r="F778" s="89" t="str">
        <v/>
      </c>
      <c r="G778" s="89" t="str">
        <f ca="1"/>
        <v/>
      </c>
    </row>
    <row r="779" spans="1:7" x14ac:dyDescent="0.3">
      <c r="A779" s="89" t="str">
        <v/>
      </c>
      <c r="B779" s="89">
        <v>0</v>
      </c>
      <c r="C779" s="90" t="str">
        <v/>
      </c>
      <c r="D779" s="89" t="str">
        <v/>
      </c>
      <c r="E779" s="89" t="str">
        <v/>
      </c>
      <c r="F779" s="89" t="str">
        <v/>
      </c>
      <c r="G779" s="89" t="str">
        <f ca="1"/>
        <v/>
      </c>
    </row>
    <row r="780" spans="1:7" x14ac:dyDescent="0.3">
      <c r="A780" s="89" t="str">
        <v/>
      </c>
      <c r="B780" s="89">
        <v>0</v>
      </c>
      <c r="C780" s="90" t="str">
        <v/>
      </c>
      <c r="D780" s="89" t="str">
        <v/>
      </c>
      <c r="E780" s="89" t="str">
        <v/>
      </c>
      <c r="F780" s="89" t="str">
        <v/>
      </c>
      <c r="G780" s="89" t="str">
        <f ca="1"/>
        <v/>
      </c>
    </row>
    <row r="781" spans="1:7" x14ac:dyDescent="0.3">
      <c r="A781" s="89" t="str">
        <v/>
      </c>
      <c r="B781" s="89">
        <v>0</v>
      </c>
      <c r="C781" s="90" t="str">
        <v/>
      </c>
      <c r="D781" s="89" t="str">
        <v/>
      </c>
      <c r="E781" s="89" t="str">
        <v/>
      </c>
      <c r="F781" s="89" t="str">
        <v/>
      </c>
      <c r="G781" s="89" t="str">
        <f ca="1"/>
        <v/>
      </c>
    </row>
    <row r="782" spans="1:7" x14ac:dyDescent="0.3">
      <c r="A782" s="89" t="str">
        <v/>
      </c>
      <c r="B782" s="89" t="str">
        <v>Programa de Aire</v>
      </c>
      <c r="C782" s="90" t="str">
        <v/>
      </c>
      <c r="D782" s="89" t="str">
        <v>Evento</v>
      </c>
      <c r="E782" s="89">
        <v>0</v>
      </c>
      <c r="F782" s="89" t="str">
        <v/>
      </c>
      <c r="G782" s="89" t="str">
        <f ca="1"/>
        <v/>
      </c>
    </row>
    <row r="783" spans="1:7" x14ac:dyDescent="0.3">
      <c r="A783" s="89" t="str">
        <v/>
      </c>
      <c r="B783" s="89" t="str">
        <v>Conciencia Ambiental</v>
      </c>
      <c r="C783" s="90" t="str">
        <v/>
      </c>
      <c r="D783" s="89" t="str">
        <v>Periódica</v>
      </c>
      <c r="E783" s="89">
        <v>365</v>
      </c>
      <c r="F783" s="89" t="str">
        <v/>
      </c>
      <c r="G783" s="89" t="str">
        <f ca="1"/>
        <v/>
      </c>
    </row>
    <row r="784" spans="1:7" x14ac:dyDescent="0.3">
      <c r="A784" s="89" t="str">
        <v/>
      </c>
      <c r="B784" s="89" t="str">
        <v xml:space="preserve">Control de Documentos e Informacion de HSE </v>
      </c>
      <c r="C784" s="90" t="str">
        <v/>
      </c>
      <c r="D784" s="89" t="str">
        <v>Evento</v>
      </c>
      <c r="E784" s="89">
        <v>0</v>
      </c>
      <c r="F784" s="89" t="str">
        <v/>
      </c>
      <c r="G784" s="89" t="str">
        <f ca="1"/>
        <v/>
      </c>
    </row>
    <row r="785" spans="1:7" x14ac:dyDescent="0.3">
      <c r="A785" s="89" t="str">
        <v/>
      </c>
      <c r="B785" s="89" t="str">
        <v xml:space="preserve"> Acciones Correctivas y Preventivas (CAPA)</v>
      </c>
      <c r="C785" s="90" t="str">
        <v/>
      </c>
      <c r="D785" s="89" t="str">
        <v>Evento</v>
      </c>
      <c r="E785" s="89">
        <v>0</v>
      </c>
      <c r="F785" s="89" t="str">
        <v/>
      </c>
      <c r="G785" s="89" t="str">
        <f ca="1"/>
        <v/>
      </c>
    </row>
    <row r="786" spans="1:7" x14ac:dyDescent="0.3">
      <c r="A786" s="89" t="str">
        <v/>
      </c>
      <c r="B786" s="89" t="str">
        <v>Seguridad Basada en el Comportamiento (Observation Program) // HSMS.043 / Autoridad de Detener el Trabajo</v>
      </c>
      <c r="C786" s="90" t="str">
        <v/>
      </c>
      <c r="D786" s="89" t="str">
        <v>Periódica</v>
      </c>
      <c r="E786" s="89">
        <v>365</v>
      </c>
      <c r="F786" s="89" t="str">
        <v/>
      </c>
      <c r="G786" s="89" t="str">
        <f ca="1"/>
        <v/>
      </c>
    </row>
    <row r="787" spans="1:7" x14ac:dyDescent="0.3">
      <c r="A787" s="89" t="str">
        <v/>
      </c>
      <c r="B787" s="89" t="str">
        <v>Identificacion de Peligros y Evaluacion de Riesgos</v>
      </c>
      <c r="C787" s="90" t="str">
        <v/>
      </c>
      <c r="D787" s="89" t="str">
        <v>Evento</v>
      </c>
      <c r="E787" s="89">
        <v>0</v>
      </c>
      <c r="F787" s="89" t="str">
        <v/>
      </c>
      <c r="G787" s="89" t="str">
        <f ca="1"/>
        <v/>
      </c>
    </row>
    <row r="788" spans="1:7" x14ac:dyDescent="0.3">
      <c r="A788" s="89" t="str">
        <v/>
      </c>
      <c r="B788" s="89" t="str">
        <v xml:space="preserve"> Plan de Respuesta ante Eemergencias / HSMS.010 /Primeros Axulios &amp; RCP/DEA / HSMSWT-002 / Patogenos Trasnmitidos por la Sangre</v>
      </c>
      <c r="C788" s="90" t="str">
        <v/>
      </c>
      <c r="D788" s="89" t="str">
        <v>Periódica</v>
      </c>
      <c r="E788" s="89">
        <v>365</v>
      </c>
      <c r="F788" s="89" t="str">
        <v/>
      </c>
      <c r="G788" s="89" t="str">
        <f ca="1"/>
        <v/>
      </c>
    </row>
    <row r="789" spans="1:7" x14ac:dyDescent="0.3">
      <c r="A789" s="89" t="str">
        <v/>
      </c>
      <c r="B789" s="89" t="str">
        <v>Reporte y Gestion de Incidentes HSE (Todos)</v>
      </c>
      <c r="C789" s="90" t="str">
        <v/>
      </c>
      <c r="D789" s="89" t="str">
        <v>Periódica</v>
      </c>
      <c r="E789" s="89">
        <v>365</v>
      </c>
      <c r="F789" s="89" t="str">
        <v/>
      </c>
      <c r="G789" s="89" t="str">
        <f ca="1"/>
        <v/>
      </c>
    </row>
    <row r="790" spans="1:7" x14ac:dyDescent="0.3">
      <c r="A790" s="89" t="str">
        <v/>
      </c>
      <c r="B790" s="89" t="str">
        <v>Reporte, Gestion e Investigacion de Incidentes HSE (supervisores / investigadores (rol))</v>
      </c>
      <c r="C790" s="90" t="str">
        <v/>
      </c>
      <c r="D790" s="89" t="str">
        <v>Periódica</v>
      </c>
      <c r="E790" s="89">
        <v>1095</v>
      </c>
      <c r="F790" s="89" t="str">
        <v/>
      </c>
      <c r="G790" s="89" t="str">
        <f ca="1"/>
        <v/>
      </c>
    </row>
    <row r="791" spans="1:7" x14ac:dyDescent="0.3">
      <c r="A791" s="89" t="str">
        <v/>
      </c>
      <c r="B791" s="89" t="str">
        <v>Gruas y Equipos de Izaje (Todos)</v>
      </c>
      <c r="C791" s="90" t="str">
        <v/>
      </c>
      <c r="D791" s="89" t="str">
        <v>Periódica</v>
      </c>
      <c r="E791" s="89">
        <v>365</v>
      </c>
      <c r="F791" s="89" t="str">
        <v/>
      </c>
      <c r="G791" s="89" t="str">
        <f ca="1"/>
        <v/>
      </c>
    </row>
    <row r="792" spans="1:7" x14ac:dyDescent="0.3">
      <c r="A792" s="89" t="str">
        <v/>
      </c>
      <c r="B792" s="89" t="str">
        <v>HSMS.007 / Gruas y Equipos de Izaje (Operadores)</v>
      </c>
      <c r="C792" s="90" t="str">
        <v/>
      </c>
      <c r="D792" s="89" t="str">
        <v>Periódica</v>
      </c>
      <c r="E792" s="89">
        <v>365</v>
      </c>
      <c r="F792" s="89" t="str">
        <v/>
      </c>
      <c r="G792" s="89" t="str">
        <f ca="1"/>
        <v/>
      </c>
    </row>
    <row r="793" spans="1:7" x14ac:dyDescent="0.3">
      <c r="A793" s="89" t="str">
        <v/>
      </c>
      <c r="B793" s="89" t="str">
        <v>Proteccion Contra Incendios (Todos)</v>
      </c>
      <c r="C793" s="90" t="str">
        <v/>
      </c>
      <c r="D793" s="89" t="str">
        <v>Periódica</v>
      </c>
      <c r="E793" s="89">
        <v>365</v>
      </c>
      <c r="F793" s="89" t="str">
        <v/>
      </c>
      <c r="G793" s="89" t="str">
        <f ca="1"/>
        <v/>
      </c>
    </row>
    <row r="794" spans="1:7" x14ac:dyDescent="0.3">
      <c r="A794" s="89" t="str">
        <v/>
      </c>
      <c r="B794" s="89" t="str">
        <v>Proteccion Contra Incendios (Brigadistas)</v>
      </c>
      <c r="C794" s="90" t="str">
        <v/>
      </c>
      <c r="D794" s="89" t="str">
        <v>Periódica</v>
      </c>
      <c r="E794" s="89">
        <v>365</v>
      </c>
      <c r="F794" s="89" t="str">
        <v/>
      </c>
      <c r="G794" s="89" t="str">
        <f ca="1"/>
        <v/>
      </c>
    </row>
    <row r="795" spans="1:7" x14ac:dyDescent="0.3">
      <c r="A795" s="89" t="str">
        <v/>
      </c>
      <c r="B795" s="89" t="str">
        <v>Primeros Auxilios (Brigadistas)</v>
      </c>
      <c r="C795" s="90" t="str">
        <v/>
      </c>
      <c r="D795" s="89" t="str">
        <v>Periódica</v>
      </c>
      <c r="E795" s="89">
        <v>365</v>
      </c>
      <c r="F795" s="89" t="str">
        <v/>
      </c>
      <c r="G795" s="89" t="str">
        <f ca="1"/>
        <v/>
      </c>
    </row>
    <row r="796" spans="1:7" x14ac:dyDescent="0.3">
      <c r="A796" s="89" t="str">
        <v/>
      </c>
      <c r="B796" s="89" t="str">
        <v>Seguridad Electrica (Todos)</v>
      </c>
      <c r="C796" s="90" t="str">
        <v/>
      </c>
      <c r="D796" s="89" t="str">
        <v>Periódica</v>
      </c>
      <c r="E796" s="89">
        <v>365</v>
      </c>
      <c r="F796" s="89" t="str">
        <v/>
      </c>
      <c r="G796" s="89" t="str">
        <f ca="1"/>
        <v/>
      </c>
    </row>
    <row r="797" spans="1:7" x14ac:dyDescent="0.3">
      <c r="A797" s="89" t="str">
        <v/>
      </c>
      <c r="B797" s="89" t="str">
        <v>Seguridad Electrica (Personal Autorizado)</v>
      </c>
      <c r="C797" s="90" t="str">
        <v/>
      </c>
      <c r="D797" s="89" t="str">
        <v>Periódica</v>
      </c>
      <c r="E797" s="89">
        <v>1095</v>
      </c>
      <c r="F797" s="89" t="str">
        <v/>
      </c>
      <c r="G797" s="89" t="str">
        <f ca="1"/>
        <v/>
      </c>
    </row>
    <row r="798" spans="1:7" x14ac:dyDescent="0.3">
      <c r="A798" s="89" t="str">
        <v/>
      </c>
      <c r="B798" s="89" t="str">
        <v>Camiones Industriales Motorizados (PIT) (Todos)</v>
      </c>
      <c r="C798" s="90" t="str">
        <v/>
      </c>
      <c r="D798" s="89" t="str">
        <v>Periódica</v>
      </c>
      <c r="E798" s="89">
        <v>365</v>
      </c>
      <c r="F798" s="89" t="str">
        <v/>
      </c>
      <c r="G798" s="89" t="str">
        <f ca="1"/>
        <v/>
      </c>
    </row>
    <row r="799" spans="1:7" x14ac:dyDescent="0.3">
      <c r="A799" s="89" t="str">
        <v/>
      </c>
      <c r="B799" s="89" t="str">
        <v>Camiones Industriales Motorizados (PIT) (Op. Montacargas)</v>
      </c>
      <c r="C799" s="90" t="str">
        <v/>
      </c>
      <c r="D799" s="89" t="str">
        <v>Periódica</v>
      </c>
      <c r="E799" s="89">
        <v>365</v>
      </c>
      <c r="F799" s="89" t="str">
        <v/>
      </c>
      <c r="G799" s="89" t="str">
        <f ca="1"/>
        <v/>
      </c>
    </row>
    <row r="800" spans="1:7" x14ac:dyDescent="0.3">
      <c r="A800" s="89" t="str">
        <v/>
      </c>
      <c r="B800" s="89" t="str">
        <v>Control de Energias Peligrosas (LOTO) (Todos)</v>
      </c>
      <c r="C800" s="90" t="str">
        <v/>
      </c>
      <c r="D800" s="89" t="str">
        <v>Evento</v>
      </c>
      <c r="E800" s="89">
        <v>0</v>
      </c>
      <c r="F800" s="89" t="str">
        <v/>
      </c>
      <c r="G800" s="89" t="str">
        <f ca="1"/>
        <v/>
      </c>
    </row>
    <row r="801" spans="1:7" x14ac:dyDescent="0.3">
      <c r="A801" s="89" t="str">
        <v/>
      </c>
      <c r="B801" s="89" t="str">
        <v>Control de Energias Peligrosas (LOTO) (Empleados Autorizados)</v>
      </c>
      <c r="C801" s="90" t="str">
        <v/>
      </c>
      <c r="D801" s="89" t="str">
        <v>Periódica</v>
      </c>
      <c r="E801" s="89">
        <v>365</v>
      </c>
      <c r="F801" s="89" t="str">
        <v/>
      </c>
      <c r="G801" s="89" t="str">
        <f ca="1"/>
        <v/>
      </c>
    </row>
    <row r="802" spans="1:7" x14ac:dyDescent="0.3">
      <c r="A802" s="89" t="str">
        <v/>
      </c>
      <c r="B802" s="89" t="str">
        <v>Seguridad aplicada al Pozo &amp; Yacimiento</v>
      </c>
      <c r="C802" s="90" t="str">
        <v/>
      </c>
      <c r="D802" s="89" t="str">
        <v>Periódica</v>
      </c>
      <c r="E802" s="89">
        <v>365</v>
      </c>
      <c r="F802" s="89" t="str">
        <v/>
      </c>
      <c r="G802" s="89" t="str">
        <f ca="1"/>
        <v/>
      </c>
    </row>
    <row r="803" spans="1:7" x14ac:dyDescent="0.3">
      <c r="A803" s="89" t="str">
        <v/>
      </c>
      <c r="B803" s="89" t="str">
        <v>Las Reglas que Salvan Vidas</v>
      </c>
      <c r="C803" s="90" t="str">
        <v/>
      </c>
      <c r="D803" s="89" t="str">
        <v>Periódica</v>
      </c>
      <c r="E803" s="89">
        <v>365</v>
      </c>
      <c r="F803" s="89" t="str">
        <v/>
      </c>
      <c r="G803" s="89" t="str">
        <f ca="1"/>
        <v/>
      </c>
    </row>
    <row r="804" spans="1:7" x14ac:dyDescent="0.3">
      <c r="A804" s="89" t="str">
        <v/>
      </c>
      <c r="B804" s="89" t="str">
        <v xml:space="preserve">Resguardo de Maquinas &amp; Equipos </v>
      </c>
      <c r="C804" s="90" t="str">
        <v/>
      </c>
      <c r="D804" s="89" t="str">
        <v>Periódica</v>
      </c>
      <c r="E804" s="89">
        <v>365</v>
      </c>
      <c r="F804" s="89" t="str">
        <v/>
      </c>
      <c r="G804" s="89" t="str">
        <f ca="1"/>
        <v/>
      </c>
    </row>
    <row r="805" spans="1:7" x14ac:dyDescent="0.3">
      <c r="A805" s="89" t="str">
        <v/>
      </c>
      <c r="B805" s="89" t="str">
        <v>Conduccion y Gestion de Viajes (Todos)</v>
      </c>
      <c r="C805" s="90" t="str">
        <v/>
      </c>
      <c r="D805" s="89" t="str">
        <v>Periódica</v>
      </c>
      <c r="E805" s="89">
        <v>730</v>
      </c>
      <c r="F805" s="89" t="str">
        <v/>
      </c>
      <c r="G805" s="89" t="str">
        <f ca="1"/>
        <v/>
      </c>
    </row>
    <row r="806" spans="1:7" x14ac:dyDescent="0.3">
      <c r="A806" s="89" t="str">
        <v/>
      </c>
      <c r="B806" s="89" t="str">
        <v>Conduccion y Gestion de Viajes (Conductores)</v>
      </c>
      <c r="C806" s="90" t="str">
        <v/>
      </c>
      <c r="D806" s="89" t="str">
        <v>Periódica</v>
      </c>
      <c r="E806" s="89">
        <v>1095</v>
      </c>
      <c r="F806" s="89" t="str">
        <v/>
      </c>
      <c r="G806" s="89" t="str">
        <f ca="1"/>
        <v/>
      </c>
    </row>
    <row r="807" spans="1:7" x14ac:dyDescent="0.3">
      <c r="A807" s="89" t="str">
        <v/>
      </c>
      <c r="B807" s="89" t="str">
        <v>Patogenos Transmitidos por la Sangre</v>
      </c>
      <c r="C807" s="90" t="str">
        <v/>
      </c>
      <c r="D807" s="89" t="str">
        <v>Periódica</v>
      </c>
      <c r="E807" s="89">
        <v>365</v>
      </c>
      <c r="F807" s="89" t="str">
        <v/>
      </c>
      <c r="G807" s="89" t="str">
        <f ca="1"/>
        <v/>
      </c>
    </row>
    <row r="808" spans="1:7" x14ac:dyDescent="0.3">
      <c r="A808" s="89" t="str">
        <v/>
      </c>
      <c r="B808" s="89" t="str">
        <v>Conservacion Auditiva</v>
      </c>
      <c r="C808" s="90" t="str">
        <v/>
      </c>
      <c r="D808" s="89" t="str">
        <v>Periódica</v>
      </c>
      <c r="E808" s="89">
        <v>365</v>
      </c>
      <c r="F808" s="89" t="str">
        <v/>
      </c>
      <c r="G808" s="89" t="str">
        <f ca="1"/>
        <v/>
      </c>
    </row>
    <row r="809" spans="1:7" x14ac:dyDescent="0.3">
      <c r="A809" s="89" t="str">
        <v/>
      </c>
      <c r="B809" s="89" t="str">
        <v xml:space="preserve">Ergonomia //  / Levantamiento &amp; Seguridad en la Espalda </v>
      </c>
      <c r="C809" s="90" t="str">
        <v/>
      </c>
      <c r="D809" s="89" t="str">
        <v>Periódica</v>
      </c>
      <c r="E809" s="89">
        <v>365</v>
      </c>
      <c r="F809" s="89" t="str">
        <v/>
      </c>
      <c r="G809" s="89" t="str">
        <f ca="1"/>
        <v/>
      </c>
    </row>
    <row r="810" spans="1:7" x14ac:dyDescent="0.3">
      <c r="A810" s="89" t="str">
        <v/>
      </c>
      <c r="B810" s="89" t="str">
        <v>Superficies Elevadas (Todos)</v>
      </c>
      <c r="C810" s="90" t="str">
        <v/>
      </c>
      <c r="D810" s="89" t="str">
        <v>Periódica</v>
      </c>
      <c r="E810" s="89">
        <v>365</v>
      </c>
      <c r="F810" s="89" t="str">
        <v/>
      </c>
      <c r="G810" s="89" t="str">
        <f ca="1"/>
        <v/>
      </c>
    </row>
    <row r="811" spans="1:7" x14ac:dyDescent="0.3">
      <c r="A811" s="89" t="str">
        <v/>
      </c>
      <c r="B811" s="89" t="str">
        <v>Superficies Elevadas (Personal Habilitado)</v>
      </c>
      <c r="C811" s="90" t="str">
        <v/>
      </c>
      <c r="D811" s="89" t="str">
        <v>Periódica</v>
      </c>
      <c r="E811" s="89">
        <v>365</v>
      </c>
      <c r="F811" s="89" t="str">
        <v/>
      </c>
      <c r="G811" s="89" t="str">
        <f ca="1"/>
        <v/>
      </c>
    </row>
    <row r="812" spans="1:7" x14ac:dyDescent="0.3">
      <c r="A812" s="89" t="str">
        <v/>
      </c>
      <c r="B812" s="89" t="str">
        <v>Seguridad Quimica (Todos)</v>
      </c>
      <c r="C812" s="90" t="str">
        <v/>
      </c>
      <c r="D812" s="89" t="str">
        <v>Periódica</v>
      </c>
      <c r="E812" s="89">
        <v>730</v>
      </c>
      <c r="F812" s="89" t="str">
        <v/>
      </c>
      <c r="G812" s="89" t="str">
        <f ca="1"/>
        <v/>
      </c>
    </row>
    <row r="813" spans="1:7" x14ac:dyDescent="0.3">
      <c r="A813" s="89" t="str">
        <v/>
      </c>
      <c r="B813" s="89" t="str">
        <v>Seguridad Quimica (Mantenimiento)</v>
      </c>
      <c r="C813" s="90" t="str">
        <v/>
      </c>
      <c r="D813" s="89" t="str">
        <v>Periódica</v>
      </c>
      <c r="E813" s="89">
        <v>365</v>
      </c>
      <c r="F813" s="89" t="str">
        <v/>
      </c>
      <c r="G813" s="89" t="str">
        <f ca="1"/>
        <v/>
      </c>
    </row>
    <row r="814" spans="1:7" x14ac:dyDescent="0.3">
      <c r="A814" s="89" t="str">
        <v/>
      </c>
      <c r="B814" s="89" t="str">
        <v>Seguridad Quimica (Contratistas)</v>
      </c>
      <c r="C814" s="90" t="str">
        <v/>
      </c>
      <c r="D814" s="89" t="str">
        <v>Periódica</v>
      </c>
      <c r="E814" s="89">
        <v>365</v>
      </c>
      <c r="F814" s="89" t="str">
        <v/>
      </c>
      <c r="G814" s="89" t="str">
        <f ca="1"/>
        <v/>
      </c>
    </row>
    <row r="815" spans="1:7" x14ac:dyDescent="0.3">
      <c r="A815" s="89" t="str">
        <v/>
      </c>
      <c r="B815" s="89" t="str">
        <v>Seguridad para Trabajos en Caliente</v>
      </c>
      <c r="C815" s="90" t="str">
        <v/>
      </c>
      <c r="D815" s="89" t="str">
        <v>Periódica</v>
      </c>
      <c r="E815" s="89">
        <v>365</v>
      </c>
      <c r="F815" s="89" t="str">
        <v/>
      </c>
      <c r="G815" s="89" t="str">
        <f ca="1"/>
        <v/>
      </c>
    </row>
    <row r="816" spans="1:7" x14ac:dyDescent="0.3">
      <c r="A816" s="89" t="str">
        <v/>
      </c>
      <c r="B816" s="89" t="str">
        <v>Seguridad con la Radiacion</v>
      </c>
      <c r="C816" s="90" t="str">
        <v/>
      </c>
      <c r="D816" s="89" t="str">
        <v>Periódica</v>
      </c>
      <c r="E816" s="89">
        <v>365</v>
      </c>
      <c r="F816" s="89" t="str">
        <v/>
      </c>
      <c r="G816" s="89" t="str">
        <f ca="1"/>
        <v/>
      </c>
    </row>
    <row r="817" spans="1:7" x14ac:dyDescent="0.3">
      <c r="A817" s="89" t="str">
        <v/>
      </c>
      <c r="B817" s="89" t="str">
        <v>Equipo de Proteccion Personal (PPE)</v>
      </c>
      <c r="C817" s="90" t="str">
        <v/>
      </c>
      <c r="D817" s="89" t="str">
        <v>Periódica</v>
      </c>
      <c r="E817" s="89">
        <v>365</v>
      </c>
      <c r="F817" s="89" t="str">
        <v/>
      </c>
      <c r="G817" s="89" t="str">
        <f ca="1"/>
        <v/>
      </c>
    </row>
    <row r="818" spans="1:7" x14ac:dyDescent="0.3">
      <c r="A818" s="89" t="str">
        <v/>
      </c>
      <c r="B818" s="89" t="str">
        <v>Proteccion Respiratoria</v>
      </c>
      <c r="C818" s="90" t="str">
        <v/>
      </c>
      <c r="D818" s="89" t="str">
        <v>Periódica</v>
      </c>
      <c r="E818" s="89">
        <v>365</v>
      </c>
      <c r="F818" s="89" t="str">
        <v/>
      </c>
      <c r="G818" s="89" t="str">
        <f ca="1"/>
        <v/>
      </c>
    </row>
    <row r="819" spans="1:7" x14ac:dyDescent="0.3">
      <c r="A819" s="89" t="str">
        <v/>
      </c>
      <c r="B819" s="89" t="str">
        <v xml:space="preserve">Seguridad con Escaleras </v>
      </c>
      <c r="C819" s="90" t="str">
        <v/>
      </c>
      <c r="D819" s="89" t="str">
        <v>Periódica</v>
      </c>
      <c r="E819" s="89">
        <v>365</v>
      </c>
      <c r="F819" s="89" t="str">
        <v/>
      </c>
      <c r="G819" s="89" t="str">
        <f ca="1"/>
        <v/>
      </c>
    </row>
    <row r="820" spans="1:7" x14ac:dyDescent="0.3">
      <c r="A820" s="89" t="str">
        <v/>
      </c>
      <c r="B820" s="89" t="str">
        <v>Seguridad con Escaleras // Estantes de Almacenamiento</v>
      </c>
      <c r="C820" s="90" t="str">
        <v/>
      </c>
      <c r="D820" s="89" t="str">
        <v>Periódica</v>
      </c>
      <c r="E820" s="89">
        <v>365</v>
      </c>
      <c r="F820" s="89" t="str">
        <v/>
      </c>
      <c r="G820" s="89" t="str">
        <f ca="1"/>
        <v/>
      </c>
    </row>
    <row r="821" spans="1:7" x14ac:dyDescent="0.3">
      <c r="A821" s="89" t="str">
        <v/>
      </c>
      <c r="B821" s="89" t="str">
        <v>Responsabilidades del Supervisor</v>
      </c>
      <c r="C821" s="90" t="str">
        <v/>
      </c>
      <c r="D821" s="89" t="str">
        <v>Periódica</v>
      </c>
      <c r="E821" s="89">
        <v>365</v>
      </c>
      <c r="F821" s="89" t="str">
        <v/>
      </c>
      <c r="G821" s="89" t="str">
        <f ca="1"/>
        <v/>
      </c>
    </row>
    <row r="822" spans="1:7" x14ac:dyDescent="0.3">
      <c r="A822" s="89" t="str">
        <v/>
      </c>
      <c r="B822" s="89" t="str">
        <v>Espacios Confinados (Todos)</v>
      </c>
      <c r="C822" s="90" t="str">
        <v/>
      </c>
      <c r="D822" s="89" t="str">
        <v>Periódica</v>
      </c>
      <c r="E822" s="89">
        <v>365</v>
      </c>
      <c r="F822" s="89" t="str">
        <v/>
      </c>
      <c r="G822" s="89" t="str">
        <f ca="1"/>
        <v/>
      </c>
    </row>
    <row r="823" spans="1:7" x14ac:dyDescent="0.3">
      <c r="A823" s="89" t="str">
        <v/>
      </c>
      <c r="B823" s="89" t="str">
        <v>HSMS.017 / Espacios Confinados (Entrantes)</v>
      </c>
      <c r="C823" s="90" t="str">
        <v/>
      </c>
      <c r="D823" s="89" t="str">
        <v>Evento</v>
      </c>
      <c r="E823" s="89">
        <v>0</v>
      </c>
      <c r="F823" s="89" t="str">
        <v/>
      </c>
      <c r="G823" s="89" t="str">
        <f ca="1"/>
        <v/>
      </c>
    </row>
    <row r="824" spans="1:7" x14ac:dyDescent="0.3">
      <c r="A824" s="89" t="str">
        <v/>
      </c>
      <c r="B824" s="89" t="str">
        <v>Programa de Agua (Todos)</v>
      </c>
      <c r="C824" s="90" t="str">
        <v/>
      </c>
      <c r="D824" s="89" t="str">
        <v>Evento</v>
      </c>
      <c r="E824" s="89">
        <v>0</v>
      </c>
      <c r="F824" s="89" t="str">
        <v/>
      </c>
      <c r="G824" s="89" t="str">
        <f ca="1"/>
        <v/>
      </c>
    </row>
    <row r="825" spans="1:7" x14ac:dyDescent="0.3">
      <c r="A825" s="89" t="str">
        <v/>
      </c>
      <c r="B825" s="89" t="str">
        <v>Programa de Agua (HSE)</v>
      </c>
      <c r="C825" s="90" t="str">
        <v/>
      </c>
      <c r="D825" s="89" t="str">
        <v>Evento</v>
      </c>
      <c r="E825" s="89">
        <v>0</v>
      </c>
      <c r="F825" s="89" t="str">
        <v/>
      </c>
      <c r="G825" s="89" t="str">
        <f ca="1"/>
        <v/>
      </c>
    </row>
    <row r="826" spans="1:7" x14ac:dyDescent="0.3">
      <c r="A826" s="89" t="str">
        <v/>
      </c>
      <c r="B826" s="89" t="str">
        <v>HIV/SIDA y otras enfermedades de transmisión sexual (ETS)</v>
      </c>
      <c r="C826" s="90" t="str">
        <v/>
      </c>
      <c r="D826" s="89" t="str">
        <v>Periódica</v>
      </c>
      <c r="E826" s="89">
        <v>365</v>
      </c>
      <c r="F826" s="89" t="str">
        <v/>
      </c>
      <c r="G826" s="89" t="str">
        <f ca="1"/>
        <v/>
      </c>
    </row>
    <row r="827" spans="1:7" x14ac:dyDescent="0.3">
      <c r="A827" s="89" t="str">
        <v/>
      </c>
      <c r="B827" s="89" t="str">
        <v>Drogas de abuso (concientización y prevención)</v>
      </c>
      <c r="C827" s="90" t="str">
        <v/>
      </c>
      <c r="D827" s="89" t="str">
        <v>Periódica</v>
      </c>
      <c r="E827" s="89">
        <v>365</v>
      </c>
      <c r="F827" s="89" t="str">
        <v/>
      </c>
      <c r="G827" s="89" t="str">
        <f ca="1"/>
        <v/>
      </c>
    </row>
    <row r="828" spans="1:7" x14ac:dyDescent="0.3">
      <c r="A828" s="89" t="str">
        <v/>
      </c>
      <c r="B828" s="89" t="str">
        <v>Vida saludable (hábitos, autocuidado y bienestar)</v>
      </c>
      <c r="C828" s="90" t="str">
        <v/>
      </c>
      <c r="D828" s="89" t="str">
        <v>Periódica</v>
      </c>
      <c r="E828" s="89">
        <v>365</v>
      </c>
      <c r="F828" s="89" t="str">
        <v/>
      </c>
      <c r="G828" s="89" t="str">
        <f ca="1"/>
        <v/>
      </c>
    </row>
    <row r="829" spans="1:7" x14ac:dyDescent="0.3">
      <c r="A829" s="89" t="str">
        <v/>
      </c>
      <c r="B829" s="89" t="str">
        <v>Primeros auxilios y Reanimación Cardio Pulmonar (RCP)</v>
      </c>
      <c r="C829" s="90" t="str">
        <v/>
      </c>
      <c r="D829" s="89" t="str">
        <v>Periódica</v>
      </c>
      <c r="E829" s="89">
        <v>365</v>
      </c>
      <c r="F829" s="89" t="str">
        <v/>
      </c>
      <c r="G829" s="89" t="str">
        <f ca="1"/>
        <v/>
      </c>
    </row>
    <row r="830" spans="1:7" x14ac:dyDescent="0.3">
      <c r="A830" s="89" t="str">
        <v/>
      </c>
      <c r="B830" s="89" t="str">
        <v>Prevención cardiovascular (factores de riesgo y señales de alarma)</v>
      </c>
      <c r="C830" s="90" t="str">
        <v/>
      </c>
      <c r="D830" s="89" t="str">
        <v>Periódica</v>
      </c>
      <c r="E830" s="89">
        <v>365</v>
      </c>
      <c r="F830" s="89" t="str">
        <v/>
      </c>
      <c r="G830" s="89" t="str">
        <f ca="1"/>
        <v/>
      </c>
    </row>
    <row r="831" spans="1:7" x14ac:dyDescent="0.3">
      <c r="A831" s="89" t="str">
        <v/>
      </c>
      <c r="B831" s="89" t="str">
        <v>Efectos del tabaco sobre la salud</v>
      </c>
      <c r="C831" s="90" t="str">
        <v/>
      </c>
      <c r="D831" s="89" t="str">
        <v>Periódica</v>
      </c>
      <c r="E831" s="89">
        <v>365</v>
      </c>
      <c r="F831" s="89" t="str">
        <v/>
      </c>
      <c r="G831" s="89" t="str">
        <f ca="1"/>
        <v/>
      </c>
    </row>
    <row r="832" spans="1:7" x14ac:dyDescent="0.3">
      <c r="A832" s="89" t="str">
        <v/>
      </c>
      <c r="B832" s="89" t="str">
        <v>Cargadora (Op. Montacargas)</v>
      </c>
      <c r="C832" s="90" t="str">
        <v/>
      </c>
      <c r="D832" s="89" t="str">
        <v>Periódica</v>
      </c>
      <c r="E832" s="89">
        <v>365</v>
      </c>
      <c r="F832" s="89" t="str">
        <v/>
      </c>
      <c r="G832" s="89" t="str">
        <f ca="1"/>
        <v/>
      </c>
    </row>
    <row r="833" spans="1:7" x14ac:dyDescent="0.3">
      <c r="A833" s="89" t="str">
        <v/>
      </c>
      <c r="B833" s="89">
        <v>0</v>
      </c>
      <c r="C833" s="90" t="str">
        <v/>
      </c>
      <c r="D833" s="89" t="str">
        <v/>
      </c>
      <c r="E833" s="89" t="str">
        <v/>
      </c>
      <c r="F833" s="89" t="str">
        <v/>
      </c>
      <c r="G833" s="89" t="str">
        <f ca="1"/>
        <v/>
      </c>
    </row>
    <row r="834" spans="1:7" x14ac:dyDescent="0.3">
      <c r="A834" s="89" t="str">
        <v/>
      </c>
      <c r="B834" s="89">
        <v>0</v>
      </c>
      <c r="C834" s="90" t="str">
        <v/>
      </c>
      <c r="D834" s="89" t="str">
        <v/>
      </c>
      <c r="E834" s="89" t="str">
        <v/>
      </c>
      <c r="F834" s="89" t="str">
        <v/>
      </c>
      <c r="G834" s="89" t="str">
        <f ca="1"/>
        <v/>
      </c>
    </row>
    <row r="835" spans="1:7" x14ac:dyDescent="0.3">
      <c r="A835" s="89" t="str">
        <v/>
      </c>
      <c r="B835" s="89">
        <v>0</v>
      </c>
      <c r="C835" s="90" t="str">
        <v/>
      </c>
      <c r="D835" s="89" t="str">
        <v/>
      </c>
      <c r="E835" s="89" t="str">
        <v/>
      </c>
      <c r="F835" s="89" t="str">
        <v/>
      </c>
      <c r="G835" s="89" t="str">
        <f ca="1"/>
        <v/>
      </c>
    </row>
    <row r="836" spans="1:7" x14ac:dyDescent="0.3">
      <c r="A836" s="89" t="str">
        <v/>
      </c>
      <c r="B836" s="89">
        <v>0</v>
      </c>
      <c r="C836" s="90" t="str">
        <v/>
      </c>
      <c r="D836" s="89" t="str">
        <v/>
      </c>
      <c r="E836" s="89" t="str">
        <v/>
      </c>
      <c r="F836" s="89" t="str">
        <v/>
      </c>
      <c r="G836" s="89" t="str">
        <f ca="1"/>
        <v/>
      </c>
    </row>
    <row r="837" spans="1:7" x14ac:dyDescent="0.3">
      <c r="A837" s="89" t="str">
        <v/>
      </c>
      <c r="B837" s="89">
        <v>0</v>
      </c>
      <c r="C837" s="90" t="str">
        <v/>
      </c>
      <c r="D837" s="89" t="str">
        <v/>
      </c>
      <c r="E837" s="89" t="str">
        <v/>
      </c>
      <c r="F837" s="89" t="str">
        <v/>
      </c>
      <c r="G837" s="89" t="str">
        <f ca="1"/>
        <v/>
      </c>
    </row>
    <row r="838" spans="1:7" x14ac:dyDescent="0.3">
      <c r="A838" s="89" t="str">
        <v/>
      </c>
      <c r="B838" s="89">
        <v>0</v>
      </c>
      <c r="C838" s="90" t="str">
        <v/>
      </c>
      <c r="D838" s="89" t="str">
        <v/>
      </c>
      <c r="E838" s="89" t="str">
        <v/>
      </c>
      <c r="F838" s="89" t="str">
        <v/>
      </c>
      <c r="G838" s="89" t="str">
        <f ca="1"/>
        <v/>
      </c>
    </row>
    <row r="839" spans="1:7" x14ac:dyDescent="0.3">
      <c r="A839" s="89" t="str">
        <v/>
      </c>
      <c r="B839" s="89">
        <v>0</v>
      </c>
      <c r="C839" s="90" t="str">
        <v/>
      </c>
      <c r="D839" s="89" t="str">
        <v/>
      </c>
      <c r="E839" s="89" t="str">
        <v/>
      </c>
      <c r="F839" s="89" t="str">
        <v/>
      </c>
      <c r="G839" s="89" t="str">
        <f ca="1"/>
        <v/>
      </c>
    </row>
    <row r="840" spans="1:7" x14ac:dyDescent="0.3">
      <c r="A840" s="89" t="str">
        <v/>
      </c>
      <c r="B840" s="89">
        <v>0</v>
      </c>
      <c r="C840" s="90" t="str">
        <v/>
      </c>
      <c r="D840" s="89" t="str">
        <v/>
      </c>
      <c r="E840" s="89" t="str">
        <v/>
      </c>
      <c r="F840" s="89" t="str">
        <v/>
      </c>
      <c r="G840" s="89" t="str">
        <f ca="1"/>
        <v/>
      </c>
    </row>
    <row r="841" spans="1:7" x14ac:dyDescent="0.3">
      <c r="A841" s="89" t="str">
        <v/>
      </c>
      <c r="B841" s="89">
        <v>0</v>
      </c>
      <c r="C841" s="90" t="str">
        <v/>
      </c>
      <c r="D841" s="89" t="str">
        <v/>
      </c>
      <c r="E841" s="89" t="str">
        <v/>
      </c>
      <c r="F841" s="89" t="str">
        <v/>
      </c>
      <c r="G841" s="89" t="str">
        <f ca="1"/>
        <v/>
      </c>
    </row>
    <row r="842" spans="1:7" x14ac:dyDescent="0.3">
      <c r="A842" s="89" t="str">
        <v/>
      </c>
      <c r="B842" s="89" t="str">
        <v>Programa de Aire</v>
      </c>
      <c r="C842" s="90" t="str">
        <v/>
      </c>
      <c r="D842" s="89" t="str">
        <v>Evento</v>
      </c>
      <c r="E842" s="89">
        <v>0</v>
      </c>
      <c r="F842" s="89" t="str">
        <v/>
      </c>
      <c r="G842" s="89" t="str">
        <f ca="1"/>
        <v/>
      </c>
    </row>
    <row r="843" spans="1:7" x14ac:dyDescent="0.3">
      <c r="A843" s="89" t="str">
        <v/>
      </c>
      <c r="B843" s="89" t="str">
        <v>Conciencia Ambiental</v>
      </c>
      <c r="C843" s="90" t="str">
        <v/>
      </c>
      <c r="D843" s="89" t="str">
        <v>Periódica</v>
      </c>
      <c r="E843" s="89">
        <v>365</v>
      </c>
      <c r="F843" s="89" t="str">
        <v/>
      </c>
      <c r="G843" s="89" t="str">
        <f ca="1"/>
        <v/>
      </c>
    </row>
    <row r="844" spans="1:7" x14ac:dyDescent="0.3">
      <c r="A844" s="89" t="str">
        <v/>
      </c>
      <c r="B844" s="89" t="str">
        <v xml:space="preserve">Control de Documentos e Informacion de HSE </v>
      </c>
      <c r="C844" s="90" t="str">
        <v/>
      </c>
      <c r="D844" s="89" t="str">
        <v>Evento</v>
      </c>
      <c r="E844" s="89">
        <v>0</v>
      </c>
      <c r="F844" s="89" t="str">
        <v/>
      </c>
      <c r="G844" s="89" t="str">
        <f ca="1"/>
        <v/>
      </c>
    </row>
    <row r="845" spans="1:7" x14ac:dyDescent="0.3">
      <c r="A845" s="89" t="str">
        <v/>
      </c>
      <c r="B845" s="89" t="str">
        <v xml:space="preserve"> Acciones Correctivas y Preventivas (CAPA)</v>
      </c>
      <c r="C845" s="90" t="str">
        <v/>
      </c>
      <c r="D845" s="89" t="str">
        <v>Evento</v>
      </c>
      <c r="E845" s="89">
        <v>0</v>
      </c>
      <c r="F845" s="89" t="str">
        <v/>
      </c>
      <c r="G845" s="89" t="str">
        <f ca="1"/>
        <v/>
      </c>
    </row>
    <row r="846" spans="1:7" x14ac:dyDescent="0.3">
      <c r="A846" s="89" t="str">
        <v/>
      </c>
      <c r="B846" s="89" t="str">
        <v>Seguridad Basada en el Comportamiento (Observation Program) // HSMS.043 / Autoridad de Detener el Trabajo</v>
      </c>
      <c r="C846" s="90" t="str">
        <v/>
      </c>
      <c r="D846" s="89" t="str">
        <v>Periódica</v>
      </c>
      <c r="E846" s="89">
        <v>365</v>
      </c>
      <c r="F846" s="89" t="str">
        <v/>
      </c>
      <c r="G846" s="89" t="str">
        <f ca="1"/>
        <v/>
      </c>
    </row>
    <row r="847" spans="1:7" x14ac:dyDescent="0.3">
      <c r="A847" s="89" t="str">
        <v/>
      </c>
      <c r="B847" s="89" t="str">
        <v>Identificacion de Peligros y Evaluacion de Riesgos</v>
      </c>
      <c r="C847" s="90" t="str">
        <v/>
      </c>
      <c r="D847" s="89" t="str">
        <v>Evento</v>
      </c>
      <c r="E847" s="89">
        <v>0</v>
      </c>
      <c r="F847" s="89" t="str">
        <v/>
      </c>
      <c r="G847" s="89" t="str">
        <f ca="1"/>
        <v/>
      </c>
    </row>
    <row r="848" spans="1:7" x14ac:dyDescent="0.3">
      <c r="A848" s="89" t="str">
        <v/>
      </c>
      <c r="B848" s="89" t="str">
        <v xml:space="preserve"> Plan de Respuesta ante Eemergencias / HSMS.010 /Primeros Axulios &amp; RCP/DEA / HSMSWT-002 / Patogenos Trasnmitidos por la Sangre</v>
      </c>
      <c r="C848" s="90" t="str">
        <v/>
      </c>
      <c r="D848" s="89" t="str">
        <v>Periódica</v>
      </c>
      <c r="E848" s="89">
        <v>365</v>
      </c>
      <c r="F848" s="89" t="str">
        <v/>
      </c>
      <c r="G848" s="89" t="str">
        <f ca="1"/>
        <v/>
      </c>
    </row>
    <row r="849" spans="1:7" x14ac:dyDescent="0.3">
      <c r="A849" s="89" t="str">
        <v/>
      </c>
      <c r="B849" s="89" t="str">
        <v>Reporte y Gestion de Incidentes HSE (Todos)</v>
      </c>
      <c r="C849" s="90" t="str">
        <v/>
      </c>
      <c r="D849" s="89" t="str">
        <v>Periódica</v>
      </c>
      <c r="E849" s="89">
        <v>365</v>
      </c>
      <c r="F849" s="89" t="str">
        <v/>
      </c>
      <c r="G849" s="89" t="str">
        <f ca="1"/>
        <v/>
      </c>
    </row>
    <row r="850" spans="1:7" x14ac:dyDescent="0.3">
      <c r="A850" s="89" t="str">
        <v/>
      </c>
      <c r="B850" s="89" t="str">
        <v>Reporte, Gestion e Investigacion de Incidentes HSE (supervisores / investigadores (rol))</v>
      </c>
      <c r="C850" s="90" t="str">
        <v/>
      </c>
      <c r="D850" s="89" t="str">
        <v>Periódica</v>
      </c>
      <c r="E850" s="89">
        <v>1095</v>
      </c>
      <c r="F850" s="89" t="str">
        <v/>
      </c>
      <c r="G850" s="89" t="str">
        <f ca="1"/>
        <v/>
      </c>
    </row>
    <row r="851" spans="1:7" x14ac:dyDescent="0.3">
      <c r="A851" s="89" t="str">
        <v/>
      </c>
      <c r="B851" s="89" t="str">
        <v>Gruas y Equipos de Izaje (Todos)</v>
      </c>
      <c r="C851" s="90" t="str">
        <v/>
      </c>
      <c r="D851" s="89" t="str">
        <v>Periódica</v>
      </c>
      <c r="E851" s="89">
        <v>365</v>
      </c>
      <c r="F851" s="89" t="str">
        <v/>
      </c>
      <c r="G851" s="89" t="str">
        <f ca="1"/>
        <v/>
      </c>
    </row>
    <row r="852" spans="1:7" x14ac:dyDescent="0.3">
      <c r="A852" s="89" t="str">
        <v/>
      </c>
      <c r="B852" s="89" t="str">
        <v>HSMS.007 / Gruas y Equipos de Izaje (Operadores)</v>
      </c>
      <c r="C852" s="90" t="str">
        <v/>
      </c>
      <c r="D852" s="89" t="str">
        <v>Periódica</v>
      </c>
      <c r="E852" s="89">
        <v>365</v>
      </c>
      <c r="F852" s="89" t="str">
        <v/>
      </c>
      <c r="G852" s="89" t="str">
        <f ca="1"/>
        <v/>
      </c>
    </row>
    <row r="853" spans="1:7" x14ac:dyDescent="0.3">
      <c r="A853" s="89" t="str">
        <v/>
      </c>
      <c r="B853" s="89" t="str">
        <v>Proteccion Contra Incendios (Todos)</v>
      </c>
      <c r="C853" s="90" t="str">
        <v/>
      </c>
      <c r="D853" s="89" t="str">
        <v>Periódica</v>
      </c>
      <c r="E853" s="89">
        <v>365</v>
      </c>
      <c r="F853" s="89" t="str">
        <v/>
      </c>
      <c r="G853" s="89" t="str">
        <f ca="1"/>
        <v/>
      </c>
    </row>
    <row r="854" spans="1:7" x14ac:dyDescent="0.3">
      <c r="A854" s="89" t="str">
        <v/>
      </c>
      <c r="B854" s="89" t="str">
        <v>Proteccion Contra Incendios (Brigadistas)</v>
      </c>
      <c r="C854" s="90" t="str">
        <v/>
      </c>
      <c r="D854" s="89" t="str">
        <v>Periódica</v>
      </c>
      <c r="E854" s="89">
        <v>365</v>
      </c>
      <c r="F854" s="89" t="str">
        <v/>
      </c>
      <c r="G854" s="89" t="str">
        <f ca="1"/>
        <v/>
      </c>
    </row>
    <row r="855" spans="1:7" x14ac:dyDescent="0.3">
      <c r="A855" s="89" t="str">
        <v/>
      </c>
      <c r="B855" s="89" t="str">
        <v>Primeros Auxilios (Brigadistas)</v>
      </c>
      <c r="C855" s="90" t="str">
        <v/>
      </c>
      <c r="D855" s="89" t="str">
        <v>Periódica</v>
      </c>
      <c r="E855" s="89">
        <v>365</v>
      </c>
      <c r="F855" s="89" t="str">
        <v/>
      </c>
      <c r="G855" s="89" t="str">
        <f ca="1"/>
        <v/>
      </c>
    </row>
    <row r="856" spans="1:7" x14ac:dyDescent="0.3">
      <c r="A856" s="89" t="str">
        <v/>
      </c>
      <c r="B856" s="89" t="str">
        <v>Seguridad Electrica (Todos)</v>
      </c>
      <c r="C856" s="90" t="str">
        <v/>
      </c>
      <c r="D856" s="89" t="str">
        <v>Periódica</v>
      </c>
      <c r="E856" s="89">
        <v>365</v>
      </c>
      <c r="F856" s="89" t="str">
        <v/>
      </c>
      <c r="G856" s="89" t="str">
        <f ca="1"/>
        <v/>
      </c>
    </row>
    <row r="857" spans="1:7" x14ac:dyDescent="0.3">
      <c r="A857" s="89" t="str">
        <v/>
      </c>
      <c r="B857" s="89" t="str">
        <v>Seguridad Electrica (Personal Autorizado)</v>
      </c>
      <c r="C857" s="90" t="str">
        <v/>
      </c>
      <c r="D857" s="89" t="str">
        <v>Periódica</v>
      </c>
      <c r="E857" s="89">
        <v>1095</v>
      </c>
      <c r="F857" s="89" t="str">
        <v/>
      </c>
      <c r="G857" s="89" t="str">
        <f ca="1"/>
        <v/>
      </c>
    </row>
    <row r="858" spans="1:7" x14ac:dyDescent="0.3">
      <c r="A858" s="89" t="str">
        <v/>
      </c>
      <c r="B858" s="89" t="str">
        <v>Camiones Industriales Motorizados (PIT) (Todos)</v>
      </c>
      <c r="C858" s="90" t="str">
        <v/>
      </c>
      <c r="D858" s="89" t="str">
        <v>Periódica</v>
      </c>
      <c r="E858" s="89">
        <v>365</v>
      </c>
      <c r="F858" s="89" t="str">
        <v/>
      </c>
      <c r="G858" s="89" t="str">
        <f ca="1"/>
        <v/>
      </c>
    </row>
    <row r="859" spans="1:7" x14ac:dyDescent="0.3">
      <c r="A859" s="89" t="str">
        <v/>
      </c>
      <c r="B859" s="89" t="str">
        <v>Camiones Industriales Motorizados (PIT) (Op. Montacargas)</v>
      </c>
      <c r="C859" s="90" t="str">
        <v/>
      </c>
      <c r="D859" s="89" t="str">
        <v>Periódica</v>
      </c>
      <c r="E859" s="89">
        <v>365</v>
      </c>
      <c r="F859" s="89" t="str">
        <v/>
      </c>
      <c r="G859" s="89" t="str">
        <f ca="1"/>
        <v/>
      </c>
    </row>
    <row r="860" spans="1:7" x14ac:dyDescent="0.3">
      <c r="A860" s="89" t="str">
        <v/>
      </c>
      <c r="B860" s="89" t="str">
        <v>Control de Energias Peligrosas (LOTO) (Todos)</v>
      </c>
      <c r="C860" s="90" t="str">
        <v/>
      </c>
      <c r="D860" s="89" t="str">
        <v>Evento</v>
      </c>
      <c r="E860" s="89">
        <v>0</v>
      </c>
      <c r="F860" s="89" t="str">
        <v/>
      </c>
      <c r="G860" s="89" t="str">
        <f ca="1"/>
        <v/>
      </c>
    </row>
    <row r="861" spans="1:7" x14ac:dyDescent="0.3">
      <c r="A861" s="89" t="str">
        <v/>
      </c>
      <c r="B861" s="89" t="str">
        <v>Control de Energias Peligrosas (LOTO) (Empleados Autorizados)</v>
      </c>
      <c r="C861" s="90" t="str">
        <v/>
      </c>
      <c r="D861" s="89" t="str">
        <v>Periódica</v>
      </c>
      <c r="E861" s="89">
        <v>365</v>
      </c>
      <c r="F861" s="89" t="str">
        <v/>
      </c>
      <c r="G861" s="89" t="str">
        <f ca="1"/>
        <v/>
      </c>
    </row>
    <row r="862" spans="1:7" x14ac:dyDescent="0.3">
      <c r="A862" s="89" t="str">
        <v/>
      </c>
      <c r="B862" s="89" t="str">
        <v>Seguridad aplicada al Pozo &amp; Yacimiento</v>
      </c>
      <c r="C862" s="90" t="str">
        <v/>
      </c>
      <c r="D862" s="89" t="str">
        <v>Periódica</v>
      </c>
      <c r="E862" s="89">
        <v>365</v>
      </c>
      <c r="F862" s="89" t="str">
        <v/>
      </c>
      <c r="G862" s="89" t="str">
        <f ca="1"/>
        <v/>
      </c>
    </row>
    <row r="863" spans="1:7" x14ac:dyDescent="0.3">
      <c r="A863" s="89" t="str">
        <v/>
      </c>
      <c r="B863" s="89" t="str">
        <v>Las Reglas que Salvan Vidas</v>
      </c>
      <c r="C863" s="90" t="str">
        <v/>
      </c>
      <c r="D863" s="89" t="str">
        <v>Periódica</v>
      </c>
      <c r="E863" s="89">
        <v>365</v>
      </c>
      <c r="F863" s="89" t="str">
        <v/>
      </c>
      <c r="G863" s="89" t="str">
        <f ca="1"/>
        <v/>
      </c>
    </row>
    <row r="864" spans="1:7" x14ac:dyDescent="0.3">
      <c r="A864" s="89" t="str">
        <v/>
      </c>
      <c r="B864" s="89" t="str">
        <v xml:space="preserve">Resguardo de Maquinas &amp; Equipos </v>
      </c>
      <c r="C864" s="90" t="str">
        <v/>
      </c>
      <c r="D864" s="89" t="str">
        <v>Periódica</v>
      </c>
      <c r="E864" s="89">
        <v>365</v>
      </c>
      <c r="F864" s="89" t="str">
        <v/>
      </c>
      <c r="G864" s="89" t="str">
        <f ca="1"/>
        <v/>
      </c>
    </row>
    <row r="865" spans="1:7" x14ac:dyDescent="0.3">
      <c r="A865" s="89" t="str">
        <v/>
      </c>
      <c r="B865" s="89" t="str">
        <v>Conduccion y Gestion de Viajes (Todos)</v>
      </c>
      <c r="C865" s="90" t="str">
        <v/>
      </c>
      <c r="D865" s="89" t="str">
        <v>Periódica</v>
      </c>
      <c r="E865" s="89">
        <v>730</v>
      </c>
      <c r="F865" s="89" t="str">
        <v/>
      </c>
      <c r="G865" s="89" t="str">
        <f ca="1"/>
        <v/>
      </c>
    </row>
    <row r="866" spans="1:7" x14ac:dyDescent="0.3">
      <c r="A866" s="89" t="str">
        <v/>
      </c>
      <c r="B866" s="89" t="str">
        <v>Conduccion y Gestion de Viajes (Conductores)</v>
      </c>
      <c r="C866" s="90" t="str">
        <v/>
      </c>
      <c r="D866" s="89" t="str">
        <v>Periódica</v>
      </c>
      <c r="E866" s="89">
        <v>1095</v>
      </c>
      <c r="F866" s="89" t="str">
        <v/>
      </c>
      <c r="G866" s="89" t="str">
        <f ca="1"/>
        <v/>
      </c>
    </row>
    <row r="867" spans="1:7" x14ac:dyDescent="0.3">
      <c r="A867" s="89" t="str">
        <v/>
      </c>
      <c r="B867" s="89" t="str">
        <v>Patogenos Transmitidos por la Sangre</v>
      </c>
      <c r="C867" s="90" t="str">
        <v/>
      </c>
      <c r="D867" s="89" t="str">
        <v>Periódica</v>
      </c>
      <c r="E867" s="89">
        <v>365</v>
      </c>
      <c r="F867" s="89" t="str">
        <v/>
      </c>
      <c r="G867" s="89" t="str">
        <f ca="1"/>
        <v/>
      </c>
    </row>
    <row r="868" spans="1:7" x14ac:dyDescent="0.3">
      <c r="A868" s="89" t="str">
        <v/>
      </c>
      <c r="B868" s="89" t="str">
        <v>Conservacion Auditiva</v>
      </c>
      <c r="C868" s="90" t="str">
        <v/>
      </c>
      <c r="D868" s="89" t="str">
        <v>Periódica</v>
      </c>
      <c r="E868" s="89">
        <v>365</v>
      </c>
      <c r="F868" s="89" t="str">
        <v/>
      </c>
      <c r="G868" s="89" t="str">
        <f ca="1"/>
        <v/>
      </c>
    </row>
    <row r="869" spans="1:7" x14ac:dyDescent="0.3">
      <c r="A869" s="89" t="str">
        <v/>
      </c>
      <c r="B869" s="89" t="str">
        <v xml:space="preserve">Ergonomia //  / Levantamiento &amp; Seguridad en la Espalda </v>
      </c>
      <c r="C869" s="90" t="str">
        <v/>
      </c>
      <c r="D869" s="89" t="str">
        <v>Periódica</v>
      </c>
      <c r="E869" s="89">
        <v>365</v>
      </c>
      <c r="F869" s="89" t="str">
        <v/>
      </c>
      <c r="G869" s="89" t="str">
        <f ca="1"/>
        <v/>
      </c>
    </row>
    <row r="870" spans="1:7" x14ac:dyDescent="0.3">
      <c r="A870" s="89" t="str">
        <v/>
      </c>
      <c r="B870" s="89" t="str">
        <v>Superficies Elevadas (Todos)</v>
      </c>
      <c r="C870" s="90" t="str">
        <v/>
      </c>
      <c r="D870" s="89" t="str">
        <v>Periódica</v>
      </c>
      <c r="E870" s="89">
        <v>365</v>
      </c>
      <c r="F870" s="89" t="str">
        <v/>
      </c>
      <c r="G870" s="89" t="str">
        <f ca="1"/>
        <v/>
      </c>
    </row>
    <row r="871" spans="1:7" x14ac:dyDescent="0.3">
      <c r="A871" s="89" t="str">
        <v/>
      </c>
      <c r="B871" s="89" t="str">
        <v>Superficies Elevadas (Personal Habilitado)</v>
      </c>
      <c r="C871" s="90" t="str">
        <v/>
      </c>
      <c r="D871" s="89" t="str">
        <v>Periódica</v>
      </c>
      <c r="E871" s="89">
        <v>365</v>
      </c>
      <c r="F871" s="89" t="str">
        <v/>
      </c>
      <c r="G871" s="89" t="str">
        <f ca="1"/>
        <v/>
      </c>
    </row>
    <row r="872" spans="1:7" x14ac:dyDescent="0.3">
      <c r="A872" s="89" t="str">
        <v/>
      </c>
      <c r="B872" s="89" t="str">
        <v>Seguridad Quimica (Todos)</v>
      </c>
      <c r="C872" s="90" t="str">
        <v/>
      </c>
      <c r="D872" s="89" t="str">
        <v>Periódica</v>
      </c>
      <c r="E872" s="89">
        <v>730</v>
      </c>
      <c r="F872" s="89" t="str">
        <v/>
      </c>
      <c r="G872" s="89" t="str">
        <f ca="1"/>
        <v/>
      </c>
    </row>
    <row r="873" spans="1:7" x14ac:dyDescent="0.3">
      <c r="A873" s="89" t="str">
        <v/>
      </c>
      <c r="B873" s="89" t="str">
        <v>Seguridad Quimica (Mantenimiento)</v>
      </c>
      <c r="C873" s="90" t="str">
        <v/>
      </c>
      <c r="D873" s="89" t="str">
        <v>Periódica</v>
      </c>
      <c r="E873" s="89">
        <v>365</v>
      </c>
      <c r="F873" s="89" t="str">
        <v/>
      </c>
      <c r="G873" s="89" t="str">
        <f ca="1"/>
        <v/>
      </c>
    </row>
    <row r="874" spans="1:7" x14ac:dyDescent="0.3">
      <c r="A874" s="89" t="str">
        <v/>
      </c>
      <c r="B874" s="89" t="str">
        <v>Seguridad Quimica (Contratistas)</v>
      </c>
      <c r="C874" s="90" t="str">
        <v/>
      </c>
      <c r="D874" s="89" t="str">
        <v>Periódica</v>
      </c>
      <c r="E874" s="89">
        <v>365</v>
      </c>
      <c r="F874" s="89" t="str">
        <v/>
      </c>
      <c r="G874" s="89" t="str">
        <f ca="1"/>
        <v/>
      </c>
    </row>
    <row r="875" spans="1:7" x14ac:dyDescent="0.3">
      <c r="A875" s="89" t="str">
        <v/>
      </c>
      <c r="B875" s="89" t="str">
        <v>Seguridad para Trabajos en Caliente</v>
      </c>
      <c r="C875" s="90" t="str">
        <v/>
      </c>
      <c r="D875" s="89" t="str">
        <v>Periódica</v>
      </c>
      <c r="E875" s="89">
        <v>365</v>
      </c>
      <c r="F875" s="89" t="str">
        <v/>
      </c>
      <c r="G875" s="89" t="str">
        <f ca="1"/>
        <v/>
      </c>
    </row>
    <row r="876" spans="1:7" x14ac:dyDescent="0.3">
      <c r="A876" s="89" t="str">
        <v/>
      </c>
      <c r="B876" s="89" t="str">
        <v>Seguridad con la Radiacion</v>
      </c>
      <c r="C876" s="90" t="str">
        <v/>
      </c>
      <c r="D876" s="89" t="str">
        <v>Periódica</v>
      </c>
      <c r="E876" s="89">
        <v>365</v>
      </c>
      <c r="F876" s="89" t="str">
        <v/>
      </c>
      <c r="G876" s="89" t="str">
        <f ca="1"/>
        <v/>
      </c>
    </row>
    <row r="877" spans="1:7" x14ac:dyDescent="0.3">
      <c r="A877" s="89" t="str">
        <v/>
      </c>
      <c r="B877" s="89" t="str">
        <v>Equipo de Proteccion Personal (PPE)</v>
      </c>
      <c r="C877" s="90" t="str">
        <v/>
      </c>
      <c r="D877" s="89" t="str">
        <v>Periódica</v>
      </c>
      <c r="E877" s="89">
        <v>365</v>
      </c>
      <c r="F877" s="89" t="str">
        <v/>
      </c>
      <c r="G877" s="89" t="str">
        <f ca="1"/>
        <v/>
      </c>
    </row>
    <row r="878" spans="1:7" x14ac:dyDescent="0.3">
      <c r="A878" s="89" t="str">
        <v/>
      </c>
      <c r="B878" s="89" t="str">
        <v>Proteccion Respiratoria</v>
      </c>
      <c r="C878" s="90" t="str">
        <v/>
      </c>
      <c r="D878" s="89" t="str">
        <v>Periódica</v>
      </c>
      <c r="E878" s="89">
        <v>365</v>
      </c>
      <c r="F878" s="89" t="str">
        <v/>
      </c>
      <c r="G878" s="89" t="str">
        <f ca="1"/>
        <v/>
      </c>
    </row>
    <row r="879" spans="1:7" x14ac:dyDescent="0.3">
      <c r="A879" s="89" t="str">
        <v/>
      </c>
      <c r="B879" s="89" t="str">
        <v xml:space="preserve">Seguridad con Escaleras </v>
      </c>
      <c r="C879" s="90" t="str">
        <v/>
      </c>
      <c r="D879" s="89" t="str">
        <v>Periódica</v>
      </c>
      <c r="E879" s="89">
        <v>365</v>
      </c>
      <c r="F879" s="89" t="str">
        <v/>
      </c>
      <c r="G879" s="89" t="str">
        <f ca="1"/>
        <v/>
      </c>
    </row>
    <row r="880" spans="1:7" x14ac:dyDescent="0.3">
      <c r="A880" s="89" t="str">
        <v/>
      </c>
      <c r="B880" s="89" t="str">
        <v>Seguridad con Escaleras // Estantes de Almacenamiento</v>
      </c>
      <c r="C880" s="90" t="str">
        <v/>
      </c>
      <c r="D880" s="89" t="str">
        <v>Periódica</v>
      </c>
      <c r="E880" s="89">
        <v>365</v>
      </c>
      <c r="F880" s="89" t="str">
        <v/>
      </c>
      <c r="G880" s="89" t="str">
        <f ca="1"/>
        <v/>
      </c>
    </row>
    <row r="881" spans="1:7" x14ac:dyDescent="0.3">
      <c r="A881" s="89" t="str">
        <v/>
      </c>
      <c r="B881" s="89" t="str">
        <v>Responsabilidades del Supervisor</v>
      </c>
      <c r="C881" s="90" t="str">
        <v/>
      </c>
      <c r="D881" s="89" t="str">
        <v>Periódica</v>
      </c>
      <c r="E881" s="89">
        <v>365</v>
      </c>
      <c r="F881" s="89" t="str">
        <v/>
      </c>
      <c r="G881" s="89" t="str">
        <f ca="1"/>
        <v/>
      </c>
    </row>
    <row r="882" spans="1:7" x14ac:dyDescent="0.3">
      <c r="A882" s="89" t="str">
        <v/>
      </c>
      <c r="B882" s="89" t="str">
        <v>Espacios Confinados (Todos)</v>
      </c>
      <c r="C882" s="90" t="str">
        <v/>
      </c>
      <c r="D882" s="89" t="str">
        <v>Periódica</v>
      </c>
      <c r="E882" s="89">
        <v>365</v>
      </c>
      <c r="F882" s="89" t="str">
        <v/>
      </c>
      <c r="G882" s="89" t="str">
        <f ca="1"/>
        <v/>
      </c>
    </row>
    <row r="883" spans="1:7" x14ac:dyDescent="0.3">
      <c r="A883" s="89" t="str">
        <v/>
      </c>
      <c r="B883" s="89" t="str">
        <v>HSMS.017 / Espacios Confinados (Entrantes)</v>
      </c>
      <c r="C883" s="90" t="str">
        <v/>
      </c>
      <c r="D883" s="89" t="str">
        <v>Evento</v>
      </c>
      <c r="E883" s="89">
        <v>0</v>
      </c>
      <c r="F883" s="89" t="str">
        <v/>
      </c>
      <c r="G883" s="89" t="str">
        <f ca="1"/>
        <v/>
      </c>
    </row>
    <row r="884" spans="1:7" x14ac:dyDescent="0.3">
      <c r="A884" s="89" t="str">
        <v/>
      </c>
      <c r="B884" s="89" t="str">
        <v>Programa de Agua (Todos)</v>
      </c>
      <c r="C884" s="90" t="str">
        <v/>
      </c>
      <c r="D884" s="89" t="str">
        <v>Evento</v>
      </c>
      <c r="E884" s="89">
        <v>0</v>
      </c>
      <c r="F884" s="89" t="str">
        <v/>
      </c>
      <c r="G884" s="89" t="str">
        <f ca="1"/>
        <v/>
      </c>
    </row>
    <row r="885" spans="1:7" x14ac:dyDescent="0.3">
      <c r="A885" s="89" t="str">
        <v/>
      </c>
      <c r="B885" s="89" t="str">
        <v>Programa de Agua (HSE)</v>
      </c>
      <c r="C885" s="90" t="str">
        <v/>
      </c>
      <c r="D885" s="89" t="str">
        <v>Evento</v>
      </c>
      <c r="E885" s="89">
        <v>0</v>
      </c>
      <c r="F885" s="89" t="str">
        <v/>
      </c>
      <c r="G885" s="89" t="str">
        <f ca="1"/>
        <v/>
      </c>
    </row>
    <row r="886" spans="1:7" x14ac:dyDescent="0.3">
      <c r="A886" s="89" t="str">
        <v/>
      </c>
      <c r="B886" s="89" t="str">
        <v>HIV/SIDA y otras enfermedades de transmisión sexual (ETS)</v>
      </c>
      <c r="C886" s="90" t="str">
        <v/>
      </c>
      <c r="D886" s="89" t="str">
        <v>Periódica</v>
      </c>
      <c r="E886" s="89">
        <v>365</v>
      </c>
      <c r="F886" s="89" t="str">
        <v/>
      </c>
      <c r="G886" s="89" t="str">
        <f ca="1"/>
        <v/>
      </c>
    </row>
    <row r="887" spans="1:7" x14ac:dyDescent="0.3">
      <c r="A887" s="89" t="str">
        <v/>
      </c>
      <c r="B887" s="89" t="str">
        <v>Drogas de abuso (concientización y prevención)</v>
      </c>
      <c r="C887" s="90" t="str">
        <v/>
      </c>
      <c r="D887" s="89" t="str">
        <v>Periódica</v>
      </c>
      <c r="E887" s="89">
        <v>365</v>
      </c>
      <c r="F887" s="89" t="str">
        <v/>
      </c>
      <c r="G887" s="89" t="str">
        <f ca="1"/>
        <v/>
      </c>
    </row>
    <row r="888" spans="1:7" x14ac:dyDescent="0.3">
      <c r="A888" s="89" t="str">
        <v/>
      </c>
      <c r="B888" s="89" t="str">
        <v>Vida saludable (hábitos, autocuidado y bienestar)</v>
      </c>
      <c r="C888" s="90" t="str">
        <v/>
      </c>
      <c r="D888" s="89" t="str">
        <v>Periódica</v>
      </c>
      <c r="E888" s="89">
        <v>365</v>
      </c>
      <c r="F888" s="89" t="str">
        <v/>
      </c>
      <c r="G888" s="89" t="str">
        <f ca="1"/>
        <v/>
      </c>
    </row>
    <row r="889" spans="1:7" x14ac:dyDescent="0.3">
      <c r="A889" s="89" t="str">
        <v/>
      </c>
      <c r="B889" s="89" t="str">
        <v>Primeros auxilios y Reanimación Cardio Pulmonar (RCP)</v>
      </c>
      <c r="C889" s="90" t="str">
        <v/>
      </c>
      <c r="D889" s="89" t="str">
        <v>Periódica</v>
      </c>
      <c r="E889" s="89">
        <v>365</v>
      </c>
      <c r="F889" s="89" t="str">
        <v/>
      </c>
      <c r="G889" s="89" t="str">
        <f ca="1"/>
        <v/>
      </c>
    </row>
    <row r="890" spans="1:7" x14ac:dyDescent="0.3">
      <c r="A890" s="89" t="str">
        <v/>
      </c>
      <c r="B890" s="89" t="str">
        <v>Prevención cardiovascular (factores de riesgo y señales de alarma)</v>
      </c>
      <c r="C890" s="90" t="str">
        <v/>
      </c>
      <c r="D890" s="89" t="str">
        <v>Periódica</v>
      </c>
      <c r="E890" s="89">
        <v>365</v>
      </c>
      <c r="F890" s="89" t="str">
        <v/>
      </c>
      <c r="G890" s="89" t="str">
        <f ca="1"/>
        <v/>
      </c>
    </row>
    <row r="891" spans="1:7" x14ac:dyDescent="0.3">
      <c r="A891" s="89" t="str">
        <v/>
      </c>
      <c r="B891" s="89" t="str">
        <v>Efectos del tabaco sobre la salud</v>
      </c>
      <c r="C891" s="90" t="str">
        <v/>
      </c>
      <c r="D891" s="89" t="str">
        <v>Periódica</v>
      </c>
      <c r="E891" s="89">
        <v>365</v>
      </c>
      <c r="F891" s="89" t="str">
        <v/>
      </c>
      <c r="G891" s="89" t="str">
        <f ca="1"/>
        <v/>
      </c>
    </row>
    <row r="892" spans="1:7" x14ac:dyDescent="0.3">
      <c r="A892" s="89" t="str">
        <v/>
      </c>
      <c r="B892" s="89" t="str">
        <v>Cargadora (Op. Montacargas)</v>
      </c>
      <c r="C892" s="90" t="str">
        <v/>
      </c>
      <c r="D892" s="89" t="str">
        <v>Periódica</v>
      </c>
      <c r="E892" s="89">
        <v>365</v>
      </c>
      <c r="F892" s="89" t="str">
        <v/>
      </c>
      <c r="G892" s="89" t="str">
        <f ca="1"/>
        <v/>
      </c>
    </row>
    <row r="893" spans="1:7" x14ac:dyDescent="0.3">
      <c r="A893" s="89" t="str">
        <v/>
      </c>
      <c r="B893" s="89">
        <v>0</v>
      </c>
      <c r="C893" s="90" t="str">
        <v/>
      </c>
      <c r="D893" s="89" t="str">
        <v/>
      </c>
      <c r="E893" s="89" t="str">
        <v/>
      </c>
      <c r="F893" s="89" t="str">
        <v/>
      </c>
      <c r="G893" s="89" t="str">
        <f ca="1"/>
        <v/>
      </c>
    </row>
    <row r="894" spans="1:7" x14ac:dyDescent="0.3">
      <c r="A894" s="89" t="str">
        <v/>
      </c>
      <c r="B894" s="89">
        <v>0</v>
      </c>
      <c r="C894" s="90" t="str">
        <v/>
      </c>
      <c r="D894" s="89" t="str">
        <v/>
      </c>
      <c r="E894" s="89" t="str">
        <v/>
      </c>
      <c r="F894" s="89" t="str">
        <v/>
      </c>
      <c r="G894" s="89" t="str">
        <f ca="1"/>
        <v/>
      </c>
    </row>
    <row r="895" spans="1:7" x14ac:dyDescent="0.3">
      <c r="A895" s="89" t="str">
        <v/>
      </c>
      <c r="B895" s="89">
        <v>0</v>
      </c>
      <c r="C895" s="90" t="str">
        <v/>
      </c>
      <c r="D895" s="89" t="str">
        <v/>
      </c>
      <c r="E895" s="89" t="str">
        <v/>
      </c>
      <c r="F895" s="89" t="str">
        <v/>
      </c>
      <c r="G895" s="89" t="str">
        <f ca="1"/>
        <v/>
      </c>
    </row>
    <row r="896" spans="1:7" x14ac:dyDescent="0.3">
      <c r="A896" s="89" t="str">
        <v/>
      </c>
      <c r="B896" s="89">
        <v>0</v>
      </c>
      <c r="C896" s="90" t="str">
        <v/>
      </c>
      <c r="D896" s="89" t="str">
        <v/>
      </c>
      <c r="E896" s="89" t="str">
        <v/>
      </c>
      <c r="F896" s="89" t="str">
        <v/>
      </c>
      <c r="G896" s="89" t="str">
        <f ca="1"/>
        <v/>
      </c>
    </row>
    <row r="897" spans="1:7" x14ac:dyDescent="0.3">
      <c r="A897" s="89" t="str">
        <v/>
      </c>
      <c r="B897" s="89">
        <v>0</v>
      </c>
      <c r="C897" s="90" t="str">
        <v/>
      </c>
      <c r="D897" s="89" t="str">
        <v/>
      </c>
      <c r="E897" s="89" t="str">
        <v/>
      </c>
      <c r="F897" s="89" t="str">
        <v/>
      </c>
      <c r="G897" s="89" t="str">
        <f ca="1"/>
        <v/>
      </c>
    </row>
    <row r="898" spans="1:7" x14ac:dyDescent="0.3">
      <c r="A898" s="89" t="str">
        <v/>
      </c>
      <c r="B898" s="89">
        <v>0</v>
      </c>
      <c r="C898" s="90" t="str">
        <v/>
      </c>
      <c r="D898" s="89" t="str">
        <v/>
      </c>
      <c r="E898" s="89" t="str">
        <v/>
      </c>
      <c r="F898" s="89" t="str">
        <v/>
      </c>
      <c r="G898" s="89" t="str">
        <f ca="1"/>
        <v/>
      </c>
    </row>
    <row r="899" spans="1:7" x14ac:dyDescent="0.3">
      <c r="A899" s="89" t="str">
        <v/>
      </c>
      <c r="B899" s="89">
        <v>0</v>
      </c>
      <c r="C899" s="90" t="str">
        <v/>
      </c>
      <c r="D899" s="89" t="str">
        <v/>
      </c>
      <c r="E899" s="89" t="str">
        <v/>
      </c>
      <c r="F899" s="89" t="str">
        <v/>
      </c>
      <c r="G899" s="89" t="str">
        <f ca="1"/>
        <v/>
      </c>
    </row>
    <row r="900" spans="1:7" x14ac:dyDescent="0.3">
      <c r="A900" s="89" t="str">
        <v/>
      </c>
      <c r="B900" s="89">
        <v>0</v>
      </c>
      <c r="C900" s="90" t="str">
        <v/>
      </c>
      <c r="D900" s="89" t="str">
        <v/>
      </c>
      <c r="E900" s="89" t="str">
        <v/>
      </c>
      <c r="F900" s="89" t="str">
        <v/>
      </c>
      <c r="G900" s="89" t="str">
        <f ca="1"/>
        <v/>
      </c>
    </row>
    <row r="901" spans="1:7" x14ac:dyDescent="0.3">
      <c r="A901" s="89" t="str">
        <v/>
      </c>
      <c r="B901" s="89">
        <v>0</v>
      </c>
      <c r="C901" s="90" t="str">
        <v/>
      </c>
      <c r="D901" s="89" t="str">
        <v/>
      </c>
      <c r="E901" s="89" t="str">
        <v/>
      </c>
      <c r="F901" s="89" t="str">
        <v/>
      </c>
      <c r="G901" s="89" t="str">
        <f ca="1"/>
        <v/>
      </c>
    </row>
    <row r="902" spans="1:7" x14ac:dyDescent="0.3">
      <c r="A902" s="89" t="str">
        <v/>
      </c>
      <c r="B902" s="89" t="str">
        <v>Programa de Aire</v>
      </c>
      <c r="C902" s="90" t="str">
        <v/>
      </c>
      <c r="D902" s="89" t="str">
        <v>Evento</v>
      </c>
      <c r="E902" s="89">
        <v>0</v>
      </c>
      <c r="F902" s="89" t="str">
        <v/>
      </c>
      <c r="G902" s="89" t="str">
        <f ca="1"/>
        <v/>
      </c>
    </row>
    <row r="903" spans="1:7" x14ac:dyDescent="0.3">
      <c r="A903" s="89" t="str">
        <v/>
      </c>
      <c r="B903" s="89" t="str">
        <v>Conciencia Ambiental</v>
      </c>
      <c r="C903" s="90" t="str">
        <v/>
      </c>
      <c r="D903" s="89" t="str">
        <v>Periódica</v>
      </c>
      <c r="E903" s="89">
        <v>365</v>
      </c>
      <c r="F903" s="89" t="str">
        <v/>
      </c>
      <c r="G903" s="89" t="str">
        <f ca="1"/>
        <v/>
      </c>
    </row>
    <row r="904" spans="1:7" x14ac:dyDescent="0.3">
      <c r="A904" s="89" t="str">
        <v/>
      </c>
      <c r="B904" s="89" t="str">
        <v xml:space="preserve">Control de Documentos e Informacion de HSE </v>
      </c>
      <c r="C904" s="90" t="str">
        <v/>
      </c>
      <c r="D904" s="89" t="str">
        <v>Evento</v>
      </c>
      <c r="E904" s="89">
        <v>0</v>
      </c>
      <c r="F904" s="89" t="str">
        <v/>
      </c>
      <c r="G904" s="89" t="str">
        <f ca="1"/>
        <v/>
      </c>
    </row>
    <row r="905" spans="1:7" x14ac:dyDescent="0.3">
      <c r="A905" s="89" t="str">
        <v/>
      </c>
      <c r="B905" s="89" t="str">
        <v xml:space="preserve"> Acciones Correctivas y Preventivas (CAPA)</v>
      </c>
      <c r="C905" s="90" t="str">
        <v/>
      </c>
      <c r="D905" s="89" t="str">
        <v>Evento</v>
      </c>
      <c r="E905" s="89">
        <v>0</v>
      </c>
      <c r="F905" s="89" t="str">
        <v/>
      </c>
      <c r="G905" s="89" t="str">
        <f ca="1"/>
        <v/>
      </c>
    </row>
    <row r="906" spans="1:7" x14ac:dyDescent="0.3">
      <c r="A906" s="89" t="str">
        <v/>
      </c>
      <c r="B906" s="89" t="str">
        <v>Seguridad Basada en el Comportamiento (Observation Program) // HSMS.043 / Autoridad de Detener el Trabajo</v>
      </c>
      <c r="C906" s="90" t="str">
        <v/>
      </c>
      <c r="D906" s="89" t="str">
        <v>Periódica</v>
      </c>
      <c r="E906" s="89">
        <v>365</v>
      </c>
      <c r="F906" s="89" t="str">
        <v/>
      </c>
      <c r="G906" s="89" t="str">
        <f ca="1"/>
        <v/>
      </c>
    </row>
    <row r="907" spans="1:7" x14ac:dyDescent="0.3">
      <c r="A907" s="89" t="str">
        <v/>
      </c>
      <c r="B907" s="89" t="str">
        <v>Identificacion de Peligros y Evaluacion de Riesgos</v>
      </c>
      <c r="C907" s="90" t="str">
        <v/>
      </c>
      <c r="D907" s="89" t="str">
        <v>Evento</v>
      </c>
      <c r="E907" s="89">
        <v>0</v>
      </c>
      <c r="F907" s="89" t="str">
        <v/>
      </c>
      <c r="G907" s="89" t="str">
        <f ca="1"/>
        <v/>
      </c>
    </row>
    <row r="908" spans="1:7" x14ac:dyDescent="0.3">
      <c r="A908" s="89" t="str">
        <v/>
      </c>
      <c r="B908" s="89" t="str">
        <v xml:space="preserve"> Plan de Respuesta ante Eemergencias / HSMS.010 /Primeros Axulios &amp; RCP/DEA / HSMSWT-002 / Patogenos Trasnmitidos por la Sangre</v>
      </c>
      <c r="C908" s="90" t="str">
        <v/>
      </c>
      <c r="D908" s="89" t="str">
        <v>Periódica</v>
      </c>
      <c r="E908" s="89">
        <v>365</v>
      </c>
      <c r="F908" s="89" t="str">
        <v/>
      </c>
      <c r="G908" s="89" t="str">
        <f ca="1"/>
        <v/>
      </c>
    </row>
    <row r="909" spans="1:7" x14ac:dyDescent="0.3">
      <c r="A909" s="89" t="str">
        <v/>
      </c>
      <c r="B909" s="89" t="str">
        <v>Reporte y Gestion de Incidentes HSE (Todos)</v>
      </c>
      <c r="C909" s="90" t="str">
        <v/>
      </c>
      <c r="D909" s="89" t="str">
        <v>Periódica</v>
      </c>
      <c r="E909" s="89">
        <v>365</v>
      </c>
      <c r="F909" s="89" t="str">
        <v/>
      </c>
      <c r="G909" s="89" t="str">
        <f ca="1"/>
        <v/>
      </c>
    </row>
    <row r="910" spans="1:7" x14ac:dyDescent="0.3">
      <c r="A910" s="89" t="str">
        <v/>
      </c>
      <c r="B910" s="89" t="str">
        <v>Reporte, Gestion e Investigacion de Incidentes HSE (supervisores / investigadores (rol))</v>
      </c>
      <c r="C910" s="90" t="str">
        <v/>
      </c>
      <c r="D910" s="89" t="str">
        <v>Periódica</v>
      </c>
      <c r="E910" s="89">
        <v>1095</v>
      </c>
      <c r="F910" s="89" t="str">
        <v/>
      </c>
      <c r="G910" s="89" t="str">
        <f ca="1"/>
        <v/>
      </c>
    </row>
    <row r="911" spans="1:7" x14ac:dyDescent="0.3">
      <c r="A911" s="89" t="str">
        <v/>
      </c>
      <c r="B911" s="89" t="str">
        <v>Gruas y Equipos de Izaje (Todos)</v>
      </c>
      <c r="C911" s="90" t="str">
        <v/>
      </c>
      <c r="D911" s="89" t="str">
        <v>Periódica</v>
      </c>
      <c r="E911" s="89">
        <v>365</v>
      </c>
      <c r="F911" s="89" t="str">
        <v/>
      </c>
      <c r="G911" s="89" t="str">
        <f ca="1"/>
        <v/>
      </c>
    </row>
    <row r="912" spans="1:7" x14ac:dyDescent="0.3">
      <c r="A912" s="89" t="str">
        <v/>
      </c>
      <c r="B912" s="89" t="str">
        <v>HSMS.007 / Gruas y Equipos de Izaje (Operadores)</v>
      </c>
      <c r="C912" s="90" t="str">
        <v/>
      </c>
      <c r="D912" s="89" t="str">
        <v>Periódica</v>
      </c>
      <c r="E912" s="89">
        <v>365</v>
      </c>
      <c r="F912" s="89" t="str">
        <v/>
      </c>
      <c r="G912" s="89" t="str">
        <f ca="1"/>
        <v/>
      </c>
    </row>
    <row r="913" spans="1:7" x14ac:dyDescent="0.3">
      <c r="A913" s="89" t="str">
        <v/>
      </c>
      <c r="B913" s="89" t="str">
        <v>Proteccion Contra Incendios (Todos)</v>
      </c>
      <c r="C913" s="90" t="str">
        <v/>
      </c>
      <c r="D913" s="89" t="str">
        <v>Periódica</v>
      </c>
      <c r="E913" s="89">
        <v>365</v>
      </c>
      <c r="F913" s="89" t="str">
        <v/>
      </c>
      <c r="G913" s="89" t="str">
        <f ca="1"/>
        <v/>
      </c>
    </row>
    <row r="914" spans="1:7" x14ac:dyDescent="0.3">
      <c r="A914" s="89" t="str">
        <v/>
      </c>
      <c r="B914" s="89" t="str">
        <v>Proteccion Contra Incendios (Brigadistas)</v>
      </c>
      <c r="C914" s="90" t="str">
        <v/>
      </c>
      <c r="D914" s="89" t="str">
        <v>Periódica</v>
      </c>
      <c r="E914" s="89">
        <v>365</v>
      </c>
      <c r="F914" s="89" t="str">
        <v/>
      </c>
      <c r="G914" s="89" t="str">
        <f ca="1"/>
        <v/>
      </c>
    </row>
    <row r="915" spans="1:7" x14ac:dyDescent="0.3">
      <c r="A915" s="89" t="str">
        <v/>
      </c>
      <c r="B915" s="89" t="str">
        <v>Primeros Auxilios (Brigadistas)</v>
      </c>
      <c r="C915" s="90" t="str">
        <v/>
      </c>
      <c r="D915" s="89" t="str">
        <v>Periódica</v>
      </c>
      <c r="E915" s="89">
        <v>365</v>
      </c>
      <c r="F915" s="89" t="str">
        <v/>
      </c>
      <c r="G915" s="89" t="str">
        <f ca="1"/>
        <v/>
      </c>
    </row>
    <row r="916" spans="1:7" x14ac:dyDescent="0.3">
      <c r="A916" s="89" t="str">
        <v/>
      </c>
      <c r="B916" s="89" t="str">
        <v>Seguridad Electrica (Todos)</v>
      </c>
      <c r="C916" s="90" t="str">
        <v/>
      </c>
      <c r="D916" s="89" t="str">
        <v>Periódica</v>
      </c>
      <c r="E916" s="89">
        <v>365</v>
      </c>
      <c r="F916" s="89" t="str">
        <v/>
      </c>
      <c r="G916" s="89" t="str">
        <f ca="1"/>
        <v/>
      </c>
    </row>
    <row r="917" spans="1:7" x14ac:dyDescent="0.3">
      <c r="A917" s="89" t="str">
        <v/>
      </c>
      <c r="B917" s="89" t="str">
        <v>Seguridad Electrica (Personal Autorizado)</v>
      </c>
      <c r="C917" s="90" t="str">
        <v/>
      </c>
      <c r="D917" s="89" t="str">
        <v>Periódica</v>
      </c>
      <c r="E917" s="89">
        <v>1095</v>
      </c>
      <c r="F917" s="89" t="str">
        <v/>
      </c>
      <c r="G917" s="89" t="str">
        <f ca="1"/>
        <v/>
      </c>
    </row>
    <row r="918" spans="1:7" x14ac:dyDescent="0.3">
      <c r="A918" s="89" t="str">
        <v/>
      </c>
      <c r="B918" s="89" t="str">
        <v>Camiones Industriales Motorizados (PIT) (Todos)</v>
      </c>
      <c r="C918" s="90" t="str">
        <v/>
      </c>
      <c r="D918" s="89" t="str">
        <v>Periódica</v>
      </c>
      <c r="E918" s="89">
        <v>365</v>
      </c>
      <c r="F918" s="89" t="str">
        <v/>
      </c>
      <c r="G918" s="89" t="str">
        <f ca="1"/>
        <v/>
      </c>
    </row>
    <row r="919" spans="1:7" x14ac:dyDescent="0.3">
      <c r="A919" s="89" t="str">
        <v/>
      </c>
      <c r="B919" s="89" t="str">
        <v>Camiones Industriales Motorizados (PIT) (Op. Montacargas)</v>
      </c>
      <c r="C919" s="90" t="str">
        <v/>
      </c>
      <c r="D919" s="89" t="str">
        <v>Periódica</v>
      </c>
      <c r="E919" s="89">
        <v>365</v>
      </c>
      <c r="F919" s="89" t="str">
        <v/>
      </c>
      <c r="G919" s="89" t="str">
        <f ca="1"/>
        <v/>
      </c>
    </row>
    <row r="920" spans="1:7" x14ac:dyDescent="0.3">
      <c r="A920" s="89" t="str">
        <v/>
      </c>
      <c r="B920" s="89" t="str">
        <v>Control de Energias Peligrosas (LOTO) (Todos)</v>
      </c>
      <c r="C920" s="90" t="str">
        <v/>
      </c>
      <c r="D920" s="89" t="str">
        <v>Evento</v>
      </c>
      <c r="E920" s="89">
        <v>0</v>
      </c>
      <c r="F920" s="89" t="str">
        <v/>
      </c>
      <c r="G920" s="89" t="str">
        <f ca="1"/>
        <v/>
      </c>
    </row>
    <row r="921" spans="1:7" x14ac:dyDescent="0.3">
      <c r="A921" s="89" t="str">
        <v/>
      </c>
      <c r="B921" s="89" t="str">
        <v>Control de Energias Peligrosas (LOTO) (Empleados Autorizados)</v>
      </c>
      <c r="C921" s="90" t="str">
        <v/>
      </c>
      <c r="D921" s="89" t="str">
        <v>Periódica</v>
      </c>
      <c r="E921" s="89">
        <v>365</v>
      </c>
      <c r="F921" s="89" t="str">
        <v/>
      </c>
      <c r="G921" s="89" t="str">
        <f ca="1"/>
        <v/>
      </c>
    </row>
    <row r="922" spans="1:7" x14ac:dyDescent="0.3">
      <c r="A922" s="89" t="str">
        <v/>
      </c>
      <c r="B922" s="89" t="str">
        <v>Seguridad aplicada al Pozo &amp; Yacimiento</v>
      </c>
      <c r="C922" s="90" t="str">
        <v/>
      </c>
      <c r="D922" s="89" t="str">
        <v>Periódica</v>
      </c>
      <c r="E922" s="89">
        <v>365</v>
      </c>
      <c r="F922" s="89" t="str">
        <v/>
      </c>
      <c r="G922" s="89" t="str">
        <f ca="1"/>
        <v/>
      </c>
    </row>
    <row r="923" spans="1:7" x14ac:dyDescent="0.3">
      <c r="A923" s="89" t="str">
        <v/>
      </c>
      <c r="B923" s="89" t="str">
        <v>Las Reglas que Salvan Vidas</v>
      </c>
      <c r="C923" s="90" t="str">
        <v/>
      </c>
      <c r="D923" s="89" t="str">
        <v>Periódica</v>
      </c>
      <c r="E923" s="89">
        <v>365</v>
      </c>
      <c r="F923" s="89" t="str">
        <v/>
      </c>
      <c r="G923" s="89" t="str">
        <f ca="1"/>
        <v/>
      </c>
    </row>
    <row r="924" spans="1:7" x14ac:dyDescent="0.3">
      <c r="A924" s="89" t="str">
        <v/>
      </c>
      <c r="B924" s="89" t="str">
        <v xml:space="preserve">Resguardo de Maquinas &amp; Equipos </v>
      </c>
      <c r="C924" s="90" t="str">
        <v/>
      </c>
      <c r="D924" s="89" t="str">
        <v>Periódica</v>
      </c>
      <c r="E924" s="89">
        <v>365</v>
      </c>
      <c r="F924" s="89" t="str">
        <v/>
      </c>
      <c r="G924" s="89" t="str">
        <f ca="1"/>
        <v/>
      </c>
    </row>
    <row r="925" spans="1:7" x14ac:dyDescent="0.3">
      <c r="A925" s="89" t="str">
        <v/>
      </c>
      <c r="B925" s="89" t="str">
        <v>Conduccion y Gestion de Viajes (Todos)</v>
      </c>
      <c r="C925" s="90" t="str">
        <v/>
      </c>
      <c r="D925" s="89" t="str">
        <v>Periódica</v>
      </c>
      <c r="E925" s="89">
        <v>730</v>
      </c>
      <c r="F925" s="89" t="str">
        <v/>
      </c>
      <c r="G925" s="89" t="str">
        <f ca="1"/>
        <v/>
      </c>
    </row>
    <row r="926" spans="1:7" x14ac:dyDescent="0.3">
      <c r="A926" s="89" t="str">
        <v/>
      </c>
      <c r="B926" s="89" t="str">
        <v>Conduccion y Gestion de Viajes (Conductores)</v>
      </c>
      <c r="C926" s="90" t="str">
        <v/>
      </c>
      <c r="D926" s="89" t="str">
        <v>Periódica</v>
      </c>
      <c r="E926" s="89">
        <v>1095</v>
      </c>
      <c r="F926" s="89" t="str">
        <v/>
      </c>
      <c r="G926" s="89" t="str">
        <f ca="1"/>
        <v/>
      </c>
    </row>
    <row r="927" spans="1:7" x14ac:dyDescent="0.3">
      <c r="A927" s="89" t="str">
        <v/>
      </c>
      <c r="B927" s="89" t="str">
        <v>Patogenos Transmitidos por la Sangre</v>
      </c>
      <c r="C927" s="90" t="str">
        <v/>
      </c>
      <c r="D927" s="89" t="str">
        <v>Periódica</v>
      </c>
      <c r="E927" s="89">
        <v>365</v>
      </c>
      <c r="F927" s="89" t="str">
        <v/>
      </c>
      <c r="G927" s="89" t="str">
        <f ca="1"/>
        <v/>
      </c>
    </row>
    <row r="928" spans="1:7" x14ac:dyDescent="0.3">
      <c r="A928" s="89" t="str">
        <v/>
      </c>
      <c r="B928" s="89" t="str">
        <v>Conservacion Auditiva</v>
      </c>
      <c r="C928" s="90" t="str">
        <v/>
      </c>
      <c r="D928" s="89" t="str">
        <v>Periódica</v>
      </c>
      <c r="E928" s="89">
        <v>365</v>
      </c>
      <c r="F928" s="89" t="str">
        <v/>
      </c>
      <c r="G928" s="89" t="str">
        <f ca="1"/>
        <v/>
      </c>
    </row>
    <row r="929" spans="1:7" x14ac:dyDescent="0.3">
      <c r="A929" s="89" t="str">
        <v/>
      </c>
      <c r="B929" s="89" t="str">
        <v xml:space="preserve">Ergonomia //  / Levantamiento &amp; Seguridad en la Espalda </v>
      </c>
      <c r="C929" s="90" t="str">
        <v/>
      </c>
      <c r="D929" s="89" t="str">
        <v>Periódica</v>
      </c>
      <c r="E929" s="89">
        <v>365</v>
      </c>
      <c r="F929" s="89" t="str">
        <v/>
      </c>
      <c r="G929" s="89" t="str">
        <f ca="1"/>
        <v/>
      </c>
    </row>
    <row r="930" spans="1:7" x14ac:dyDescent="0.3">
      <c r="A930" s="89" t="str">
        <v/>
      </c>
      <c r="B930" s="89" t="str">
        <v>Superficies Elevadas (Todos)</v>
      </c>
      <c r="C930" s="90" t="str">
        <v/>
      </c>
      <c r="D930" s="89" t="str">
        <v>Periódica</v>
      </c>
      <c r="E930" s="89">
        <v>365</v>
      </c>
      <c r="F930" s="89" t="str">
        <v/>
      </c>
      <c r="G930" s="89" t="str">
        <f ca="1"/>
        <v/>
      </c>
    </row>
    <row r="931" spans="1:7" x14ac:dyDescent="0.3">
      <c r="A931" s="89" t="str">
        <v/>
      </c>
      <c r="B931" s="89" t="str">
        <v>Superficies Elevadas (Personal Habilitado)</v>
      </c>
      <c r="C931" s="90" t="str">
        <v/>
      </c>
      <c r="D931" s="89" t="str">
        <v>Periódica</v>
      </c>
      <c r="E931" s="89">
        <v>365</v>
      </c>
      <c r="F931" s="89" t="str">
        <v/>
      </c>
      <c r="G931" s="89" t="str">
        <f ca="1"/>
        <v/>
      </c>
    </row>
    <row r="932" spans="1:7" x14ac:dyDescent="0.3">
      <c r="A932" s="89" t="str">
        <v/>
      </c>
      <c r="B932" s="89" t="str">
        <v>Seguridad Quimica (Todos)</v>
      </c>
      <c r="C932" s="90" t="str">
        <v/>
      </c>
      <c r="D932" s="89" t="str">
        <v>Periódica</v>
      </c>
      <c r="E932" s="89">
        <v>730</v>
      </c>
      <c r="F932" s="89" t="str">
        <v/>
      </c>
      <c r="G932" s="89" t="str">
        <f ca="1"/>
        <v/>
      </c>
    </row>
    <row r="933" spans="1:7" x14ac:dyDescent="0.3">
      <c r="A933" s="89" t="str">
        <v/>
      </c>
      <c r="B933" s="89" t="str">
        <v>Seguridad Quimica (Mantenimiento)</v>
      </c>
      <c r="C933" s="90" t="str">
        <v/>
      </c>
      <c r="D933" s="89" t="str">
        <v>Periódica</v>
      </c>
      <c r="E933" s="89">
        <v>365</v>
      </c>
      <c r="F933" s="89" t="str">
        <v/>
      </c>
      <c r="G933" s="89" t="str">
        <f ca="1"/>
        <v/>
      </c>
    </row>
    <row r="934" spans="1:7" x14ac:dyDescent="0.3">
      <c r="A934" s="89" t="str">
        <v/>
      </c>
      <c r="B934" s="89" t="str">
        <v>Seguridad Quimica (Contratistas)</v>
      </c>
      <c r="C934" s="90" t="str">
        <v/>
      </c>
      <c r="D934" s="89" t="str">
        <v>Periódica</v>
      </c>
      <c r="E934" s="89">
        <v>365</v>
      </c>
      <c r="F934" s="89" t="str">
        <v/>
      </c>
      <c r="G934" s="89" t="str">
        <f ca="1"/>
        <v/>
      </c>
    </row>
    <row r="935" spans="1:7" x14ac:dyDescent="0.3">
      <c r="A935" s="89" t="str">
        <v/>
      </c>
      <c r="B935" s="89" t="str">
        <v>Seguridad para Trabajos en Caliente</v>
      </c>
      <c r="C935" s="90" t="str">
        <v/>
      </c>
      <c r="D935" s="89" t="str">
        <v>Periódica</v>
      </c>
      <c r="E935" s="89">
        <v>365</v>
      </c>
      <c r="F935" s="89" t="str">
        <v/>
      </c>
      <c r="G935" s="89" t="str">
        <f ca="1"/>
        <v/>
      </c>
    </row>
    <row r="936" spans="1:7" x14ac:dyDescent="0.3">
      <c r="A936" s="89" t="str">
        <v/>
      </c>
      <c r="B936" s="89" t="str">
        <v>Seguridad con la Radiacion</v>
      </c>
      <c r="C936" s="90" t="str">
        <v/>
      </c>
      <c r="D936" s="89" t="str">
        <v>Periódica</v>
      </c>
      <c r="E936" s="89">
        <v>365</v>
      </c>
      <c r="F936" s="89" t="str">
        <v/>
      </c>
      <c r="G936" s="89" t="str">
        <f ca="1"/>
        <v/>
      </c>
    </row>
    <row r="937" spans="1:7" x14ac:dyDescent="0.3">
      <c r="A937" s="89" t="str">
        <v/>
      </c>
      <c r="B937" s="89" t="str">
        <v>Equipo de Proteccion Personal (PPE)</v>
      </c>
      <c r="C937" s="90" t="str">
        <v/>
      </c>
      <c r="D937" s="89" t="str">
        <v>Periódica</v>
      </c>
      <c r="E937" s="89">
        <v>365</v>
      </c>
      <c r="F937" s="89" t="str">
        <v/>
      </c>
      <c r="G937" s="89" t="str">
        <f ca="1"/>
        <v/>
      </c>
    </row>
    <row r="938" spans="1:7" x14ac:dyDescent="0.3">
      <c r="A938" s="89" t="str">
        <v/>
      </c>
      <c r="B938" s="89" t="str">
        <v>Proteccion Respiratoria</v>
      </c>
      <c r="C938" s="90" t="str">
        <v/>
      </c>
      <c r="D938" s="89" t="str">
        <v>Periódica</v>
      </c>
      <c r="E938" s="89">
        <v>365</v>
      </c>
      <c r="F938" s="89" t="str">
        <v/>
      </c>
      <c r="G938" s="89" t="str">
        <f ca="1"/>
        <v/>
      </c>
    </row>
    <row r="939" spans="1:7" x14ac:dyDescent="0.3">
      <c r="A939" s="89" t="str">
        <v/>
      </c>
      <c r="B939" s="89" t="str">
        <v xml:space="preserve">Seguridad con Escaleras </v>
      </c>
      <c r="C939" s="90" t="str">
        <v/>
      </c>
      <c r="D939" s="89" t="str">
        <v>Periódica</v>
      </c>
      <c r="E939" s="89">
        <v>365</v>
      </c>
      <c r="F939" s="89" t="str">
        <v/>
      </c>
      <c r="G939" s="89" t="str">
        <f ca="1"/>
        <v/>
      </c>
    </row>
    <row r="940" spans="1:7" x14ac:dyDescent="0.3">
      <c r="A940" s="89" t="str">
        <v/>
      </c>
      <c r="B940" s="89" t="str">
        <v>Seguridad con Escaleras // Estantes de Almacenamiento</v>
      </c>
      <c r="C940" s="90" t="str">
        <v/>
      </c>
      <c r="D940" s="89" t="str">
        <v>Periódica</v>
      </c>
      <c r="E940" s="89">
        <v>365</v>
      </c>
      <c r="F940" s="89" t="str">
        <v/>
      </c>
      <c r="G940" s="89" t="str">
        <f ca="1"/>
        <v/>
      </c>
    </row>
    <row r="941" spans="1:7" x14ac:dyDescent="0.3">
      <c r="A941" s="89" t="str">
        <v/>
      </c>
      <c r="B941" s="89" t="str">
        <v>Responsabilidades del Supervisor</v>
      </c>
      <c r="C941" s="90" t="str">
        <v/>
      </c>
      <c r="D941" s="89" t="str">
        <v>Periódica</v>
      </c>
      <c r="E941" s="89">
        <v>365</v>
      </c>
      <c r="F941" s="89" t="str">
        <v/>
      </c>
      <c r="G941" s="89" t="str">
        <f ca="1"/>
        <v/>
      </c>
    </row>
    <row r="942" spans="1:7" x14ac:dyDescent="0.3">
      <c r="A942" s="89" t="str">
        <v/>
      </c>
      <c r="B942" s="89" t="str">
        <v>Espacios Confinados (Todos)</v>
      </c>
      <c r="C942" s="90" t="str">
        <v/>
      </c>
      <c r="D942" s="89" t="str">
        <v>Periódica</v>
      </c>
      <c r="E942" s="89">
        <v>365</v>
      </c>
      <c r="F942" s="89" t="str">
        <v/>
      </c>
      <c r="G942" s="89" t="str">
        <f ca="1"/>
        <v/>
      </c>
    </row>
    <row r="943" spans="1:7" x14ac:dyDescent="0.3">
      <c r="A943" s="89" t="str">
        <v/>
      </c>
      <c r="B943" s="89" t="str">
        <v>HSMS.017 / Espacios Confinados (Entrantes)</v>
      </c>
      <c r="C943" s="90" t="str">
        <v/>
      </c>
      <c r="D943" s="89" t="str">
        <v>Evento</v>
      </c>
      <c r="E943" s="89">
        <v>0</v>
      </c>
      <c r="F943" s="89" t="str">
        <v/>
      </c>
      <c r="G943" s="89" t="str">
        <f ca="1"/>
        <v/>
      </c>
    </row>
    <row r="944" spans="1:7" x14ac:dyDescent="0.3">
      <c r="A944" s="89" t="str">
        <v/>
      </c>
      <c r="B944" s="89" t="str">
        <v>Programa de Agua (Todos)</v>
      </c>
      <c r="C944" s="90" t="str">
        <v/>
      </c>
      <c r="D944" s="89" t="str">
        <v>Evento</v>
      </c>
      <c r="E944" s="89">
        <v>0</v>
      </c>
      <c r="F944" s="89" t="str">
        <v/>
      </c>
      <c r="G944" s="89" t="str">
        <f ca="1"/>
        <v/>
      </c>
    </row>
    <row r="945" spans="1:7" x14ac:dyDescent="0.3">
      <c r="A945" s="89" t="str">
        <v/>
      </c>
      <c r="B945" s="89" t="str">
        <v>Programa de Agua (HSE)</v>
      </c>
      <c r="C945" s="90" t="str">
        <v/>
      </c>
      <c r="D945" s="89" t="str">
        <v>Evento</v>
      </c>
      <c r="E945" s="89">
        <v>0</v>
      </c>
      <c r="F945" s="89" t="str">
        <v/>
      </c>
      <c r="G945" s="89" t="str">
        <f ca="1"/>
        <v/>
      </c>
    </row>
    <row r="946" spans="1:7" x14ac:dyDescent="0.3">
      <c r="A946" s="89" t="str">
        <v/>
      </c>
      <c r="B946" s="89" t="str">
        <v>HIV/SIDA y otras enfermedades de transmisión sexual (ETS)</v>
      </c>
      <c r="C946" s="90" t="str">
        <v/>
      </c>
      <c r="D946" s="89" t="str">
        <v>Periódica</v>
      </c>
      <c r="E946" s="89">
        <v>365</v>
      </c>
      <c r="F946" s="89" t="str">
        <v/>
      </c>
      <c r="G946" s="89" t="str">
        <f ca="1"/>
        <v/>
      </c>
    </row>
    <row r="947" spans="1:7" x14ac:dyDescent="0.3">
      <c r="A947" s="89" t="str">
        <v/>
      </c>
      <c r="B947" s="89" t="str">
        <v>Drogas de abuso (concientización y prevención)</v>
      </c>
      <c r="C947" s="90" t="str">
        <v/>
      </c>
      <c r="D947" s="89" t="str">
        <v>Periódica</v>
      </c>
      <c r="E947" s="89">
        <v>365</v>
      </c>
      <c r="F947" s="89" t="str">
        <v/>
      </c>
      <c r="G947" s="89" t="str">
        <f ca="1"/>
        <v/>
      </c>
    </row>
    <row r="948" spans="1:7" x14ac:dyDescent="0.3">
      <c r="A948" s="89" t="str">
        <v/>
      </c>
      <c r="B948" s="89" t="str">
        <v>Vida saludable (hábitos, autocuidado y bienestar)</v>
      </c>
      <c r="C948" s="90" t="str">
        <v/>
      </c>
      <c r="D948" s="89" t="str">
        <v>Periódica</v>
      </c>
      <c r="E948" s="89">
        <v>365</v>
      </c>
      <c r="F948" s="89" t="str">
        <v/>
      </c>
      <c r="G948" s="89" t="str">
        <f ca="1"/>
        <v/>
      </c>
    </row>
    <row r="949" spans="1:7" x14ac:dyDescent="0.3">
      <c r="A949" s="89" t="str">
        <v/>
      </c>
      <c r="B949" s="89" t="str">
        <v>Primeros auxilios y Reanimación Cardio Pulmonar (RCP)</v>
      </c>
      <c r="C949" s="90" t="str">
        <v/>
      </c>
      <c r="D949" s="89" t="str">
        <v>Periódica</v>
      </c>
      <c r="E949" s="89">
        <v>365</v>
      </c>
      <c r="F949" s="89" t="str">
        <v/>
      </c>
      <c r="G949" s="89" t="str">
        <f ca="1"/>
        <v/>
      </c>
    </row>
    <row r="950" spans="1:7" x14ac:dyDescent="0.3">
      <c r="A950" s="89" t="str">
        <v/>
      </c>
      <c r="B950" s="89" t="str">
        <v>Prevención cardiovascular (factores de riesgo y señales de alarma)</v>
      </c>
      <c r="C950" s="90" t="str">
        <v/>
      </c>
      <c r="D950" s="89" t="str">
        <v>Periódica</v>
      </c>
      <c r="E950" s="89">
        <v>365</v>
      </c>
      <c r="F950" s="89" t="str">
        <v/>
      </c>
      <c r="G950" s="89" t="str">
        <f ca="1"/>
        <v/>
      </c>
    </row>
    <row r="951" spans="1:7" x14ac:dyDescent="0.3">
      <c r="A951" s="89" t="str">
        <v/>
      </c>
      <c r="B951" s="89" t="str">
        <v>Efectos del tabaco sobre la salud</v>
      </c>
      <c r="C951" s="90" t="str">
        <v/>
      </c>
      <c r="D951" s="89" t="str">
        <v>Periódica</v>
      </c>
      <c r="E951" s="89">
        <v>365</v>
      </c>
      <c r="F951" s="89" t="str">
        <v/>
      </c>
      <c r="G951" s="89" t="str">
        <f ca="1"/>
        <v/>
      </c>
    </row>
    <row r="952" spans="1:7" x14ac:dyDescent="0.3">
      <c r="A952" s="89" t="str">
        <v/>
      </c>
      <c r="B952" s="89" t="str">
        <v>Cargadora (Op. Montacargas)</v>
      </c>
      <c r="C952" s="90" t="str">
        <v/>
      </c>
      <c r="D952" s="89" t="str">
        <v>Periódica</v>
      </c>
      <c r="E952" s="89">
        <v>365</v>
      </c>
      <c r="F952" s="89" t="str">
        <v/>
      </c>
      <c r="G952" s="89" t="str">
        <f ca="1"/>
        <v/>
      </c>
    </row>
    <row r="953" spans="1:7" x14ac:dyDescent="0.3">
      <c r="A953" s="89" t="str">
        <v/>
      </c>
      <c r="B953" s="89">
        <v>0</v>
      </c>
      <c r="C953" s="90" t="str">
        <v/>
      </c>
      <c r="D953" s="89" t="str">
        <v/>
      </c>
      <c r="E953" s="89" t="str">
        <v/>
      </c>
      <c r="F953" s="89" t="str">
        <v/>
      </c>
      <c r="G953" s="89" t="str">
        <f ca="1"/>
        <v/>
      </c>
    </row>
    <row r="954" spans="1:7" x14ac:dyDescent="0.3">
      <c r="A954" s="89" t="str">
        <v/>
      </c>
      <c r="B954" s="89">
        <v>0</v>
      </c>
      <c r="C954" s="90" t="str">
        <v/>
      </c>
      <c r="D954" s="89" t="str">
        <v/>
      </c>
      <c r="E954" s="89" t="str">
        <v/>
      </c>
      <c r="F954" s="89" t="str">
        <v/>
      </c>
      <c r="G954" s="89" t="str">
        <f ca="1"/>
        <v/>
      </c>
    </row>
    <row r="955" spans="1:7" x14ac:dyDescent="0.3">
      <c r="A955" s="89" t="str">
        <v/>
      </c>
      <c r="B955" s="89">
        <v>0</v>
      </c>
      <c r="C955" s="90" t="str">
        <v/>
      </c>
      <c r="D955" s="89" t="str">
        <v/>
      </c>
      <c r="E955" s="89" t="str">
        <v/>
      </c>
      <c r="F955" s="89" t="str">
        <v/>
      </c>
      <c r="G955" s="89" t="str">
        <f ca="1"/>
        <v/>
      </c>
    </row>
    <row r="956" spans="1:7" x14ac:dyDescent="0.3">
      <c r="A956" s="89" t="str">
        <v/>
      </c>
      <c r="B956" s="89">
        <v>0</v>
      </c>
      <c r="C956" s="90" t="str">
        <v/>
      </c>
      <c r="D956" s="89" t="str">
        <v/>
      </c>
      <c r="E956" s="89" t="str">
        <v/>
      </c>
      <c r="F956" s="89" t="str">
        <v/>
      </c>
      <c r="G956" s="89" t="str">
        <f ca="1"/>
        <v/>
      </c>
    </row>
    <row r="957" spans="1:7" x14ac:dyDescent="0.3">
      <c r="A957" s="89" t="str">
        <v/>
      </c>
      <c r="B957" s="89">
        <v>0</v>
      </c>
      <c r="C957" s="90" t="str">
        <v/>
      </c>
      <c r="D957" s="89" t="str">
        <v/>
      </c>
      <c r="E957" s="89" t="str">
        <v/>
      </c>
      <c r="F957" s="89" t="str">
        <v/>
      </c>
      <c r="G957" s="89" t="str">
        <f ca="1"/>
        <v/>
      </c>
    </row>
    <row r="958" spans="1:7" x14ac:dyDescent="0.3">
      <c r="A958" s="89" t="str">
        <v/>
      </c>
      <c r="B958" s="89">
        <v>0</v>
      </c>
      <c r="C958" s="90" t="str">
        <v/>
      </c>
      <c r="D958" s="89" t="str">
        <v/>
      </c>
      <c r="E958" s="89" t="str">
        <v/>
      </c>
      <c r="F958" s="89" t="str">
        <v/>
      </c>
      <c r="G958" s="89" t="str">
        <f ca="1"/>
        <v/>
      </c>
    </row>
    <row r="959" spans="1:7" x14ac:dyDescent="0.3">
      <c r="A959" s="89" t="str">
        <v/>
      </c>
      <c r="B959" s="89">
        <v>0</v>
      </c>
      <c r="C959" s="90" t="str">
        <v/>
      </c>
      <c r="D959" s="89" t="str">
        <v/>
      </c>
      <c r="E959" s="89" t="str">
        <v/>
      </c>
      <c r="F959" s="89" t="str">
        <v/>
      </c>
      <c r="G959" s="89" t="str">
        <f ca="1"/>
        <v/>
      </c>
    </row>
    <row r="960" spans="1:7" x14ac:dyDescent="0.3">
      <c r="A960" s="89" t="str">
        <v/>
      </c>
      <c r="B960" s="89">
        <v>0</v>
      </c>
      <c r="C960" s="90" t="str">
        <v/>
      </c>
      <c r="D960" s="89" t="str">
        <v/>
      </c>
      <c r="E960" s="89" t="str">
        <v/>
      </c>
      <c r="F960" s="89" t="str">
        <v/>
      </c>
      <c r="G960" s="89" t="str">
        <f ca="1"/>
        <v/>
      </c>
    </row>
    <row r="961" spans="1:7" x14ac:dyDescent="0.3">
      <c r="A961" s="89" t="str">
        <v/>
      </c>
      <c r="B961" s="89">
        <v>0</v>
      </c>
      <c r="C961" s="90" t="str">
        <v/>
      </c>
      <c r="D961" s="89" t="str">
        <v/>
      </c>
      <c r="E961" s="89" t="str">
        <v/>
      </c>
      <c r="F961" s="89" t="str">
        <v/>
      </c>
      <c r="G961" s="89" t="str">
        <f ca="1"/>
        <v/>
      </c>
    </row>
    <row r="962" spans="1:7" x14ac:dyDescent="0.3">
      <c r="A962" s="89" t="str">
        <v/>
      </c>
      <c r="B962" s="89" t="str">
        <v>Programa de Aire</v>
      </c>
      <c r="C962" s="90" t="str">
        <v/>
      </c>
      <c r="D962" s="89" t="str">
        <v>Evento</v>
      </c>
      <c r="E962" s="89">
        <v>0</v>
      </c>
      <c r="F962" s="89" t="str">
        <v/>
      </c>
      <c r="G962" s="89" t="str">
        <f ca="1"/>
        <v/>
      </c>
    </row>
    <row r="963" spans="1:7" x14ac:dyDescent="0.3">
      <c r="A963" s="89" t="str">
        <v/>
      </c>
      <c r="B963" s="89" t="str">
        <v>Conciencia Ambiental</v>
      </c>
      <c r="C963" s="90" t="str">
        <v/>
      </c>
      <c r="D963" s="89" t="str">
        <v>Periódica</v>
      </c>
      <c r="E963" s="89">
        <v>365</v>
      </c>
      <c r="F963" s="89" t="str">
        <v/>
      </c>
      <c r="G963" s="89" t="str">
        <f ca="1"/>
        <v/>
      </c>
    </row>
    <row r="964" spans="1:7" x14ac:dyDescent="0.3">
      <c r="A964" s="89" t="str">
        <v/>
      </c>
      <c r="B964" s="89" t="str">
        <v xml:space="preserve">Control de Documentos e Informacion de HSE </v>
      </c>
      <c r="C964" s="90" t="str">
        <v/>
      </c>
      <c r="D964" s="89" t="str">
        <v>Evento</v>
      </c>
      <c r="E964" s="89">
        <v>0</v>
      </c>
      <c r="F964" s="89" t="str">
        <v/>
      </c>
      <c r="G964" s="89" t="str">
        <f ca="1"/>
        <v/>
      </c>
    </row>
    <row r="965" spans="1:7" x14ac:dyDescent="0.3">
      <c r="A965" s="89" t="str">
        <v/>
      </c>
      <c r="B965" s="89" t="str">
        <v xml:space="preserve"> Acciones Correctivas y Preventivas (CAPA)</v>
      </c>
      <c r="C965" s="90" t="str">
        <v/>
      </c>
      <c r="D965" s="89" t="str">
        <v>Evento</v>
      </c>
      <c r="E965" s="89">
        <v>0</v>
      </c>
      <c r="F965" s="89" t="str">
        <v/>
      </c>
      <c r="G965" s="89" t="str">
        <f ca="1"/>
        <v/>
      </c>
    </row>
    <row r="966" spans="1:7" x14ac:dyDescent="0.3">
      <c r="A966" s="89" t="str">
        <v/>
      </c>
      <c r="B966" s="89" t="str">
        <v>Seguridad Basada en el Comportamiento (Observation Program) // HSMS.043 / Autoridad de Detener el Trabajo</v>
      </c>
      <c r="C966" s="90" t="str">
        <v/>
      </c>
      <c r="D966" s="89" t="str">
        <v>Periódica</v>
      </c>
      <c r="E966" s="89">
        <v>365</v>
      </c>
      <c r="F966" s="89" t="str">
        <v/>
      </c>
      <c r="G966" s="89" t="str">
        <f ca="1"/>
        <v/>
      </c>
    </row>
    <row r="967" spans="1:7" x14ac:dyDescent="0.3">
      <c r="A967" s="89" t="str">
        <v/>
      </c>
      <c r="B967" s="89" t="str">
        <v>Identificacion de Peligros y Evaluacion de Riesgos</v>
      </c>
      <c r="C967" s="90" t="str">
        <v/>
      </c>
      <c r="D967" s="89" t="str">
        <v>Evento</v>
      </c>
      <c r="E967" s="89">
        <v>0</v>
      </c>
      <c r="F967" s="89" t="str">
        <v/>
      </c>
      <c r="G967" s="89" t="str">
        <f ca="1"/>
        <v/>
      </c>
    </row>
    <row r="968" spans="1:7" x14ac:dyDescent="0.3">
      <c r="A968" s="89" t="str">
        <v/>
      </c>
      <c r="B968" s="89" t="str">
        <v xml:space="preserve"> Plan de Respuesta ante Eemergencias / HSMS.010 /Primeros Axulios &amp; RCP/DEA / HSMSWT-002 / Patogenos Trasnmitidos por la Sangre</v>
      </c>
      <c r="C968" s="90" t="str">
        <v/>
      </c>
      <c r="D968" s="89" t="str">
        <v>Periódica</v>
      </c>
      <c r="E968" s="89">
        <v>365</v>
      </c>
      <c r="F968" s="89" t="str">
        <v/>
      </c>
      <c r="G968" s="89" t="str">
        <f ca="1"/>
        <v/>
      </c>
    </row>
    <row r="969" spans="1:7" x14ac:dyDescent="0.3">
      <c r="A969" s="89" t="str">
        <v/>
      </c>
      <c r="B969" s="89" t="str">
        <v>Reporte y Gestion de Incidentes HSE (Todos)</v>
      </c>
      <c r="C969" s="90" t="str">
        <v/>
      </c>
      <c r="D969" s="89" t="str">
        <v>Periódica</v>
      </c>
      <c r="E969" s="89">
        <v>365</v>
      </c>
      <c r="F969" s="89" t="str">
        <v/>
      </c>
      <c r="G969" s="89" t="str">
        <f ca="1"/>
        <v/>
      </c>
    </row>
    <row r="970" spans="1:7" x14ac:dyDescent="0.3">
      <c r="A970" s="89" t="str">
        <v/>
      </c>
      <c r="B970" s="89" t="str">
        <v>Reporte, Gestion e Investigacion de Incidentes HSE (supervisores / investigadores (rol))</v>
      </c>
      <c r="C970" s="90" t="str">
        <v/>
      </c>
      <c r="D970" s="89" t="str">
        <v>Periódica</v>
      </c>
      <c r="E970" s="89">
        <v>1095</v>
      </c>
      <c r="F970" s="89" t="str">
        <v/>
      </c>
      <c r="G970" s="89" t="str">
        <f ca="1"/>
        <v/>
      </c>
    </row>
    <row r="971" spans="1:7" x14ac:dyDescent="0.3">
      <c r="A971" s="89" t="str">
        <v/>
      </c>
      <c r="B971" s="89" t="str">
        <v>Gruas y Equipos de Izaje (Todos)</v>
      </c>
      <c r="C971" s="90" t="str">
        <v/>
      </c>
      <c r="D971" s="89" t="str">
        <v>Periódica</v>
      </c>
      <c r="E971" s="89">
        <v>365</v>
      </c>
      <c r="F971" s="89" t="str">
        <v/>
      </c>
      <c r="G971" s="89" t="str">
        <f ca="1"/>
        <v/>
      </c>
    </row>
    <row r="972" spans="1:7" x14ac:dyDescent="0.3">
      <c r="A972" s="89" t="str">
        <v/>
      </c>
      <c r="B972" s="89" t="str">
        <v>HSMS.007 / Gruas y Equipos de Izaje (Operadores)</v>
      </c>
      <c r="C972" s="90" t="str">
        <v/>
      </c>
      <c r="D972" s="89" t="str">
        <v>Periódica</v>
      </c>
      <c r="E972" s="89">
        <v>365</v>
      </c>
      <c r="F972" s="89" t="str">
        <v/>
      </c>
      <c r="G972" s="89" t="str">
        <f ca="1"/>
        <v/>
      </c>
    </row>
    <row r="973" spans="1:7" x14ac:dyDescent="0.3">
      <c r="A973" s="89" t="str">
        <v/>
      </c>
      <c r="B973" s="89" t="str">
        <v>Proteccion Contra Incendios (Todos)</v>
      </c>
      <c r="C973" s="90" t="str">
        <v/>
      </c>
      <c r="D973" s="89" t="str">
        <v>Periódica</v>
      </c>
      <c r="E973" s="89">
        <v>365</v>
      </c>
      <c r="F973" s="89" t="str">
        <v/>
      </c>
      <c r="G973" s="89" t="str">
        <f ca="1"/>
        <v/>
      </c>
    </row>
    <row r="974" spans="1:7" x14ac:dyDescent="0.3">
      <c r="A974" s="89" t="str">
        <v/>
      </c>
      <c r="B974" s="89" t="str">
        <v>Proteccion Contra Incendios (Brigadistas)</v>
      </c>
      <c r="C974" s="90" t="str">
        <v/>
      </c>
      <c r="D974" s="89" t="str">
        <v>Periódica</v>
      </c>
      <c r="E974" s="89">
        <v>365</v>
      </c>
      <c r="F974" s="89" t="str">
        <v/>
      </c>
      <c r="G974" s="89" t="str">
        <f ca="1"/>
        <v/>
      </c>
    </row>
    <row r="975" spans="1:7" x14ac:dyDescent="0.3">
      <c r="A975" s="89" t="str">
        <v/>
      </c>
      <c r="B975" s="89" t="str">
        <v>Primeros Auxilios (Brigadistas)</v>
      </c>
      <c r="C975" s="90" t="str">
        <v/>
      </c>
      <c r="D975" s="89" t="str">
        <v>Periódica</v>
      </c>
      <c r="E975" s="89">
        <v>365</v>
      </c>
      <c r="F975" s="89" t="str">
        <v/>
      </c>
      <c r="G975" s="89" t="str">
        <f ca="1"/>
        <v/>
      </c>
    </row>
    <row r="976" spans="1:7" x14ac:dyDescent="0.3">
      <c r="A976" s="89" t="str">
        <v/>
      </c>
      <c r="B976" s="89" t="str">
        <v>Seguridad Electrica (Todos)</v>
      </c>
      <c r="C976" s="90" t="str">
        <v/>
      </c>
      <c r="D976" s="89" t="str">
        <v>Periódica</v>
      </c>
      <c r="E976" s="89">
        <v>365</v>
      </c>
      <c r="F976" s="89" t="str">
        <v/>
      </c>
      <c r="G976" s="89" t="str">
        <f ca="1"/>
        <v/>
      </c>
    </row>
    <row r="977" spans="1:7" x14ac:dyDescent="0.3">
      <c r="A977" s="89" t="str">
        <v/>
      </c>
      <c r="B977" s="89" t="str">
        <v>Seguridad Electrica (Personal Autorizado)</v>
      </c>
      <c r="C977" s="90" t="str">
        <v/>
      </c>
      <c r="D977" s="89" t="str">
        <v>Periódica</v>
      </c>
      <c r="E977" s="89">
        <v>1095</v>
      </c>
      <c r="F977" s="89" t="str">
        <v/>
      </c>
      <c r="G977" s="89" t="str">
        <f ca="1"/>
        <v/>
      </c>
    </row>
    <row r="978" spans="1:7" x14ac:dyDescent="0.3">
      <c r="A978" s="89" t="str">
        <v/>
      </c>
      <c r="B978" s="89" t="str">
        <v>Camiones Industriales Motorizados (PIT) (Todos)</v>
      </c>
      <c r="C978" s="90" t="str">
        <v/>
      </c>
      <c r="D978" s="89" t="str">
        <v>Periódica</v>
      </c>
      <c r="E978" s="89">
        <v>365</v>
      </c>
      <c r="F978" s="89" t="str">
        <v/>
      </c>
      <c r="G978" s="89" t="str">
        <f ca="1"/>
        <v/>
      </c>
    </row>
    <row r="979" spans="1:7" x14ac:dyDescent="0.3">
      <c r="A979" s="89" t="str">
        <v/>
      </c>
      <c r="B979" s="89" t="str">
        <v>Camiones Industriales Motorizados (PIT) (Op. Montacargas)</v>
      </c>
      <c r="C979" s="90" t="str">
        <v/>
      </c>
      <c r="D979" s="89" t="str">
        <v>Periódica</v>
      </c>
      <c r="E979" s="89">
        <v>365</v>
      </c>
      <c r="F979" s="89" t="str">
        <v/>
      </c>
      <c r="G979" s="89" t="str">
        <f ca="1"/>
        <v/>
      </c>
    </row>
    <row r="980" spans="1:7" x14ac:dyDescent="0.3">
      <c r="A980" s="89" t="str">
        <v/>
      </c>
      <c r="B980" s="89" t="str">
        <v>Control de Energias Peligrosas (LOTO) (Todos)</v>
      </c>
      <c r="C980" s="90" t="str">
        <v/>
      </c>
      <c r="D980" s="89" t="str">
        <v>Evento</v>
      </c>
      <c r="E980" s="89">
        <v>0</v>
      </c>
      <c r="F980" s="89" t="str">
        <v/>
      </c>
      <c r="G980" s="89" t="str">
        <f ca="1"/>
        <v/>
      </c>
    </row>
    <row r="981" spans="1:7" x14ac:dyDescent="0.3">
      <c r="A981" s="89" t="str">
        <v/>
      </c>
      <c r="B981" s="89" t="str">
        <v>Control de Energias Peligrosas (LOTO) (Empleados Autorizados)</v>
      </c>
      <c r="C981" s="90" t="str">
        <v/>
      </c>
      <c r="D981" s="89" t="str">
        <v>Periódica</v>
      </c>
      <c r="E981" s="89">
        <v>365</v>
      </c>
      <c r="F981" s="89" t="str">
        <v/>
      </c>
      <c r="G981" s="89" t="str">
        <f ca="1"/>
        <v/>
      </c>
    </row>
    <row r="982" spans="1:7" x14ac:dyDescent="0.3">
      <c r="A982" s="89" t="str">
        <v/>
      </c>
      <c r="B982" s="89" t="str">
        <v>Seguridad aplicada al Pozo &amp; Yacimiento</v>
      </c>
      <c r="C982" s="90" t="str">
        <v/>
      </c>
      <c r="D982" s="89" t="str">
        <v>Periódica</v>
      </c>
      <c r="E982" s="89">
        <v>365</v>
      </c>
      <c r="F982" s="89" t="str">
        <v/>
      </c>
      <c r="G982" s="89" t="str">
        <f ca="1"/>
        <v/>
      </c>
    </row>
    <row r="983" spans="1:7" x14ac:dyDescent="0.3">
      <c r="A983" s="89" t="str">
        <v/>
      </c>
      <c r="B983" s="89" t="str">
        <v>Las Reglas que Salvan Vidas</v>
      </c>
      <c r="C983" s="90" t="str">
        <v/>
      </c>
      <c r="D983" s="89" t="str">
        <v>Periódica</v>
      </c>
      <c r="E983" s="89">
        <v>365</v>
      </c>
      <c r="F983" s="89" t="str">
        <v/>
      </c>
      <c r="G983" s="89" t="str">
        <f ca="1"/>
        <v/>
      </c>
    </row>
    <row r="984" spans="1:7" x14ac:dyDescent="0.3">
      <c r="A984" s="89" t="str">
        <v/>
      </c>
      <c r="B984" s="89" t="str">
        <v xml:space="preserve">Resguardo de Maquinas &amp; Equipos </v>
      </c>
      <c r="C984" s="90" t="str">
        <v/>
      </c>
      <c r="D984" s="89" t="str">
        <v>Periódica</v>
      </c>
      <c r="E984" s="89">
        <v>365</v>
      </c>
      <c r="F984" s="89" t="str">
        <v/>
      </c>
      <c r="G984" s="89" t="str">
        <f ca="1"/>
        <v/>
      </c>
    </row>
    <row r="985" spans="1:7" x14ac:dyDescent="0.3">
      <c r="A985" s="89" t="str">
        <v/>
      </c>
      <c r="B985" s="89" t="str">
        <v>Conduccion y Gestion de Viajes (Todos)</v>
      </c>
      <c r="C985" s="90" t="str">
        <v/>
      </c>
      <c r="D985" s="89" t="str">
        <v>Periódica</v>
      </c>
      <c r="E985" s="89">
        <v>730</v>
      </c>
      <c r="F985" s="89" t="str">
        <v/>
      </c>
      <c r="G985" s="89" t="str">
        <f ca="1"/>
        <v/>
      </c>
    </row>
    <row r="986" spans="1:7" x14ac:dyDescent="0.3">
      <c r="A986" s="89" t="str">
        <v/>
      </c>
      <c r="B986" s="89" t="str">
        <v>Conduccion y Gestion de Viajes (Conductores)</v>
      </c>
      <c r="C986" s="90" t="str">
        <v/>
      </c>
      <c r="D986" s="89" t="str">
        <v>Periódica</v>
      </c>
      <c r="E986" s="89">
        <v>1095</v>
      </c>
      <c r="F986" s="89" t="str">
        <v/>
      </c>
      <c r="G986" s="89" t="str">
        <f ca="1"/>
        <v/>
      </c>
    </row>
    <row r="987" spans="1:7" x14ac:dyDescent="0.3">
      <c r="A987" s="89" t="str">
        <v/>
      </c>
      <c r="B987" s="89" t="str">
        <v>Patogenos Transmitidos por la Sangre</v>
      </c>
      <c r="C987" s="90" t="str">
        <v/>
      </c>
      <c r="D987" s="89" t="str">
        <v>Periódica</v>
      </c>
      <c r="E987" s="89">
        <v>365</v>
      </c>
      <c r="F987" s="89" t="str">
        <v/>
      </c>
      <c r="G987" s="89" t="str">
        <f ca="1"/>
        <v/>
      </c>
    </row>
    <row r="988" spans="1:7" x14ac:dyDescent="0.3">
      <c r="A988" s="89" t="str">
        <v/>
      </c>
      <c r="B988" s="89" t="str">
        <v>Conservacion Auditiva</v>
      </c>
      <c r="C988" s="90" t="str">
        <v/>
      </c>
      <c r="D988" s="89" t="str">
        <v>Periódica</v>
      </c>
      <c r="E988" s="89">
        <v>365</v>
      </c>
      <c r="F988" s="89" t="str">
        <v/>
      </c>
      <c r="G988" s="89" t="str">
        <f ca="1"/>
        <v/>
      </c>
    </row>
    <row r="989" spans="1:7" x14ac:dyDescent="0.3">
      <c r="A989" s="89" t="str">
        <v/>
      </c>
      <c r="B989" s="89" t="str">
        <v xml:space="preserve">Ergonomia //  / Levantamiento &amp; Seguridad en la Espalda </v>
      </c>
      <c r="C989" s="90" t="str">
        <v/>
      </c>
      <c r="D989" s="89" t="str">
        <v>Periódica</v>
      </c>
      <c r="E989" s="89">
        <v>365</v>
      </c>
      <c r="F989" s="89" t="str">
        <v/>
      </c>
      <c r="G989" s="89" t="str">
        <f ca="1"/>
        <v/>
      </c>
    </row>
    <row r="990" spans="1:7" x14ac:dyDescent="0.3">
      <c r="A990" s="89" t="str">
        <v/>
      </c>
      <c r="B990" s="89" t="str">
        <v>Superficies Elevadas (Todos)</v>
      </c>
      <c r="C990" s="90" t="str">
        <v/>
      </c>
      <c r="D990" s="89" t="str">
        <v>Periódica</v>
      </c>
      <c r="E990" s="89">
        <v>365</v>
      </c>
      <c r="F990" s="89" t="str">
        <v/>
      </c>
      <c r="G990" s="89" t="str">
        <f ca="1"/>
        <v/>
      </c>
    </row>
    <row r="991" spans="1:7" x14ac:dyDescent="0.3">
      <c r="A991" s="89" t="str">
        <v/>
      </c>
      <c r="B991" s="89" t="str">
        <v>Superficies Elevadas (Personal Habilitado)</v>
      </c>
      <c r="C991" s="90" t="str">
        <v/>
      </c>
      <c r="D991" s="89" t="str">
        <v>Periódica</v>
      </c>
      <c r="E991" s="89">
        <v>365</v>
      </c>
      <c r="F991" s="89" t="str">
        <v/>
      </c>
      <c r="G991" s="89" t="str">
        <f ca="1"/>
        <v/>
      </c>
    </row>
    <row r="992" spans="1:7" x14ac:dyDescent="0.3">
      <c r="A992" s="89" t="str">
        <v/>
      </c>
      <c r="B992" s="89" t="str">
        <v>Seguridad Quimica (Todos)</v>
      </c>
      <c r="C992" s="90" t="str">
        <v/>
      </c>
      <c r="D992" s="89" t="str">
        <v>Periódica</v>
      </c>
      <c r="E992" s="89">
        <v>730</v>
      </c>
      <c r="F992" s="89" t="str">
        <v/>
      </c>
      <c r="G992" s="89" t="str">
        <f ca="1"/>
        <v/>
      </c>
    </row>
    <row r="993" spans="1:7" x14ac:dyDescent="0.3">
      <c r="A993" s="89" t="str">
        <v/>
      </c>
      <c r="B993" s="89" t="str">
        <v>Seguridad Quimica (Mantenimiento)</v>
      </c>
      <c r="C993" s="90" t="str">
        <v/>
      </c>
      <c r="D993" s="89" t="str">
        <v>Periódica</v>
      </c>
      <c r="E993" s="89">
        <v>365</v>
      </c>
      <c r="F993" s="89" t="str">
        <v/>
      </c>
      <c r="G993" s="89" t="str">
        <f ca="1"/>
        <v/>
      </c>
    </row>
    <row r="994" spans="1:7" x14ac:dyDescent="0.3">
      <c r="A994" s="89" t="str">
        <v/>
      </c>
      <c r="B994" s="89" t="str">
        <v>Seguridad Quimica (Contratistas)</v>
      </c>
      <c r="C994" s="90" t="str">
        <v/>
      </c>
      <c r="D994" s="89" t="str">
        <v>Periódica</v>
      </c>
      <c r="E994" s="89">
        <v>365</v>
      </c>
      <c r="F994" s="89" t="str">
        <v/>
      </c>
      <c r="G994" s="89" t="str">
        <f ca="1"/>
        <v/>
      </c>
    </row>
    <row r="995" spans="1:7" x14ac:dyDescent="0.3">
      <c r="A995" s="89" t="str">
        <v/>
      </c>
      <c r="B995" s="89" t="str">
        <v>Seguridad para Trabajos en Caliente</v>
      </c>
      <c r="C995" s="90" t="str">
        <v/>
      </c>
      <c r="D995" s="89" t="str">
        <v>Periódica</v>
      </c>
      <c r="E995" s="89">
        <v>365</v>
      </c>
      <c r="F995" s="89" t="str">
        <v/>
      </c>
      <c r="G995" s="89" t="str">
        <f ca="1"/>
        <v/>
      </c>
    </row>
    <row r="996" spans="1:7" x14ac:dyDescent="0.3">
      <c r="A996" s="89" t="str">
        <v/>
      </c>
      <c r="B996" s="89" t="str">
        <v>Seguridad con la Radiacion</v>
      </c>
      <c r="C996" s="90" t="str">
        <v/>
      </c>
      <c r="D996" s="89" t="str">
        <v>Periódica</v>
      </c>
      <c r="E996" s="89">
        <v>365</v>
      </c>
      <c r="F996" s="89" t="str">
        <v/>
      </c>
      <c r="G996" s="89" t="str">
        <f ca="1"/>
        <v/>
      </c>
    </row>
    <row r="997" spans="1:7" x14ac:dyDescent="0.3">
      <c r="A997" s="89" t="str">
        <v/>
      </c>
      <c r="B997" s="89" t="str">
        <v>Equipo de Proteccion Personal (PPE)</v>
      </c>
      <c r="C997" s="90" t="str">
        <v/>
      </c>
      <c r="D997" s="89" t="str">
        <v>Periódica</v>
      </c>
      <c r="E997" s="89">
        <v>365</v>
      </c>
      <c r="F997" s="89" t="str">
        <v/>
      </c>
      <c r="G997" s="89" t="str">
        <f ca="1"/>
        <v/>
      </c>
    </row>
    <row r="998" spans="1:7" x14ac:dyDescent="0.3">
      <c r="A998" s="89" t="str">
        <v/>
      </c>
      <c r="B998" s="89" t="str">
        <v>Proteccion Respiratoria</v>
      </c>
      <c r="C998" s="90" t="str">
        <v/>
      </c>
      <c r="D998" s="89" t="str">
        <v>Periódica</v>
      </c>
      <c r="E998" s="89">
        <v>365</v>
      </c>
      <c r="F998" s="89" t="str">
        <v/>
      </c>
      <c r="G998" s="89" t="str">
        <f ca="1"/>
        <v/>
      </c>
    </row>
    <row r="999" spans="1:7" x14ac:dyDescent="0.3">
      <c r="A999" s="89" t="str">
        <v/>
      </c>
      <c r="B999" s="89" t="str">
        <v xml:space="preserve">Seguridad con Escaleras </v>
      </c>
      <c r="C999" s="90" t="str">
        <v/>
      </c>
      <c r="D999" s="89" t="str">
        <v>Periódica</v>
      </c>
      <c r="E999" s="89">
        <v>365</v>
      </c>
      <c r="F999" s="89" t="str">
        <v/>
      </c>
      <c r="G999" s="89" t="str">
        <f ca="1"/>
        <v/>
      </c>
    </row>
    <row r="1000" spans="1:7" x14ac:dyDescent="0.3">
      <c r="A1000" s="89" t="str">
        <v/>
      </c>
      <c r="B1000" s="89" t="str">
        <v>Seguridad con Escaleras // Estantes de Almacenamiento</v>
      </c>
      <c r="C1000" s="90" t="str">
        <v/>
      </c>
      <c r="D1000" s="89" t="str">
        <v>Periódica</v>
      </c>
      <c r="E1000" s="89">
        <v>365</v>
      </c>
      <c r="F1000" s="89" t="str">
        <v/>
      </c>
      <c r="G1000" s="89" t="str">
        <f ca="1"/>
        <v/>
      </c>
    </row>
    <row r="1001" spans="1:7" x14ac:dyDescent="0.3">
      <c r="A1001" s="89" t="str">
        <v/>
      </c>
      <c r="B1001" s="89" t="str">
        <v>Responsabilidades del Supervisor</v>
      </c>
      <c r="C1001" s="90" t="str">
        <v/>
      </c>
      <c r="D1001" s="89" t="str">
        <v>Periódica</v>
      </c>
      <c r="E1001" s="89">
        <v>365</v>
      </c>
      <c r="F1001" s="89" t="str">
        <v/>
      </c>
      <c r="G1001" s="89" t="str">
        <f ca="1"/>
        <v/>
      </c>
    </row>
    <row r="1002" spans="1:7" x14ac:dyDescent="0.3">
      <c r="A1002" s="89" t="str">
        <v/>
      </c>
      <c r="B1002" s="89" t="str">
        <v>Espacios Confinados (Todos)</v>
      </c>
      <c r="C1002" s="90" t="str">
        <v/>
      </c>
      <c r="D1002" s="89" t="str">
        <v>Periódica</v>
      </c>
      <c r="E1002" s="89">
        <v>365</v>
      </c>
      <c r="F1002" s="89" t="str">
        <v/>
      </c>
      <c r="G1002" s="89" t="str">
        <f ca="1"/>
        <v/>
      </c>
    </row>
    <row r="1003" spans="1:7" x14ac:dyDescent="0.3">
      <c r="A1003" s="89" t="str">
        <v/>
      </c>
      <c r="B1003" s="89" t="str">
        <v>HSMS.017 / Espacios Confinados (Entrantes)</v>
      </c>
      <c r="C1003" s="90" t="str">
        <v/>
      </c>
      <c r="D1003" s="89" t="str">
        <v>Evento</v>
      </c>
      <c r="E1003" s="89">
        <v>0</v>
      </c>
      <c r="F1003" s="89" t="str">
        <v/>
      </c>
      <c r="G1003" s="89" t="str">
        <f ca="1"/>
        <v/>
      </c>
    </row>
    <row r="1004" spans="1:7" x14ac:dyDescent="0.3">
      <c r="A1004" s="89" t="str">
        <v/>
      </c>
      <c r="B1004" s="89" t="str">
        <v>Programa de Agua (Todos)</v>
      </c>
      <c r="C1004" s="90" t="str">
        <v/>
      </c>
      <c r="D1004" s="89" t="str">
        <v>Evento</v>
      </c>
      <c r="E1004" s="89">
        <v>0</v>
      </c>
      <c r="F1004" s="89" t="str">
        <v/>
      </c>
      <c r="G1004" s="89" t="str">
        <f ca="1"/>
        <v/>
      </c>
    </row>
    <row r="1005" spans="1:7" x14ac:dyDescent="0.3">
      <c r="A1005" s="89" t="str">
        <v/>
      </c>
      <c r="B1005" s="89" t="str">
        <v>Programa de Agua (HSE)</v>
      </c>
      <c r="C1005" s="90" t="str">
        <v/>
      </c>
      <c r="D1005" s="89" t="str">
        <v>Evento</v>
      </c>
      <c r="E1005" s="89">
        <v>0</v>
      </c>
      <c r="F1005" s="89" t="str">
        <v/>
      </c>
      <c r="G1005" s="89" t="str">
        <f ca="1"/>
        <v/>
      </c>
    </row>
    <row r="1006" spans="1:7" x14ac:dyDescent="0.3">
      <c r="A1006" s="89" t="str">
        <v/>
      </c>
      <c r="B1006" s="89" t="str">
        <v>HIV/SIDA y otras enfermedades de transmisión sexual (ETS)</v>
      </c>
      <c r="C1006" s="90" t="str">
        <v/>
      </c>
      <c r="D1006" s="89" t="str">
        <v>Periódica</v>
      </c>
      <c r="E1006" s="89">
        <v>365</v>
      </c>
      <c r="F1006" s="89" t="str">
        <v/>
      </c>
      <c r="G1006" s="89" t="str">
        <f ca="1"/>
        <v/>
      </c>
    </row>
    <row r="1007" spans="1:7" x14ac:dyDescent="0.3">
      <c r="A1007" s="89" t="str">
        <v/>
      </c>
      <c r="B1007" s="89" t="str">
        <v>Drogas de abuso (concientización y prevención)</v>
      </c>
      <c r="C1007" s="90" t="str">
        <v/>
      </c>
      <c r="D1007" s="89" t="str">
        <v>Periódica</v>
      </c>
      <c r="E1007" s="89">
        <v>365</v>
      </c>
      <c r="F1007" s="89" t="str">
        <v/>
      </c>
      <c r="G1007" s="89" t="str">
        <f ca="1"/>
        <v/>
      </c>
    </row>
    <row r="1008" spans="1:7" x14ac:dyDescent="0.3">
      <c r="A1008" s="89" t="str">
        <v/>
      </c>
      <c r="B1008" s="89" t="str">
        <v>Vida saludable (hábitos, autocuidado y bienestar)</v>
      </c>
      <c r="C1008" s="90" t="str">
        <v/>
      </c>
      <c r="D1008" s="89" t="str">
        <v>Periódica</v>
      </c>
      <c r="E1008" s="89">
        <v>365</v>
      </c>
      <c r="F1008" s="89" t="str">
        <v/>
      </c>
      <c r="G1008" s="89" t="str">
        <f ca="1"/>
        <v/>
      </c>
    </row>
    <row r="1009" spans="1:7" x14ac:dyDescent="0.3">
      <c r="A1009" s="89" t="str">
        <v/>
      </c>
      <c r="B1009" s="89" t="str">
        <v>Primeros auxilios y Reanimación Cardio Pulmonar (RCP)</v>
      </c>
      <c r="C1009" s="90" t="str">
        <v/>
      </c>
      <c r="D1009" s="89" t="str">
        <v>Periódica</v>
      </c>
      <c r="E1009" s="89">
        <v>365</v>
      </c>
      <c r="F1009" s="89" t="str">
        <v/>
      </c>
      <c r="G1009" s="89" t="str">
        <f ca="1"/>
        <v/>
      </c>
    </row>
    <row r="1010" spans="1:7" x14ac:dyDescent="0.3">
      <c r="A1010" s="89" t="str">
        <v/>
      </c>
      <c r="B1010" s="89" t="str">
        <v>Prevención cardiovascular (factores de riesgo y señales de alarma)</v>
      </c>
      <c r="C1010" s="90" t="str">
        <v/>
      </c>
      <c r="D1010" s="89" t="str">
        <v>Periódica</v>
      </c>
      <c r="E1010" s="89">
        <v>365</v>
      </c>
      <c r="F1010" s="89" t="str">
        <v/>
      </c>
      <c r="G1010" s="89" t="str">
        <f ca="1"/>
        <v/>
      </c>
    </row>
    <row r="1011" spans="1:7" x14ac:dyDescent="0.3">
      <c r="A1011" s="89" t="str">
        <v/>
      </c>
      <c r="B1011" s="89" t="str">
        <v>Efectos del tabaco sobre la salud</v>
      </c>
      <c r="C1011" s="90" t="str">
        <v/>
      </c>
      <c r="D1011" s="89" t="str">
        <v>Periódica</v>
      </c>
      <c r="E1011" s="89">
        <v>365</v>
      </c>
      <c r="F1011" s="89" t="str">
        <v/>
      </c>
      <c r="G1011" s="89" t="str">
        <f ca="1"/>
        <v/>
      </c>
    </row>
    <row r="1012" spans="1:7" x14ac:dyDescent="0.3">
      <c r="A1012" s="89" t="str">
        <v/>
      </c>
      <c r="B1012" s="89" t="str">
        <v>Cargadora (Op. Montacargas)</v>
      </c>
      <c r="C1012" s="90" t="str">
        <v/>
      </c>
      <c r="D1012" s="89" t="str">
        <v>Periódica</v>
      </c>
      <c r="E1012" s="89">
        <v>365</v>
      </c>
      <c r="F1012" s="89" t="str">
        <v/>
      </c>
      <c r="G1012" s="89" t="str">
        <f ca="1"/>
        <v/>
      </c>
    </row>
    <row r="1013" spans="1:7" x14ac:dyDescent="0.3">
      <c r="A1013" s="89" t="str">
        <v/>
      </c>
      <c r="B1013" s="89">
        <v>0</v>
      </c>
      <c r="C1013" s="90" t="str">
        <v/>
      </c>
      <c r="D1013" s="89" t="str">
        <v/>
      </c>
      <c r="E1013" s="89" t="str">
        <v/>
      </c>
      <c r="F1013" s="89" t="str">
        <v/>
      </c>
      <c r="G1013" s="89" t="str">
        <f ca="1"/>
        <v/>
      </c>
    </row>
    <row r="1014" spans="1:7" x14ac:dyDescent="0.3">
      <c r="A1014" s="89" t="str">
        <v/>
      </c>
      <c r="B1014" s="89">
        <v>0</v>
      </c>
      <c r="C1014" s="90" t="str">
        <v/>
      </c>
      <c r="D1014" s="89" t="str">
        <v/>
      </c>
      <c r="E1014" s="89" t="str">
        <v/>
      </c>
      <c r="F1014" s="89" t="str">
        <v/>
      </c>
      <c r="G1014" s="89" t="str">
        <f ca="1"/>
        <v/>
      </c>
    </row>
    <row r="1015" spans="1:7" x14ac:dyDescent="0.3">
      <c r="A1015" s="89" t="str">
        <v/>
      </c>
      <c r="B1015" s="89">
        <v>0</v>
      </c>
      <c r="C1015" s="90" t="str">
        <v/>
      </c>
      <c r="D1015" s="89" t="str">
        <v/>
      </c>
      <c r="E1015" s="89" t="str">
        <v/>
      </c>
      <c r="F1015" s="89" t="str">
        <v/>
      </c>
      <c r="G1015" s="89" t="str">
        <f ca="1"/>
        <v/>
      </c>
    </row>
    <row r="1016" spans="1:7" x14ac:dyDescent="0.3">
      <c r="A1016" s="89" t="str">
        <v/>
      </c>
      <c r="B1016" s="89">
        <v>0</v>
      </c>
      <c r="C1016" s="90" t="str">
        <v/>
      </c>
      <c r="D1016" s="89" t="str">
        <v/>
      </c>
      <c r="E1016" s="89" t="str">
        <v/>
      </c>
      <c r="F1016" s="89" t="str">
        <v/>
      </c>
      <c r="G1016" s="89" t="str">
        <f ca="1"/>
        <v/>
      </c>
    </row>
    <row r="1017" spans="1:7" x14ac:dyDescent="0.3">
      <c r="A1017" s="89" t="str">
        <v/>
      </c>
      <c r="B1017" s="89">
        <v>0</v>
      </c>
      <c r="C1017" s="90" t="str">
        <v/>
      </c>
      <c r="D1017" s="89" t="str">
        <v/>
      </c>
      <c r="E1017" s="89" t="str">
        <v/>
      </c>
      <c r="F1017" s="89" t="str">
        <v/>
      </c>
      <c r="G1017" s="89" t="str">
        <f ca="1"/>
        <v/>
      </c>
    </row>
    <row r="1018" spans="1:7" x14ac:dyDescent="0.3">
      <c r="A1018" s="89" t="str">
        <v/>
      </c>
      <c r="B1018" s="89">
        <v>0</v>
      </c>
      <c r="C1018" s="90" t="str">
        <v/>
      </c>
      <c r="D1018" s="89" t="str">
        <v/>
      </c>
      <c r="E1018" s="89" t="str">
        <v/>
      </c>
      <c r="F1018" s="89" t="str">
        <v/>
      </c>
      <c r="G1018" s="89" t="str">
        <f ca="1"/>
        <v/>
      </c>
    </row>
    <row r="1019" spans="1:7" x14ac:dyDescent="0.3">
      <c r="A1019" s="89" t="str">
        <v/>
      </c>
      <c r="B1019" s="89">
        <v>0</v>
      </c>
      <c r="C1019" s="90" t="str">
        <v/>
      </c>
      <c r="D1019" s="89" t="str">
        <v/>
      </c>
      <c r="E1019" s="89" t="str">
        <v/>
      </c>
      <c r="F1019" s="89" t="str">
        <v/>
      </c>
      <c r="G1019" s="89" t="str">
        <f ca="1"/>
        <v/>
      </c>
    </row>
    <row r="1020" spans="1:7" x14ac:dyDescent="0.3">
      <c r="A1020" s="89" t="str">
        <v/>
      </c>
      <c r="B1020" s="89">
        <v>0</v>
      </c>
      <c r="C1020" s="90" t="str">
        <v/>
      </c>
      <c r="D1020" s="89" t="str">
        <v/>
      </c>
      <c r="E1020" s="89" t="str">
        <v/>
      </c>
      <c r="F1020" s="89" t="str">
        <v/>
      </c>
      <c r="G1020" s="89" t="str">
        <f ca="1"/>
        <v/>
      </c>
    </row>
    <row r="1021" spans="1:7" x14ac:dyDescent="0.3">
      <c r="A1021" s="89" t="str">
        <v/>
      </c>
      <c r="B1021" s="89">
        <v>0</v>
      </c>
      <c r="C1021" s="90" t="str">
        <v/>
      </c>
      <c r="D1021" s="89" t="str">
        <v/>
      </c>
      <c r="E1021" s="89" t="str">
        <v/>
      </c>
      <c r="F1021" s="89" t="str">
        <v/>
      </c>
      <c r="G1021" s="89" t="str">
        <f ca="1"/>
        <v/>
      </c>
    </row>
    <row r="1022" spans="1:7" x14ac:dyDescent="0.3">
      <c r="A1022" s="89" t="str">
        <v/>
      </c>
      <c r="B1022" s="89" t="str">
        <v>Programa de Aire</v>
      </c>
      <c r="C1022" s="90" t="str">
        <v/>
      </c>
      <c r="D1022" s="89" t="str">
        <v>Evento</v>
      </c>
      <c r="E1022" s="89">
        <v>0</v>
      </c>
      <c r="F1022" s="89" t="str">
        <v/>
      </c>
      <c r="G1022" s="89" t="str">
        <f ca="1"/>
        <v/>
      </c>
    </row>
    <row r="1023" spans="1:7" x14ac:dyDescent="0.3">
      <c r="A1023" s="89" t="str">
        <v/>
      </c>
      <c r="B1023" s="89" t="str">
        <v>Conciencia Ambiental</v>
      </c>
      <c r="C1023" s="90" t="str">
        <v/>
      </c>
      <c r="D1023" s="89" t="str">
        <v>Periódica</v>
      </c>
      <c r="E1023" s="89">
        <v>365</v>
      </c>
      <c r="F1023" s="89" t="str">
        <v/>
      </c>
      <c r="G1023" s="89" t="str">
        <f ca="1"/>
        <v/>
      </c>
    </row>
    <row r="1024" spans="1:7" x14ac:dyDescent="0.3">
      <c r="A1024" s="89" t="str">
        <v/>
      </c>
      <c r="B1024" s="89" t="str">
        <v xml:space="preserve">Control de Documentos e Informacion de HSE </v>
      </c>
      <c r="C1024" s="90" t="str">
        <v/>
      </c>
      <c r="D1024" s="89" t="str">
        <v>Evento</v>
      </c>
      <c r="E1024" s="89">
        <v>0</v>
      </c>
      <c r="F1024" s="89" t="str">
        <v/>
      </c>
      <c r="G1024" s="89" t="str">
        <f ca="1"/>
        <v/>
      </c>
    </row>
    <row r="1025" spans="1:7" x14ac:dyDescent="0.3">
      <c r="A1025" s="89" t="str">
        <v/>
      </c>
      <c r="B1025" s="89" t="str">
        <v xml:space="preserve"> Acciones Correctivas y Preventivas (CAPA)</v>
      </c>
      <c r="C1025" s="90" t="str">
        <v/>
      </c>
      <c r="D1025" s="89" t="str">
        <v>Evento</v>
      </c>
      <c r="E1025" s="89">
        <v>0</v>
      </c>
      <c r="F1025" s="89" t="str">
        <v/>
      </c>
      <c r="G1025" s="89" t="str">
        <f ca="1"/>
        <v/>
      </c>
    </row>
    <row r="1026" spans="1:7" x14ac:dyDescent="0.3">
      <c r="A1026" s="89" t="str">
        <v/>
      </c>
      <c r="B1026" s="89" t="str">
        <v>Seguridad Basada en el Comportamiento (Observation Program) // HSMS.043 / Autoridad de Detener el Trabajo</v>
      </c>
      <c r="C1026" s="90" t="str">
        <v/>
      </c>
      <c r="D1026" s="89" t="str">
        <v>Periódica</v>
      </c>
      <c r="E1026" s="89">
        <v>365</v>
      </c>
      <c r="F1026" s="89" t="str">
        <v/>
      </c>
      <c r="G1026" s="89" t="str">
        <f ca="1"/>
        <v/>
      </c>
    </row>
    <row r="1027" spans="1:7" x14ac:dyDescent="0.3">
      <c r="A1027" s="89" t="str">
        <v/>
      </c>
      <c r="B1027" s="89" t="str">
        <v>Identificacion de Peligros y Evaluacion de Riesgos</v>
      </c>
      <c r="C1027" s="90" t="str">
        <v/>
      </c>
      <c r="D1027" s="89" t="str">
        <v>Evento</v>
      </c>
      <c r="E1027" s="89">
        <v>0</v>
      </c>
      <c r="F1027" s="89" t="str">
        <v/>
      </c>
      <c r="G1027" s="89" t="str">
        <f ca="1"/>
        <v/>
      </c>
    </row>
    <row r="1028" spans="1:7" x14ac:dyDescent="0.3">
      <c r="A1028" s="89" t="str">
        <v/>
      </c>
      <c r="B1028" s="89" t="str">
        <v xml:space="preserve"> Plan de Respuesta ante Eemergencias / HSMS.010 /Primeros Axulios &amp; RCP/DEA / HSMSWT-002 / Patogenos Trasnmitidos por la Sangre</v>
      </c>
      <c r="C1028" s="90" t="str">
        <v/>
      </c>
      <c r="D1028" s="89" t="str">
        <v>Periódica</v>
      </c>
      <c r="E1028" s="89">
        <v>365</v>
      </c>
      <c r="F1028" s="89" t="str">
        <v/>
      </c>
      <c r="G1028" s="89" t="str">
        <f ca="1"/>
        <v/>
      </c>
    </row>
    <row r="1029" spans="1:7" x14ac:dyDescent="0.3">
      <c r="A1029" s="89" t="str">
        <v/>
      </c>
      <c r="B1029" s="89" t="str">
        <v>Reporte y Gestion de Incidentes HSE (Todos)</v>
      </c>
      <c r="C1029" s="90" t="str">
        <v/>
      </c>
      <c r="D1029" s="89" t="str">
        <v>Periódica</v>
      </c>
      <c r="E1029" s="89">
        <v>365</v>
      </c>
      <c r="F1029" s="89" t="str">
        <v/>
      </c>
      <c r="G1029" s="89" t="str">
        <f ca="1"/>
        <v/>
      </c>
    </row>
    <row r="1030" spans="1:7" x14ac:dyDescent="0.3">
      <c r="A1030" s="89" t="str">
        <v/>
      </c>
      <c r="B1030" s="89" t="str">
        <v>Reporte, Gestion e Investigacion de Incidentes HSE (supervisores / investigadores (rol))</v>
      </c>
      <c r="C1030" s="90" t="str">
        <v/>
      </c>
      <c r="D1030" s="89" t="str">
        <v>Periódica</v>
      </c>
      <c r="E1030" s="89">
        <v>1095</v>
      </c>
      <c r="F1030" s="89" t="str">
        <v/>
      </c>
      <c r="G1030" s="89" t="str">
        <f ca="1"/>
        <v/>
      </c>
    </row>
    <row r="1031" spans="1:7" x14ac:dyDescent="0.3">
      <c r="A1031" s="89" t="str">
        <v/>
      </c>
      <c r="B1031" s="89" t="str">
        <v>Gruas y Equipos de Izaje (Todos)</v>
      </c>
      <c r="C1031" s="90" t="str">
        <v/>
      </c>
      <c r="D1031" s="89" t="str">
        <v>Periódica</v>
      </c>
      <c r="E1031" s="89">
        <v>365</v>
      </c>
      <c r="F1031" s="89" t="str">
        <v/>
      </c>
      <c r="G1031" s="89" t="str">
        <f ca="1"/>
        <v/>
      </c>
    </row>
    <row r="1032" spans="1:7" x14ac:dyDescent="0.3">
      <c r="A1032" s="89" t="str">
        <v/>
      </c>
      <c r="B1032" s="89" t="str">
        <v>HSMS.007 / Gruas y Equipos de Izaje (Operadores)</v>
      </c>
      <c r="C1032" s="90" t="str">
        <v/>
      </c>
      <c r="D1032" s="89" t="str">
        <v>Periódica</v>
      </c>
      <c r="E1032" s="89">
        <v>365</v>
      </c>
      <c r="F1032" s="89" t="str">
        <v/>
      </c>
      <c r="G1032" s="89" t="str">
        <f ca="1"/>
        <v/>
      </c>
    </row>
    <row r="1033" spans="1:7" x14ac:dyDescent="0.3">
      <c r="A1033" s="89" t="str">
        <v/>
      </c>
      <c r="B1033" s="89" t="str">
        <v>Proteccion Contra Incendios (Todos)</v>
      </c>
      <c r="C1033" s="90" t="str">
        <v/>
      </c>
      <c r="D1033" s="89" t="str">
        <v>Periódica</v>
      </c>
      <c r="E1033" s="89">
        <v>365</v>
      </c>
      <c r="F1033" s="89" t="str">
        <v/>
      </c>
      <c r="G1033" s="89" t="str">
        <f ca="1"/>
        <v/>
      </c>
    </row>
    <row r="1034" spans="1:7" x14ac:dyDescent="0.3">
      <c r="A1034" s="89" t="str">
        <v/>
      </c>
      <c r="B1034" s="89" t="str">
        <v>Proteccion Contra Incendios (Brigadistas)</v>
      </c>
      <c r="C1034" s="90" t="str">
        <v/>
      </c>
      <c r="D1034" s="89" t="str">
        <v>Periódica</v>
      </c>
      <c r="E1034" s="89">
        <v>365</v>
      </c>
      <c r="F1034" s="89" t="str">
        <v/>
      </c>
      <c r="G1034" s="89" t="str">
        <f ca="1"/>
        <v/>
      </c>
    </row>
    <row r="1035" spans="1:7" x14ac:dyDescent="0.3">
      <c r="A1035" s="89" t="str">
        <v/>
      </c>
      <c r="B1035" s="89" t="str">
        <v>Primeros Auxilios (Brigadistas)</v>
      </c>
      <c r="C1035" s="90" t="str">
        <v/>
      </c>
      <c r="D1035" s="89" t="str">
        <v>Periódica</v>
      </c>
      <c r="E1035" s="89">
        <v>365</v>
      </c>
      <c r="F1035" s="89" t="str">
        <v/>
      </c>
      <c r="G1035" s="89" t="str">
        <f ca="1"/>
        <v/>
      </c>
    </row>
    <row r="1036" spans="1:7" x14ac:dyDescent="0.3">
      <c r="A1036" s="89" t="str">
        <v/>
      </c>
      <c r="B1036" s="89" t="str">
        <v>Seguridad Electrica (Todos)</v>
      </c>
      <c r="C1036" s="90" t="str">
        <v/>
      </c>
      <c r="D1036" s="89" t="str">
        <v>Periódica</v>
      </c>
      <c r="E1036" s="89">
        <v>365</v>
      </c>
      <c r="F1036" s="89" t="str">
        <v/>
      </c>
      <c r="G1036" s="89" t="str">
        <f ca="1"/>
        <v/>
      </c>
    </row>
    <row r="1037" spans="1:7" x14ac:dyDescent="0.3">
      <c r="A1037" s="89" t="str">
        <v/>
      </c>
      <c r="B1037" s="89" t="str">
        <v>Seguridad Electrica (Personal Autorizado)</v>
      </c>
      <c r="C1037" s="90" t="str">
        <v/>
      </c>
      <c r="D1037" s="89" t="str">
        <v>Periódica</v>
      </c>
      <c r="E1037" s="89">
        <v>1095</v>
      </c>
      <c r="F1037" s="89" t="str">
        <v/>
      </c>
      <c r="G1037" s="89" t="str">
        <f ca="1"/>
        <v/>
      </c>
    </row>
    <row r="1038" spans="1:7" x14ac:dyDescent="0.3">
      <c r="A1038" s="89" t="str">
        <v/>
      </c>
      <c r="B1038" s="89" t="str">
        <v>Camiones Industriales Motorizados (PIT) (Todos)</v>
      </c>
      <c r="C1038" s="90" t="str">
        <v/>
      </c>
      <c r="D1038" s="89" t="str">
        <v>Periódica</v>
      </c>
      <c r="E1038" s="89">
        <v>365</v>
      </c>
      <c r="F1038" s="89" t="str">
        <v/>
      </c>
      <c r="G1038" s="89" t="str">
        <f ca="1"/>
        <v/>
      </c>
    </row>
    <row r="1039" spans="1:7" x14ac:dyDescent="0.3">
      <c r="A1039" s="89" t="str">
        <v/>
      </c>
      <c r="B1039" s="89" t="str">
        <v>Camiones Industriales Motorizados (PIT) (Op. Montacargas)</v>
      </c>
      <c r="C1039" s="90" t="str">
        <v/>
      </c>
      <c r="D1039" s="89" t="str">
        <v>Periódica</v>
      </c>
      <c r="E1039" s="89">
        <v>365</v>
      </c>
      <c r="F1039" s="89" t="str">
        <v/>
      </c>
      <c r="G1039" s="89" t="str">
        <f ca="1"/>
        <v/>
      </c>
    </row>
    <row r="1040" spans="1:7" x14ac:dyDescent="0.3">
      <c r="A1040" s="89" t="str">
        <v/>
      </c>
      <c r="B1040" s="89" t="str">
        <v>Control de Energias Peligrosas (LOTO) (Todos)</v>
      </c>
      <c r="C1040" s="90" t="str">
        <v/>
      </c>
      <c r="D1040" s="89" t="str">
        <v>Evento</v>
      </c>
      <c r="E1040" s="89">
        <v>0</v>
      </c>
      <c r="F1040" s="89" t="str">
        <v/>
      </c>
      <c r="G1040" s="89" t="str">
        <f ca="1"/>
        <v/>
      </c>
    </row>
    <row r="1041" spans="1:7" x14ac:dyDescent="0.3">
      <c r="A1041" s="89" t="str">
        <v/>
      </c>
      <c r="B1041" s="89" t="str">
        <v>Control de Energias Peligrosas (LOTO) (Empleados Autorizados)</v>
      </c>
      <c r="C1041" s="90" t="str">
        <v/>
      </c>
      <c r="D1041" s="89" t="str">
        <v>Periódica</v>
      </c>
      <c r="E1041" s="89">
        <v>365</v>
      </c>
      <c r="F1041" s="89" t="str">
        <v/>
      </c>
      <c r="G1041" s="89" t="str">
        <f ca="1"/>
        <v/>
      </c>
    </row>
    <row r="1042" spans="1:7" x14ac:dyDescent="0.3">
      <c r="A1042" s="89" t="str">
        <v/>
      </c>
      <c r="B1042" s="89" t="str">
        <v>Seguridad aplicada al Pozo &amp; Yacimiento</v>
      </c>
      <c r="C1042" s="90" t="str">
        <v/>
      </c>
      <c r="D1042" s="89" t="str">
        <v>Periódica</v>
      </c>
      <c r="E1042" s="89">
        <v>365</v>
      </c>
      <c r="F1042" s="89" t="str">
        <v/>
      </c>
      <c r="G1042" s="89" t="str">
        <f ca="1"/>
        <v/>
      </c>
    </row>
    <row r="1043" spans="1:7" x14ac:dyDescent="0.3">
      <c r="A1043" s="89" t="str">
        <v/>
      </c>
      <c r="B1043" s="89" t="str">
        <v>Las Reglas que Salvan Vidas</v>
      </c>
      <c r="C1043" s="90" t="str">
        <v/>
      </c>
      <c r="D1043" s="89" t="str">
        <v>Periódica</v>
      </c>
      <c r="E1043" s="89">
        <v>365</v>
      </c>
      <c r="F1043" s="89" t="str">
        <v/>
      </c>
      <c r="G1043" s="89" t="str">
        <f ca="1"/>
        <v/>
      </c>
    </row>
    <row r="1044" spans="1:7" x14ac:dyDescent="0.3">
      <c r="A1044" s="89" t="str">
        <v/>
      </c>
      <c r="B1044" s="89" t="str">
        <v xml:space="preserve">Resguardo de Maquinas &amp; Equipos </v>
      </c>
      <c r="C1044" s="90" t="str">
        <v/>
      </c>
      <c r="D1044" s="89" t="str">
        <v>Periódica</v>
      </c>
      <c r="E1044" s="89">
        <v>365</v>
      </c>
      <c r="F1044" s="89" t="str">
        <v/>
      </c>
      <c r="G1044" s="89" t="str">
        <f ca="1"/>
        <v/>
      </c>
    </row>
    <row r="1045" spans="1:7" x14ac:dyDescent="0.3">
      <c r="A1045" s="89" t="str">
        <v/>
      </c>
      <c r="B1045" s="89" t="str">
        <v>Conduccion y Gestion de Viajes (Todos)</v>
      </c>
      <c r="C1045" s="90" t="str">
        <v/>
      </c>
      <c r="D1045" s="89" t="str">
        <v>Periódica</v>
      </c>
      <c r="E1045" s="89">
        <v>730</v>
      </c>
      <c r="F1045" s="89" t="str">
        <v/>
      </c>
      <c r="G1045" s="89" t="str">
        <f ca="1"/>
        <v/>
      </c>
    </row>
    <row r="1046" spans="1:7" x14ac:dyDescent="0.3">
      <c r="A1046" s="89" t="str">
        <v/>
      </c>
      <c r="B1046" s="89" t="str">
        <v>Conduccion y Gestion de Viajes (Conductores)</v>
      </c>
      <c r="C1046" s="90" t="str">
        <v/>
      </c>
      <c r="D1046" s="89" t="str">
        <v>Periódica</v>
      </c>
      <c r="E1046" s="89">
        <v>1095</v>
      </c>
      <c r="F1046" s="89" t="str">
        <v/>
      </c>
      <c r="G1046" s="89" t="str">
        <f ca="1"/>
        <v/>
      </c>
    </row>
    <row r="1047" spans="1:7" x14ac:dyDescent="0.3">
      <c r="A1047" s="89" t="str">
        <v/>
      </c>
      <c r="B1047" s="89" t="str">
        <v>Patogenos Transmitidos por la Sangre</v>
      </c>
      <c r="C1047" s="90" t="str">
        <v/>
      </c>
      <c r="D1047" s="89" t="str">
        <v>Periódica</v>
      </c>
      <c r="E1047" s="89">
        <v>365</v>
      </c>
      <c r="F1047" s="89" t="str">
        <v/>
      </c>
      <c r="G1047" s="89" t="str">
        <f ca="1"/>
        <v/>
      </c>
    </row>
    <row r="1048" spans="1:7" x14ac:dyDescent="0.3">
      <c r="A1048" s="89" t="str">
        <v/>
      </c>
      <c r="B1048" s="89" t="str">
        <v>Conservacion Auditiva</v>
      </c>
      <c r="C1048" s="90" t="str">
        <v/>
      </c>
      <c r="D1048" s="89" t="str">
        <v>Periódica</v>
      </c>
      <c r="E1048" s="89">
        <v>365</v>
      </c>
      <c r="F1048" s="89" t="str">
        <v/>
      </c>
      <c r="G1048" s="89" t="str">
        <f ca="1"/>
        <v/>
      </c>
    </row>
    <row r="1049" spans="1:7" x14ac:dyDescent="0.3">
      <c r="A1049" s="89" t="str">
        <v/>
      </c>
      <c r="B1049" s="89" t="str">
        <v xml:space="preserve">Ergonomia //  / Levantamiento &amp; Seguridad en la Espalda </v>
      </c>
      <c r="C1049" s="90" t="str">
        <v/>
      </c>
      <c r="D1049" s="89" t="str">
        <v>Periódica</v>
      </c>
      <c r="E1049" s="89">
        <v>365</v>
      </c>
      <c r="F1049" s="89" t="str">
        <v/>
      </c>
      <c r="G1049" s="89" t="str">
        <f ca="1"/>
        <v/>
      </c>
    </row>
    <row r="1050" spans="1:7" x14ac:dyDescent="0.3">
      <c r="A1050" s="89" t="str">
        <v/>
      </c>
      <c r="B1050" s="89" t="str">
        <v>Superficies Elevadas (Todos)</v>
      </c>
      <c r="C1050" s="90" t="str">
        <v/>
      </c>
      <c r="D1050" s="89" t="str">
        <v>Periódica</v>
      </c>
      <c r="E1050" s="89">
        <v>365</v>
      </c>
      <c r="F1050" s="89" t="str">
        <v/>
      </c>
      <c r="G1050" s="89" t="str">
        <f ca="1"/>
        <v/>
      </c>
    </row>
    <row r="1051" spans="1:7" x14ac:dyDescent="0.3">
      <c r="A1051" s="89" t="str">
        <v/>
      </c>
      <c r="B1051" s="89" t="str">
        <v>Superficies Elevadas (Personal Habilitado)</v>
      </c>
      <c r="C1051" s="90" t="str">
        <v/>
      </c>
      <c r="D1051" s="89" t="str">
        <v>Periódica</v>
      </c>
      <c r="E1051" s="89">
        <v>365</v>
      </c>
      <c r="F1051" s="89" t="str">
        <v/>
      </c>
      <c r="G1051" s="89" t="str">
        <f ca="1"/>
        <v/>
      </c>
    </row>
    <row r="1052" spans="1:7" x14ac:dyDescent="0.3">
      <c r="A1052" s="89" t="str">
        <v/>
      </c>
      <c r="B1052" s="89" t="str">
        <v>Seguridad Quimica (Todos)</v>
      </c>
      <c r="C1052" s="90" t="str">
        <v/>
      </c>
      <c r="D1052" s="89" t="str">
        <v>Periódica</v>
      </c>
      <c r="E1052" s="89">
        <v>730</v>
      </c>
      <c r="F1052" s="89" t="str">
        <v/>
      </c>
      <c r="G1052" s="89" t="str">
        <f ca="1"/>
        <v/>
      </c>
    </row>
    <row r="1053" spans="1:7" x14ac:dyDescent="0.3">
      <c r="A1053" s="89" t="str">
        <v/>
      </c>
      <c r="B1053" s="89" t="str">
        <v>Seguridad Quimica (Mantenimiento)</v>
      </c>
      <c r="C1053" s="90" t="str">
        <v/>
      </c>
      <c r="D1053" s="89" t="str">
        <v>Periódica</v>
      </c>
      <c r="E1053" s="89">
        <v>365</v>
      </c>
      <c r="F1053" s="89" t="str">
        <v/>
      </c>
      <c r="G1053" s="89" t="str">
        <f ca="1"/>
        <v/>
      </c>
    </row>
    <row r="1054" spans="1:7" x14ac:dyDescent="0.3">
      <c r="A1054" s="89" t="str">
        <v/>
      </c>
      <c r="B1054" s="89" t="str">
        <v>Seguridad Quimica (Contratistas)</v>
      </c>
      <c r="C1054" s="90" t="str">
        <v/>
      </c>
      <c r="D1054" s="89" t="str">
        <v>Periódica</v>
      </c>
      <c r="E1054" s="89">
        <v>365</v>
      </c>
      <c r="F1054" s="89" t="str">
        <v/>
      </c>
      <c r="G1054" s="89" t="str">
        <f ca="1"/>
        <v/>
      </c>
    </row>
    <row r="1055" spans="1:7" x14ac:dyDescent="0.3">
      <c r="A1055" s="89" t="str">
        <v/>
      </c>
      <c r="B1055" s="89" t="str">
        <v>Seguridad para Trabajos en Caliente</v>
      </c>
      <c r="C1055" s="90" t="str">
        <v/>
      </c>
      <c r="D1055" s="89" t="str">
        <v>Periódica</v>
      </c>
      <c r="E1055" s="89">
        <v>365</v>
      </c>
      <c r="F1055" s="89" t="str">
        <v/>
      </c>
      <c r="G1055" s="89" t="str">
        <f ca="1"/>
        <v/>
      </c>
    </row>
    <row r="1056" spans="1:7" x14ac:dyDescent="0.3">
      <c r="A1056" s="89" t="str">
        <v/>
      </c>
      <c r="B1056" s="89" t="str">
        <v>Seguridad con la Radiacion</v>
      </c>
      <c r="C1056" s="90" t="str">
        <v/>
      </c>
      <c r="D1056" s="89" t="str">
        <v>Periódica</v>
      </c>
      <c r="E1056" s="89">
        <v>365</v>
      </c>
      <c r="F1056" s="89" t="str">
        <v/>
      </c>
      <c r="G1056" s="89" t="str">
        <f ca="1"/>
        <v/>
      </c>
    </row>
    <row r="1057" spans="1:7" x14ac:dyDescent="0.3">
      <c r="A1057" s="89" t="str">
        <v/>
      </c>
      <c r="B1057" s="89" t="str">
        <v>Equipo de Proteccion Personal (PPE)</v>
      </c>
      <c r="C1057" s="90" t="str">
        <v/>
      </c>
      <c r="D1057" s="89" t="str">
        <v>Periódica</v>
      </c>
      <c r="E1057" s="89">
        <v>365</v>
      </c>
      <c r="F1057" s="89" t="str">
        <v/>
      </c>
      <c r="G1057" s="89" t="str">
        <f ca="1"/>
        <v/>
      </c>
    </row>
    <row r="1058" spans="1:7" x14ac:dyDescent="0.3">
      <c r="A1058" s="89" t="str">
        <v/>
      </c>
      <c r="B1058" s="89" t="str">
        <v>Proteccion Respiratoria</v>
      </c>
      <c r="C1058" s="90" t="str">
        <v/>
      </c>
      <c r="D1058" s="89" t="str">
        <v>Periódica</v>
      </c>
      <c r="E1058" s="89">
        <v>365</v>
      </c>
      <c r="F1058" s="89" t="str">
        <v/>
      </c>
      <c r="G1058" s="89" t="str">
        <f ca="1"/>
        <v/>
      </c>
    </row>
    <row r="1059" spans="1:7" x14ac:dyDescent="0.3">
      <c r="A1059" s="89" t="str">
        <v/>
      </c>
      <c r="B1059" s="89" t="str">
        <v xml:space="preserve">Seguridad con Escaleras </v>
      </c>
      <c r="C1059" s="90" t="str">
        <v/>
      </c>
      <c r="D1059" s="89" t="str">
        <v>Periódica</v>
      </c>
      <c r="E1059" s="89">
        <v>365</v>
      </c>
      <c r="F1059" s="89" t="str">
        <v/>
      </c>
      <c r="G1059" s="89" t="str">
        <f ca="1"/>
        <v/>
      </c>
    </row>
    <row r="1060" spans="1:7" x14ac:dyDescent="0.3">
      <c r="A1060" s="89" t="str">
        <v/>
      </c>
      <c r="B1060" s="89" t="str">
        <v>Seguridad con Escaleras // Estantes de Almacenamiento</v>
      </c>
      <c r="C1060" s="90" t="str">
        <v/>
      </c>
      <c r="D1060" s="89" t="str">
        <v>Periódica</v>
      </c>
      <c r="E1060" s="89">
        <v>365</v>
      </c>
      <c r="F1060" s="89" t="str">
        <v/>
      </c>
      <c r="G1060" s="89" t="str">
        <f ca="1"/>
        <v/>
      </c>
    </row>
    <row r="1061" spans="1:7" x14ac:dyDescent="0.3">
      <c r="A1061" s="89" t="str">
        <v/>
      </c>
      <c r="B1061" s="89" t="str">
        <v>Responsabilidades del Supervisor</v>
      </c>
      <c r="C1061" s="90" t="str">
        <v/>
      </c>
      <c r="D1061" s="89" t="str">
        <v>Periódica</v>
      </c>
      <c r="E1061" s="89">
        <v>365</v>
      </c>
      <c r="F1061" s="89" t="str">
        <v/>
      </c>
      <c r="G1061" s="89" t="str">
        <f ca="1"/>
        <v/>
      </c>
    </row>
    <row r="1062" spans="1:7" x14ac:dyDescent="0.3">
      <c r="A1062" s="89" t="str">
        <v/>
      </c>
      <c r="B1062" s="89" t="str">
        <v>Espacios Confinados (Todos)</v>
      </c>
      <c r="C1062" s="90" t="str">
        <v/>
      </c>
      <c r="D1062" s="89" t="str">
        <v>Periódica</v>
      </c>
      <c r="E1062" s="89">
        <v>365</v>
      </c>
      <c r="F1062" s="89" t="str">
        <v/>
      </c>
      <c r="G1062" s="89" t="str">
        <f ca="1"/>
        <v/>
      </c>
    </row>
    <row r="1063" spans="1:7" x14ac:dyDescent="0.3">
      <c r="A1063" s="89" t="str">
        <v/>
      </c>
      <c r="B1063" s="89" t="str">
        <v>HSMS.017 / Espacios Confinados (Entrantes)</v>
      </c>
      <c r="C1063" s="90" t="str">
        <v/>
      </c>
      <c r="D1063" s="89" t="str">
        <v>Evento</v>
      </c>
      <c r="E1063" s="89">
        <v>0</v>
      </c>
      <c r="F1063" s="89" t="str">
        <v/>
      </c>
      <c r="G1063" s="89" t="str">
        <f ca="1"/>
        <v/>
      </c>
    </row>
    <row r="1064" spans="1:7" x14ac:dyDescent="0.3">
      <c r="A1064" s="89" t="str">
        <v/>
      </c>
      <c r="B1064" s="89" t="str">
        <v>Programa de Agua (Todos)</v>
      </c>
      <c r="C1064" s="90" t="str">
        <v/>
      </c>
      <c r="D1064" s="89" t="str">
        <v>Evento</v>
      </c>
      <c r="E1064" s="89">
        <v>0</v>
      </c>
      <c r="F1064" s="89" t="str">
        <v/>
      </c>
      <c r="G1064" s="89" t="str">
        <f ca="1"/>
        <v/>
      </c>
    </row>
    <row r="1065" spans="1:7" x14ac:dyDescent="0.3">
      <c r="A1065" s="89" t="str">
        <v/>
      </c>
      <c r="B1065" s="89" t="str">
        <v>Programa de Agua (HSE)</v>
      </c>
      <c r="C1065" s="90" t="str">
        <v/>
      </c>
      <c r="D1065" s="89" t="str">
        <v>Evento</v>
      </c>
      <c r="E1065" s="89">
        <v>0</v>
      </c>
      <c r="F1065" s="89" t="str">
        <v/>
      </c>
      <c r="G1065" s="89" t="str">
        <f ca="1"/>
        <v/>
      </c>
    </row>
    <row r="1066" spans="1:7" x14ac:dyDescent="0.3">
      <c r="A1066" s="89" t="str">
        <v/>
      </c>
      <c r="B1066" s="89" t="str">
        <v>HIV/SIDA y otras enfermedades de transmisión sexual (ETS)</v>
      </c>
      <c r="C1066" s="90" t="str">
        <v/>
      </c>
      <c r="D1066" s="89" t="str">
        <v>Periódica</v>
      </c>
      <c r="E1066" s="89">
        <v>365</v>
      </c>
      <c r="F1066" s="89" t="str">
        <v/>
      </c>
      <c r="G1066" s="89" t="str">
        <f ca="1"/>
        <v/>
      </c>
    </row>
    <row r="1067" spans="1:7" x14ac:dyDescent="0.3">
      <c r="A1067" s="89" t="str">
        <v/>
      </c>
      <c r="B1067" s="89" t="str">
        <v>Drogas de abuso (concientización y prevención)</v>
      </c>
      <c r="C1067" s="90" t="str">
        <v/>
      </c>
      <c r="D1067" s="89" t="str">
        <v>Periódica</v>
      </c>
      <c r="E1067" s="89">
        <v>365</v>
      </c>
      <c r="F1067" s="89" t="str">
        <v/>
      </c>
      <c r="G1067" s="89" t="str">
        <f ca="1"/>
        <v/>
      </c>
    </row>
    <row r="1068" spans="1:7" x14ac:dyDescent="0.3">
      <c r="A1068" s="89" t="str">
        <v/>
      </c>
      <c r="B1068" s="89" t="str">
        <v>Vida saludable (hábitos, autocuidado y bienestar)</v>
      </c>
      <c r="C1068" s="90" t="str">
        <v/>
      </c>
      <c r="D1068" s="89" t="str">
        <v>Periódica</v>
      </c>
      <c r="E1068" s="89">
        <v>365</v>
      </c>
      <c r="F1068" s="89" t="str">
        <v/>
      </c>
      <c r="G1068" s="89" t="str">
        <f ca="1"/>
        <v/>
      </c>
    </row>
    <row r="1069" spans="1:7" x14ac:dyDescent="0.3">
      <c r="A1069" s="89" t="str">
        <v/>
      </c>
      <c r="B1069" s="89" t="str">
        <v>Primeros auxilios y Reanimación Cardio Pulmonar (RCP)</v>
      </c>
      <c r="C1069" s="90" t="str">
        <v/>
      </c>
      <c r="D1069" s="89" t="str">
        <v>Periódica</v>
      </c>
      <c r="E1069" s="89">
        <v>365</v>
      </c>
      <c r="F1069" s="89" t="str">
        <v/>
      </c>
      <c r="G1069" s="89" t="str">
        <f ca="1"/>
        <v/>
      </c>
    </row>
    <row r="1070" spans="1:7" x14ac:dyDescent="0.3">
      <c r="A1070" s="89" t="str">
        <v/>
      </c>
      <c r="B1070" s="89" t="str">
        <v>Prevención cardiovascular (factores de riesgo y señales de alarma)</v>
      </c>
      <c r="C1070" s="90" t="str">
        <v/>
      </c>
      <c r="D1070" s="89" t="str">
        <v>Periódica</v>
      </c>
      <c r="E1070" s="89">
        <v>365</v>
      </c>
      <c r="F1070" s="89" t="str">
        <v/>
      </c>
      <c r="G1070" s="89" t="str">
        <f ca="1"/>
        <v/>
      </c>
    </row>
    <row r="1071" spans="1:7" x14ac:dyDescent="0.3">
      <c r="A1071" s="89" t="str">
        <v/>
      </c>
      <c r="B1071" s="89" t="str">
        <v>Efectos del tabaco sobre la salud</v>
      </c>
      <c r="C1071" s="90" t="str">
        <v/>
      </c>
      <c r="D1071" s="89" t="str">
        <v>Periódica</v>
      </c>
      <c r="E1071" s="89">
        <v>365</v>
      </c>
      <c r="F1071" s="89" t="str">
        <v/>
      </c>
      <c r="G1071" s="89" t="str">
        <f ca="1"/>
        <v/>
      </c>
    </row>
    <row r="1072" spans="1:7" x14ac:dyDescent="0.3">
      <c r="A1072" s="89" t="str">
        <v/>
      </c>
      <c r="B1072" s="89" t="str">
        <v>Cargadora (Op. Montacargas)</v>
      </c>
      <c r="C1072" s="90" t="str">
        <v/>
      </c>
      <c r="D1072" s="89" t="str">
        <v>Periódica</v>
      </c>
      <c r="E1072" s="89">
        <v>365</v>
      </c>
      <c r="F1072" s="89" t="str">
        <v/>
      </c>
      <c r="G1072" s="89" t="str">
        <f ca="1"/>
        <v/>
      </c>
    </row>
    <row r="1073" spans="1:7" x14ac:dyDescent="0.3">
      <c r="A1073" s="89" t="str">
        <v/>
      </c>
      <c r="B1073" s="89">
        <v>0</v>
      </c>
      <c r="C1073" s="90" t="str">
        <v/>
      </c>
      <c r="D1073" s="89" t="str">
        <v/>
      </c>
      <c r="E1073" s="89" t="str">
        <v/>
      </c>
      <c r="F1073" s="89" t="str">
        <v/>
      </c>
      <c r="G1073" s="89" t="str">
        <f ca="1"/>
        <v/>
      </c>
    </row>
    <row r="1074" spans="1:7" x14ac:dyDescent="0.3">
      <c r="A1074" s="89" t="str">
        <v/>
      </c>
      <c r="B1074" s="89">
        <v>0</v>
      </c>
      <c r="C1074" s="90" t="str">
        <v/>
      </c>
      <c r="D1074" s="89" t="str">
        <v/>
      </c>
      <c r="E1074" s="89" t="str">
        <v/>
      </c>
      <c r="F1074" s="89" t="str">
        <v/>
      </c>
      <c r="G1074" s="89" t="str">
        <f ca="1"/>
        <v/>
      </c>
    </row>
    <row r="1075" spans="1:7" x14ac:dyDescent="0.3">
      <c r="A1075" s="89" t="str">
        <v/>
      </c>
      <c r="B1075" s="89">
        <v>0</v>
      </c>
      <c r="C1075" s="90" t="str">
        <v/>
      </c>
      <c r="D1075" s="89" t="str">
        <v/>
      </c>
      <c r="E1075" s="89" t="str">
        <v/>
      </c>
      <c r="F1075" s="89" t="str">
        <v/>
      </c>
      <c r="G1075" s="89" t="str">
        <f ca="1"/>
        <v/>
      </c>
    </row>
    <row r="1076" spans="1:7" x14ac:dyDescent="0.3">
      <c r="A1076" s="89" t="str">
        <v/>
      </c>
      <c r="B1076" s="89">
        <v>0</v>
      </c>
      <c r="C1076" s="90" t="str">
        <v/>
      </c>
      <c r="D1076" s="89" t="str">
        <v/>
      </c>
      <c r="E1076" s="89" t="str">
        <v/>
      </c>
      <c r="F1076" s="89" t="str">
        <v/>
      </c>
      <c r="G1076" s="89" t="str">
        <f ca="1"/>
        <v/>
      </c>
    </row>
    <row r="1077" spans="1:7" x14ac:dyDescent="0.3">
      <c r="A1077" s="89" t="str">
        <v/>
      </c>
      <c r="B1077" s="89">
        <v>0</v>
      </c>
      <c r="C1077" s="90" t="str">
        <v/>
      </c>
      <c r="D1077" s="89" t="str">
        <v/>
      </c>
      <c r="E1077" s="89" t="str">
        <v/>
      </c>
      <c r="F1077" s="89" t="str">
        <v/>
      </c>
      <c r="G1077" s="89" t="str">
        <f ca="1"/>
        <v/>
      </c>
    </row>
    <row r="1078" spans="1:7" x14ac:dyDescent="0.3">
      <c r="A1078" s="89" t="str">
        <v/>
      </c>
      <c r="B1078" s="89">
        <v>0</v>
      </c>
      <c r="C1078" s="90" t="str">
        <v/>
      </c>
      <c r="D1078" s="89" t="str">
        <v/>
      </c>
      <c r="E1078" s="89" t="str">
        <v/>
      </c>
      <c r="F1078" s="89" t="str">
        <v/>
      </c>
      <c r="G1078" s="89" t="str">
        <f ca="1"/>
        <v/>
      </c>
    </row>
    <row r="1079" spans="1:7" x14ac:dyDescent="0.3">
      <c r="A1079" s="89" t="str">
        <v/>
      </c>
      <c r="B1079" s="89">
        <v>0</v>
      </c>
      <c r="C1079" s="90" t="str">
        <v/>
      </c>
      <c r="D1079" s="89" t="str">
        <v/>
      </c>
      <c r="E1079" s="89" t="str">
        <v/>
      </c>
      <c r="F1079" s="89" t="str">
        <v/>
      </c>
      <c r="G1079" s="89" t="str">
        <f ca="1"/>
        <v/>
      </c>
    </row>
    <row r="1080" spans="1:7" x14ac:dyDescent="0.3">
      <c r="A1080" s="89" t="str">
        <v/>
      </c>
      <c r="B1080" s="89">
        <v>0</v>
      </c>
      <c r="C1080" s="90" t="str">
        <v/>
      </c>
      <c r="D1080" s="89" t="str">
        <v/>
      </c>
      <c r="E1080" s="89" t="str">
        <v/>
      </c>
      <c r="F1080" s="89" t="str">
        <v/>
      </c>
      <c r="G1080" s="89" t="str">
        <f ca="1"/>
        <v/>
      </c>
    </row>
    <row r="1081" spans="1:7" x14ac:dyDescent="0.3">
      <c r="A1081" s="89" t="str">
        <v/>
      </c>
      <c r="B1081" s="89">
        <v>0</v>
      </c>
      <c r="C1081" s="90" t="str">
        <v/>
      </c>
      <c r="D1081" s="89" t="str">
        <v/>
      </c>
      <c r="E1081" s="89" t="str">
        <v/>
      </c>
      <c r="F1081" s="89" t="str">
        <v/>
      </c>
      <c r="G1081" s="89" t="str">
        <f ca="1"/>
        <v/>
      </c>
    </row>
    <row r="1082" spans="1:7" x14ac:dyDescent="0.3">
      <c r="A1082" s="89" t="str">
        <v/>
      </c>
      <c r="B1082" s="89" t="str">
        <v>Programa de Aire</v>
      </c>
      <c r="C1082" s="90" t="str">
        <v/>
      </c>
      <c r="D1082" s="89" t="str">
        <v>Evento</v>
      </c>
      <c r="E1082" s="89">
        <v>0</v>
      </c>
      <c r="F1082" s="89" t="str">
        <v/>
      </c>
      <c r="G1082" s="89" t="str">
        <f ca="1"/>
        <v/>
      </c>
    </row>
    <row r="1083" spans="1:7" x14ac:dyDescent="0.3">
      <c r="A1083" s="89" t="str">
        <v/>
      </c>
      <c r="B1083" s="89" t="str">
        <v>Conciencia Ambiental</v>
      </c>
      <c r="C1083" s="90" t="str">
        <v/>
      </c>
      <c r="D1083" s="89" t="str">
        <v>Periódica</v>
      </c>
      <c r="E1083" s="89">
        <v>365</v>
      </c>
      <c r="F1083" s="89" t="str">
        <v/>
      </c>
      <c r="G1083" s="89" t="str">
        <f ca="1"/>
        <v/>
      </c>
    </row>
    <row r="1084" spans="1:7" x14ac:dyDescent="0.3">
      <c r="A1084" s="89" t="str">
        <v/>
      </c>
      <c r="B1084" s="89" t="str">
        <v xml:space="preserve">Control de Documentos e Informacion de HSE </v>
      </c>
      <c r="C1084" s="90" t="str">
        <v/>
      </c>
      <c r="D1084" s="89" t="str">
        <v>Evento</v>
      </c>
      <c r="E1084" s="89">
        <v>0</v>
      </c>
      <c r="F1084" s="89" t="str">
        <v/>
      </c>
      <c r="G1084" s="89" t="str">
        <f ca="1"/>
        <v/>
      </c>
    </row>
    <row r="1085" spans="1:7" x14ac:dyDescent="0.3">
      <c r="A1085" s="89" t="str">
        <v/>
      </c>
      <c r="B1085" s="89" t="str">
        <v xml:space="preserve"> Acciones Correctivas y Preventivas (CAPA)</v>
      </c>
      <c r="C1085" s="90" t="str">
        <v/>
      </c>
      <c r="D1085" s="89" t="str">
        <v>Evento</v>
      </c>
      <c r="E1085" s="89">
        <v>0</v>
      </c>
      <c r="F1085" s="89" t="str">
        <v/>
      </c>
      <c r="G1085" s="89" t="str">
        <f ca="1"/>
        <v/>
      </c>
    </row>
    <row r="1086" spans="1:7" x14ac:dyDescent="0.3">
      <c r="A1086" s="89" t="str">
        <v/>
      </c>
      <c r="B1086" s="89" t="str">
        <v>Seguridad Basada en el Comportamiento (Observation Program) // HSMS.043 / Autoridad de Detener el Trabajo</v>
      </c>
      <c r="C1086" s="90" t="str">
        <v/>
      </c>
      <c r="D1086" s="89" t="str">
        <v>Periódica</v>
      </c>
      <c r="E1086" s="89">
        <v>365</v>
      </c>
      <c r="F1086" s="89" t="str">
        <v/>
      </c>
      <c r="G1086" s="89" t="str">
        <f ca="1"/>
        <v/>
      </c>
    </row>
    <row r="1087" spans="1:7" x14ac:dyDescent="0.3">
      <c r="A1087" s="89" t="str">
        <v/>
      </c>
      <c r="B1087" s="89" t="str">
        <v>Identificacion de Peligros y Evaluacion de Riesgos</v>
      </c>
      <c r="C1087" s="90" t="str">
        <v/>
      </c>
      <c r="D1087" s="89" t="str">
        <v>Evento</v>
      </c>
      <c r="E1087" s="89">
        <v>0</v>
      </c>
      <c r="F1087" s="89" t="str">
        <v/>
      </c>
      <c r="G1087" s="89" t="str">
        <f ca="1"/>
        <v/>
      </c>
    </row>
    <row r="1088" spans="1:7" x14ac:dyDescent="0.3">
      <c r="A1088" s="89" t="str">
        <v/>
      </c>
      <c r="B1088" s="89" t="str">
        <v xml:space="preserve"> Plan de Respuesta ante Eemergencias / HSMS.010 /Primeros Axulios &amp; RCP/DEA / HSMSWT-002 / Patogenos Trasnmitidos por la Sangre</v>
      </c>
      <c r="C1088" s="90" t="str">
        <v/>
      </c>
      <c r="D1088" s="89" t="str">
        <v>Periódica</v>
      </c>
      <c r="E1088" s="89">
        <v>365</v>
      </c>
      <c r="F1088" s="89" t="str">
        <v/>
      </c>
      <c r="G1088" s="89" t="str">
        <f ca="1"/>
        <v/>
      </c>
    </row>
    <row r="1089" spans="1:7" x14ac:dyDescent="0.3">
      <c r="A1089" s="89" t="str">
        <v/>
      </c>
      <c r="B1089" s="89" t="str">
        <v>Reporte y Gestion de Incidentes HSE (Todos)</v>
      </c>
      <c r="C1089" s="90" t="str">
        <v/>
      </c>
      <c r="D1089" s="89" t="str">
        <v>Periódica</v>
      </c>
      <c r="E1089" s="89">
        <v>365</v>
      </c>
      <c r="F1089" s="89" t="str">
        <v/>
      </c>
      <c r="G1089" s="89" t="str">
        <f ca="1"/>
        <v/>
      </c>
    </row>
    <row r="1090" spans="1:7" x14ac:dyDescent="0.3">
      <c r="A1090" s="89" t="str">
        <v/>
      </c>
      <c r="B1090" s="89" t="str">
        <v>Reporte, Gestion e Investigacion de Incidentes HSE (supervisores / investigadores (rol))</v>
      </c>
      <c r="C1090" s="90" t="str">
        <v/>
      </c>
      <c r="D1090" s="89" t="str">
        <v>Periódica</v>
      </c>
      <c r="E1090" s="89">
        <v>1095</v>
      </c>
      <c r="F1090" s="89" t="str">
        <v/>
      </c>
      <c r="G1090" s="89" t="str">
        <f ca="1"/>
        <v/>
      </c>
    </row>
    <row r="1091" spans="1:7" x14ac:dyDescent="0.3">
      <c r="A1091" s="89" t="str">
        <v/>
      </c>
      <c r="B1091" s="89" t="str">
        <v>Gruas y Equipos de Izaje (Todos)</v>
      </c>
      <c r="C1091" s="90" t="str">
        <v/>
      </c>
      <c r="D1091" s="89" t="str">
        <v>Periódica</v>
      </c>
      <c r="E1091" s="89">
        <v>365</v>
      </c>
      <c r="F1091" s="89" t="str">
        <v/>
      </c>
      <c r="G1091" s="89" t="str">
        <f ca="1"/>
        <v/>
      </c>
    </row>
    <row r="1092" spans="1:7" x14ac:dyDescent="0.3">
      <c r="A1092" s="89" t="str">
        <v/>
      </c>
      <c r="B1092" s="89" t="str">
        <v>HSMS.007 / Gruas y Equipos de Izaje (Operadores)</v>
      </c>
      <c r="C1092" s="90" t="str">
        <v/>
      </c>
      <c r="D1092" s="89" t="str">
        <v>Periódica</v>
      </c>
      <c r="E1092" s="89">
        <v>365</v>
      </c>
      <c r="F1092" s="89" t="str">
        <v/>
      </c>
      <c r="G1092" s="89" t="str">
        <f ca="1"/>
        <v/>
      </c>
    </row>
    <row r="1093" spans="1:7" x14ac:dyDescent="0.3">
      <c r="A1093" s="89" t="str">
        <v/>
      </c>
      <c r="B1093" s="89" t="str">
        <v>Proteccion Contra Incendios (Todos)</v>
      </c>
      <c r="C1093" s="90" t="str">
        <v/>
      </c>
      <c r="D1093" s="89" t="str">
        <v>Periódica</v>
      </c>
      <c r="E1093" s="89">
        <v>365</v>
      </c>
      <c r="F1093" s="89" t="str">
        <v/>
      </c>
      <c r="G1093" s="89" t="str">
        <f ca="1"/>
        <v/>
      </c>
    </row>
    <row r="1094" spans="1:7" x14ac:dyDescent="0.3">
      <c r="A1094" s="89" t="str">
        <v/>
      </c>
      <c r="B1094" s="89" t="str">
        <v>Proteccion Contra Incendios (Brigadistas)</v>
      </c>
      <c r="C1094" s="90" t="str">
        <v/>
      </c>
      <c r="D1094" s="89" t="str">
        <v>Periódica</v>
      </c>
      <c r="E1094" s="89">
        <v>365</v>
      </c>
      <c r="F1094" s="89" t="str">
        <v/>
      </c>
      <c r="G1094" s="89" t="str">
        <f ca="1"/>
        <v/>
      </c>
    </row>
    <row r="1095" spans="1:7" x14ac:dyDescent="0.3">
      <c r="A1095" s="89" t="str">
        <v/>
      </c>
      <c r="B1095" s="89" t="str">
        <v>Primeros Auxilios (Brigadistas)</v>
      </c>
      <c r="C1095" s="90" t="str">
        <v/>
      </c>
      <c r="D1095" s="89" t="str">
        <v>Periódica</v>
      </c>
      <c r="E1095" s="89">
        <v>365</v>
      </c>
      <c r="F1095" s="89" t="str">
        <v/>
      </c>
      <c r="G1095" s="89" t="str">
        <f ca="1"/>
        <v/>
      </c>
    </row>
    <row r="1096" spans="1:7" x14ac:dyDescent="0.3">
      <c r="A1096" s="89" t="str">
        <v/>
      </c>
      <c r="B1096" s="89" t="str">
        <v>Seguridad Electrica (Todos)</v>
      </c>
      <c r="C1096" s="90" t="str">
        <v/>
      </c>
      <c r="D1096" s="89" t="str">
        <v>Periódica</v>
      </c>
      <c r="E1096" s="89">
        <v>365</v>
      </c>
      <c r="F1096" s="89" t="str">
        <v/>
      </c>
      <c r="G1096" s="89" t="str">
        <f ca="1"/>
        <v/>
      </c>
    </row>
    <row r="1097" spans="1:7" x14ac:dyDescent="0.3">
      <c r="A1097" s="89" t="str">
        <v/>
      </c>
      <c r="B1097" s="89" t="str">
        <v>Seguridad Electrica (Personal Autorizado)</v>
      </c>
      <c r="C1097" s="90" t="str">
        <v/>
      </c>
      <c r="D1097" s="89" t="str">
        <v>Periódica</v>
      </c>
      <c r="E1097" s="89">
        <v>1095</v>
      </c>
      <c r="F1097" s="89" t="str">
        <v/>
      </c>
      <c r="G1097" s="89" t="str">
        <f ca="1"/>
        <v/>
      </c>
    </row>
    <row r="1098" spans="1:7" x14ac:dyDescent="0.3">
      <c r="A1098" s="89" t="str">
        <v/>
      </c>
      <c r="B1098" s="89" t="str">
        <v>Camiones Industriales Motorizados (PIT) (Todos)</v>
      </c>
      <c r="C1098" s="90" t="str">
        <v/>
      </c>
      <c r="D1098" s="89" t="str">
        <v>Periódica</v>
      </c>
      <c r="E1098" s="89">
        <v>365</v>
      </c>
      <c r="F1098" s="89" t="str">
        <v/>
      </c>
      <c r="G1098" s="89" t="str">
        <f ca="1"/>
        <v/>
      </c>
    </row>
    <row r="1099" spans="1:7" x14ac:dyDescent="0.3">
      <c r="A1099" s="89" t="str">
        <v/>
      </c>
      <c r="B1099" s="89" t="str">
        <v>Camiones Industriales Motorizados (PIT) (Op. Montacargas)</v>
      </c>
      <c r="C1099" s="90" t="str">
        <v/>
      </c>
      <c r="D1099" s="89" t="str">
        <v>Periódica</v>
      </c>
      <c r="E1099" s="89">
        <v>365</v>
      </c>
      <c r="F1099" s="89" t="str">
        <v/>
      </c>
      <c r="G1099" s="89" t="str">
        <f ca="1"/>
        <v/>
      </c>
    </row>
    <row r="1100" spans="1:7" x14ac:dyDescent="0.3">
      <c r="A1100" s="89" t="str">
        <v/>
      </c>
      <c r="B1100" s="89" t="str">
        <v>Control de Energias Peligrosas (LOTO) (Todos)</v>
      </c>
      <c r="C1100" s="90" t="str">
        <v/>
      </c>
      <c r="D1100" s="89" t="str">
        <v>Evento</v>
      </c>
      <c r="E1100" s="89">
        <v>0</v>
      </c>
      <c r="F1100" s="89" t="str">
        <v/>
      </c>
      <c r="G1100" s="89" t="str">
        <f ca="1"/>
        <v/>
      </c>
    </row>
    <row r="1101" spans="1:7" x14ac:dyDescent="0.3">
      <c r="A1101" s="89" t="str">
        <v/>
      </c>
      <c r="B1101" s="89" t="str">
        <v>Control de Energias Peligrosas (LOTO) (Empleados Autorizados)</v>
      </c>
      <c r="C1101" s="90" t="str">
        <v/>
      </c>
      <c r="D1101" s="89" t="str">
        <v>Periódica</v>
      </c>
      <c r="E1101" s="89">
        <v>365</v>
      </c>
      <c r="F1101" s="89" t="str">
        <v/>
      </c>
      <c r="G1101" s="89" t="str">
        <f ca="1"/>
        <v/>
      </c>
    </row>
    <row r="1102" spans="1:7" x14ac:dyDescent="0.3">
      <c r="A1102" s="89" t="str">
        <v/>
      </c>
      <c r="B1102" s="89" t="str">
        <v>Seguridad aplicada al Pozo &amp; Yacimiento</v>
      </c>
      <c r="C1102" s="90" t="str">
        <v/>
      </c>
      <c r="D1102" s="89" t="str">
        <v>Periódica</v>
      </c>
      <c r="E1102" s="89">
        <v>365</v>
      </c>
      <c r="F1102" s="89" t="str">
        <v/>
      </c>
      <c r="G1102" s="89" t="str">
        <f ca="1"/>
        <v/>
      </c>
    </row>
    <row r="1103" spans="1:7" x14ac:dyDescent="0.3">
      <c r="A1103" s="89" t="str">
        <v/>
      </c>
      <c r="B1103" s="89" t="str">
        <v>Las Reglas que Salvan Vidas</v>
      </c>
      <c r="C1103" s="90" t="str">
        <v/>
      </c>
      <c r="D1103" s="89" t="str">
        <v>Periódica</v>
      </c>
      <c r="E1103" s="89">
        <v>365</v>
      </c>
      <c r="F1103" s="89" t="str">
        <v/>
      </c>
      <c r="G1103" s="89" t="str">
        <f ca="1"/>
        <v/>
      </c>
    </row>
    <row r="1104" spans="1:7" x14ac:dyDescent="0.3">
      <c r="A1104" s="89" t="str">
        <v/>
      </c>
      <c r="B1104" s="89" t="str">
        <v xml:space="preserve">Resguardo de Maquinas &amp; Equipos </v>
      </c>
      <c r="C1104" s="90" t="str">
        <v/>
      </c>
      <c r="D1104" s="89" t="str">
        <v>Periódica</v>
      </c>
      <c r="E1104" s="89">
        <v>365</v>
      </c>
      <c r="F1104" s="89" t="str">
        <v/>
      </c>
      <c r="G1104" s="89" t="str">
        <f ca="1"/>
        <v/>
      </c>
    </row>
    <row r="1105" spans="1:7" x14ac:dyDescent="0.3">
      <c r="A1105" s="89" t="str">
        <v/>
      </c>
      <c r="B1105" s="89" t="str">
        <v>Conduccion y Gestion de Viajes (Todos)</v>
      </c>
      <c r="C1105" s="90" t="str">
        <v/>
      </c>
      <c r="D1105" s="89" t="str">
        <v>Periódica</v>
      </c>
      <c r="E1105" s="89">
        <v>730</v>
      </c>
      <c r="F1105" s="89" t="str">
        <v/>
      </c>
      <c r="G1105" s="89" t="str">
        <f ca="1"/>
        <v/>
      </c>
    </row>
    <row r="1106" spans="1:7" x14ac:dyDescent="0.3">
      <c r="A1106" s="89" t="str">
        <v/>
      </c>
      <c r="B1106" s="89" t="str">
        <v>Conduccion y Gestion de Viajes (Conductores)</v>
      </c>
      <c r="C1106" s="90" t="str">
        <v/>
      </c>
      <c r="D1106" s="89" t="str">
        <v>Periódica</v>
      </c>
      <c r="E1106" s="89">
        <v>1095</v>
      </c>
      <c r="F1106" s="89" t="str">
        <v/>
      </c>
      <c r="G1106" s="89" t="str">
        <f ca="1"/>
        <v/>
      </c>
    </row>
    <row r="1107" spans="1:7" x14ac:dyDescent="0.3">
      <c r="A1107" s="89" t="str">
        <v/>
      </c>
      <c r="B1107" s="89" t="str">
        <v>Patogenos Transmitidos por la Sangre</v>
      </c>
      <c r="C1107" s="90" t="str">
        <v/>
      </c>
      <c r="D1107" s="89" t="str">
        <v>Periódica</v>
      </c>
      <c r="E1107" s="89">
        <v>365</v>
      </c>
      <c r="F1107" s="89" t="str">
        <v/>
      </c>
      <c r="G1107" s="89" t="str">
        <f ca="1"/>
        <v/>
      </c>
    </row>
    <row r="1108" spans="1:7" x14ac:dyDescent="0.3">
      <c r="A1108" s="89" t="str">
        <v/>
      </c>
      <c r="B1108" s="89" t="str">
        <v>Conservacion Auditiva</v>
      </c>
      <c r="C1108" s="90" t="str">
        <v/>
      </c>
      <c r="D1108" s="89" t="str">
        <v>Periódica</v>
      </c>
      <c r="E1108" s="89">
        <v>365</v>
      </c>
      <c r="F1108" s="89" t="str">
        <v/>
      </c>
      <c r="G1108" s="89" t="str">
        <f ca="1"/>
        <v/>
      </c>
    </row>
    <row r="1109" spans="1:7" x14ac:dyDescent="0.3">
      <c r="A1109" s="89" t="str">
        <v/>
      </c>
      <c r="B1109" s="89" t="str">
        <v xml:space="preserve">Ergonomia //  / Levantamiento &amp; Seguridad en la Espalda </v>
      </c>
      <c r="C1109" s="90" t="str">
        <v/>
      </c>
      <c r="D1109" s="89" t="str">
        <v>Periódica</v>
      </c>
      <c r="E1109" s="89">
        <v>365</v>
      </c>
      <c r="F1109" s="89" t="str">
        <v/>
      </c>
      <c r="G1109" s="89" t="str">
        <f ca="1"/>
        <v/>
      </c>
    </row>
    <row r="1110" spans="1:7" x14ac:dyDescent="0.3">
      <c r="A1110" s="89" t="str">
        <v/>
      </c>
      <c r="B1110" s="89" t="str">
        <v>Superficies Elevadas (Todos)</v>
      </c>
      <c r="C1110" s="90" t="str">
        <v/>
      </c>
      <c r="D1110" s="89" t="str">
        <v>Periódica</v>
      </c>
      <c r="E1110" s="89">
        <v>365</v>
      </c>
      <c r="F1110" s="89" t="str">
        <v/>
      </c>
      <c r="G1110" s="89" t="str">
        <f ca="1"/>
        <v/>
      </c>
    </row>
    <row r="1111" spans="1:7" x14ac:dyDescent="0.3">
      <c r="A1111" s="89" t="str">
        <v/>
      </c>
      <c r="B1111" s="89" t="str">
        <v>Superficies Elevadas (Personal Habilitado)</v>
      </c>
      <c r="C1111" s="90" t="str">
        <v/>
      </c>
      <c r="D1111" s="89" t="str">
        <v>Periódica</v>
      </c>
      <c r="E1111" s="89">
        <v>365</v>
      </c>
      <c r="F1111" s="89" t="str">
        <v/>
      </c>
      <c r="G1111" s="89" t="str">
        <f ca="1"/>
        <v/>
      </c>
    </row>
    <row r="1112" spans="1:7" x14ac:dyDescent="0.3">
      <c r="A1112" s="89" t="str">
        <v/>
      </c>
      <c r="B1112" s="89" t="str">
        <v>Seguridad Quimica (Todos)</v>
      </c>
      <c r="C1112" s="90" t="str">
        <v/>
      </c>
      <c r="D1112" s="89" t="str">
        <v>Periódica</v>
      </c>
      <c r="E1112" s="89">
        <v>730</v>
      </c>
      <c r="F1112" s="89" t="str">
        <v/>
      </c>
      <c r="G1112" s="89" t="str">
        <f ca="1"/>
        <v/>
      </c>
    </row>
    <row r="1113" spans="1:7" x14ac:dyDescent="0.3">
      <c r="A1113" s="89" t="str">
        <v/>
      </c>
      <c r="B1113" s="89" t="str">
        <v>Seguridad Quimica (Mantenimiento)</v>
      </c>
      <c r="C1113" s="90" t="str">
        <v/>
      </c>
      <c r="D1113" s="89" t="str">
        <v>Periódica</v>
      </c>
      <c r="E1113" s="89">
        <v>365</v>
      </c>
      <c r="F1113" s="89" t="str">
        <v/>
      </c>
      <c r="G1113" s="89" t="str">
        <f ca="1"/>
        <v/>
      </c>
    </row>
    <row r="1114" spans="1:7" x14ac:dyDescent="0.3">
      <c r="A1114" s="89" t="str">
        <v/>
      </c>
      <c r="B1114" s="89" t="str">
        <v>Seguridad Quimica (Contratistas)</v>
      </c>
      <c r="C1114" s="90" t="str">
        <v/>
      </c>
      <c r="D1114" s="89" t="str">
        <v>Periódica</v>
      </c>
      <c r="E1114" s="89">
        <v>365</v>
      </c>
      <c r="F1114" s="89" t="str">
        <v/>
      </c>
      <c r="G1114" s="89" t="str">
        <f ca="1"/>
        <v/>
      </c>
    </row>
    <row r="1115" spans="1:7" x14ac:dyDescent="0.3">
      <c r="A1115" s="89" t="str">
        <v/>
      </c>
      <c r="B1115" s="89" t="str">
        <v>Seguridad para Trabajos en Caliente</v>
      </c>
      <c r="C1115" s="90" t="str">
        <v/>
      </c>
      <c r="D1115" s="89" t="str">
        <v>Periódica</v>
      </c>
      <c r="E1115" s="89">
        <v>365</v>
      </c>
      <c r="F1115" s="89" t="str">
        <v/>
      </c>
      <c r="G1115" s="89" t="str">
        <f ca="1"/>
        <v/>
      </c>
    </row>
    <row r="1116" spans="1:7" x14ac:dyDescent="0.3">
      <c r="A1116" s="89" t="str">
        <v/>
      </c>
      <c r="B1116" s="89" t="str">
        <v>Seguridad con la Radiacion</v>
      </c>
      <c r="C1116" s="90" t="str">
        <v/>
      </c>
      <c r="D1116" s="89" t="str">
        <v>Periódica</v>
      </c>
      <c r="E1116" s="89">
        <v>365</v>
      </c>
      <c r="F1116" s="89" t="str">
        <v/>
      </c>
      <c r="G1116" s="89" t="str">
        <f ca="1"/>
        <v/>
      </c>
    </row>
    <row r="1117" spans="1:7" x14ac:dyDescent="0.3">
      <c r="A1117" s="89" t="str">
        <v/>
      </c>
      <c r="B1117" s="89" t="str">
        <v>Equipo de Proteccion Personal (PPE)</v>
      </c>
      <c r="C1117" s="90" t="str">
        <v/>
      </c>
      <c r="D1117" s="89" t="str">
        <v>Periódica</v>
      </c>
      <c r="E1117" s="89">
        <v>365</v>
      </c>
      <c r="F1117" s="89" t="str">
        <v/>
      </c>
      <c r="G1117" s="89" t="str">
        <f ca="1"/>
        <v/>
      </c>
    </row>
    <row r="1118" spans="1:7" x14ac:dyDescent="0.3">
      <c r="A1118" s="89" t="str">
        <v/>
      </c>
      <c r="B1118" s="89" t="str">
        <v>Proteccion Respiratoria</v>
      </c>
      <c r="C1118" s="90" t="str">
        <v/>
      </c>
      <c r="D1118" s="89" t="str">
        <v>Periódica</v>
      </c>
      <c r="E1118" s="89">
        <v>365</v>
      </c>
      <c r="F1118" s="89" t="str">
        <v/>
      </c>
      <c r="G1118" s="89" t="str">
        <f ca="1"/>
        <v/>
      </c>
    </row>
    <row r="1119" spans="1:7" x14ac:dyDescent="0.3">
      <c r="A1119" s="89" t="str">
        <v/>
      </c>
      <c r="B1119" s="89" t="str">
        <v xml:space="preserve">Seguridad con Escaleras </v>
      </c>
      <c r="C1119" s="90" t="str">
        <v/>
      </c>
      <c r="D1119" s="89" t="str">
        <v>Periódica</v>
      </c>
      <c r="E1119" s="89">
        <v>365</v>
      </c>
      <c r="F1119" s="89" t="str">
        <v/>
      </c>
      <c r="G1119" s="89" t="str">
        <f ca="1"/>
        <v/>
      </c>
    </row>
    <row r="1120" spans="1:7" x14ac:dyDescent="0.3">
      <c r="A1120" s="89" t="str">
        <v/>
      </c>
      <c r="B1120" s="89" t="str">
        <v>Seguridad con Escaleras // Estantes de Almacenamiento</v>
      </c>
      <c r="C1120" s="90" t="str">
        <v/>
      </c>
      <c r="D1120" s="89" t="str">
        <v>Periódica</v>
      </c>
      <c r="E1120" s="89">
        <v>365</v>
      </c>
      <c r="F1120" s="89" t="str">
        <v/>
      </c>
      <c r="G1120" s="89" t="str">
        <f ca="1"/>
        <v/>
      </c>
    </row>
    <row r="1121" spans="1:7" x14ac:dyDescent="0.3">
      <c r="A1121" s="89" t="str">
        <v/>
      </c>
      <c r="B1121" s="89" t="str">
        <v>Responsabilidades del Supervisor</v>
      </c>
      <c r="C1121" s="90" t="str">
        <v/>
      </c>
      <c r="D1121" s="89" t="str">
        <v>Periódica</v>
      </c>
      <c r="E1121" s="89">
        <v>365</v>
      </c>
      <c r="F1121" s="89" t="str">
        <v/>
      </c>
      <c r="G1121" s="89" t="str">
        <f ca="1"/>
        <v/>
      </c>
    </row>
    <row r="1122" spans="1:7" x14ac:dyDescent="0.3">
      <c r="A1122" s="89" t="str">
        <v/>
      </c>
      <c r="B1122" s="89" t="str">
        <v>Espacios Confinados (Todos)</v>
      </c>
      <c r="C1122" s="90" t="str">
        <v/>
      </c>
      <c r="D1122" s="89" t="str">
        <v>Periódica</v>
      </c>
      <c r="E1122" s="89">
        <v>365</v>
      </c>
      <c r="F1122" s="89" t="str">
        <v/>
      </c>
      <c r="G1122" s="89" t="str">
        <f ca="1"/>
        <v/>
      </c>
    </row>
    <row r="1123" spans="1:7" x14ac:dyDescent="0.3">
      <c r="A1123" s="89" t="str">
        <v/>
      </c>
      <c r="B1123" s="89" t="str">
        <v>HSMS.017 / Espacios Confinados (Entrantes)</v>
      </c>
      <c r="C1123" s="90" t="str">
        <v/>
      </c>
      <c r="D1123" s="89" t="str">
        <v>Evento</v>
      </c>
      <c r="E1123" s="89">
        <v>0</v>
      </c>
      <c r="F1123" s="89" t="str">
        <v/>
      </c>
      <c r="G1123" s="89" t="str">
        <f ca="1"/>
        <v/>
      </c>
    </row>
    <row r="1124" spans="1:7" x14ac:dyDescent="0.3">
      <c r="A1124" s="89" t="str">
        <v/>
      </c>
      <c r="B1124" s="89" t="str">
        <v>Programa de Agua (Todos)</v>
      </c>
      <c r="C1124" s="90" t="str">
        <v/>
      </c>
      <c r="D1124" s="89" t="str">
        <v>Evento</v>
      </c>
      <c r="E1124" s="89">
        <v>0</v>
      </c>
      <c r="F1124" s="89" t="str">
        <v/>
      </c>
      <c r="G1124" s="89" t="str">
        <f ca="1"/>
        <v/>
      </c>
    </row>
    <row r="1125" spans="1:7" x14ac:dyDescent="0.3">
      <c r="A1125" s="89" t="str">
        <v/>
      </c>
      <c r="B1125" s="89" t="str">
        <v>Programa de Agua (HSE)</v>
      </c>
      <c r="C1125" s="90" t="str">
        <v/>
      </c>
      <c r="D1125" s="89" t="str">
        <v>Evento</v>
      </c>
      <c r="E1125" s="89">
        <v>0</v>
      </c>
      <c r="F1125" s="89" t="str">
        <v/>
      </c>
      <c r="G1125" s="89" t="str">
        <f ca="1"/>
        <v/>
      </c>
    </row>
    <row r="1126" spans="1:7" x14ac:dyDescent="0.3">
      <c r="A1126" s="89" t="str">
        <v/>
      </c>
      <c r="B1126" s="89" t="str">
        <v>HIV/SIDA y otras enfermedades de transmisión sexual (ETS)</v>
      </c>
      <c r="C1126" s="90" t="str">
        <v/>
      </c>
      <c r="D1126" s="89" t="str">
        <v>Periódica</v>
      </c>
      <c r="E1126" s="89">
        <v>365</v>
      </c>
      <c r="F1126" s="89" t="str">
        <v/>
      </c>
      <c r="G1126" s="89" t="str">
        <f ca="1"/>
        <v/>
      </c>
    </row>
    <row r="1127" spans="1:7" x14ac:dyDescent="0.3">
      <c r="A1127" s="89" t="str">
        <v/>
      </c>
      <c r="B1127" s="89" t="str">
        <v>Drogas de abuso (concientización y prevención)</v>
      </c>
      <c r="C1127" s="90" t="str">
        <v/>
      </c>
      <c r="D1127" s="89" t="str">
        <v>Periódica</v>
      </c>
      <c r="E1127" s="89">
        <v>365</v>
      </c>
      <c r="F1127" s="89" t="str">
        <v/>
      </c>
      <c r="G1127" s="89" t="str">
        <f ca="1"/>
        <v/>
      </c>
    </row>
    <row r="1128" spans="1:7" x14ac:dyDescent="0.3">
      <c r="A1128" s="89" t="str">
        <v/>
      </c>
      <c r="B1128" s="89" t="str">
        <v>Vida saludable (hábitos, autocuidado y bienestar)</v>
      </c>
      <c r="C1128" s="90" t="str">
        <v/>
      </c>
      <c r="D1128" s="89" t="str">
        <v>Periódica</v>
      </c>
      <c r="E1128" s="89">
        <v>365</v>
      </c>
      <c r="F1128" s="89" t="str">
        <v/>
      </c>
      <c r="G1128" s="89" t="str">
        <f ca="1"/>
        <v/>
      </c>
    </row>
    <row r="1129" spans="1:7" x14ac:dyDescent="0.3">
      <c r="A1129" s="89" t="str">
        <v/>
      </c>
      <c r="B1129" s="89" t="str">
        <v>Primeros auxilios y Reanimación Cardio Pulmonar (RCP)</v>
      </c>
      <c r="C1129" s="90" t="str">
        <v/>
      </c>
      <c r="D1129" s="89" t="str">
        <v>Periódica</v>
      </c>
      <c r="E1129" s="89">
        <v>365</v>
      </c>
      <c r="F1129" s="89" t="str">
        <v/>
      </c>
      <c r="G1129" s="89" t="str">
        <f ca="1"/>
        <v/>
      </c>
    </row>
    <row r="1130" spans="1:7" x14ac:dyDescent="0.3">
      <c r="A1130" s="89" t="str">
        <v/>
      </c>
      <c r="B1130" s="89" t="str">
        <v>Prevención cardiovascular (factores de riesgo y señales de alarma)</v>
      </c>
      <c r="C1130" s="90" t="str">
        <v/>
      </c>
      <c r="D1130" s="89" t="str">
        <v>Periódica</v>
      </c>
      <c r="E1130" s="89">
        <v>365</v>
      </c>
      <c r="F1130" s="89" t="str">
        <v/>
      </c>
      <c r="G1130" s="89" t="str">
        <f ca="1"/>
        <v/>
      </c>
    </row>
    <row r="1131" spans="1:7" x14ac:dyDescent="0.3">
      <c r="A1131" s="89" t="str">
        <v/>
      </c>
      <c r="B1131" s="89" t="str">
        <v>Efectos del tabaco sobre la salud</v>
      </c>
      <c r="C1131" s="90" t="str">
        <v/>
      </c>
      <c r="D1131" s="89" t="str">
        <v>Periódica</v>
      </c>
      <c r="E1131" s="89">
        <v>365</v>
      </c>
      <c r="F1131" s="89" t="str">
        <v/>
      </c>
      <c r="G1131" s="89" t="str">
        <f ca="1"/>
        <v/>
      </c>
    </row>
    <row r="1132" spans="1:7" x14ac:dyDescent="0.3">
      <c r="A1132" s="89" t="str">
        <v/>
      </c>
      <c r="B1132" s="89" t="str">
        <v>Cargadora (Op. Montacargas)</v>
      </c>
      <c r="C1132" s="90" t="str">
        <v/>
      </c>
      <c r="D1132" s="89" t="str">
        <v>Periódica</v>
      </c>
      <c r="E1132" s="89">
        <v>365</v>
      </c>
      <c r="F1132" s="89" t="str">
        <v/>
      </c>
      <c r="G1132" s="89" t="str">
        <f ca="1"/>
        <v/>
      </c>
    </row>
    <row r="1133" spans="1:7" x14ac:dyDescent="0.3">
      <c r="A1133" s="89" t="str">
        <v/>
      </c>
      <c r="B1133" s="89">
        <v>0</v>
      </c>
      <c r="C1133" s="90" t="str">
        <v/>
      </c>
      <c r="D1133" s="89" t="str">
        <v/>
      </c>
      <c r="E1133" s="89" t="str">
        <v/>
      </c>
      <c r="F1133" s="89" t="str">
        <v/>
      </c>
      <c r="G1133" s="89" t="str">
        <f ca="1"/>
        <v/>
      </c>
    </row>
    <row r="1134" spans="1:7" x14ac:dyDescent="0.3">
      <c r="A1134" s="89" t="str">
        <v/>
      </c>
      <c r="B1134" s="89">
        <v>0</v>
      </c>
      <c r="C1134" s="90" t="str">
        <v/>
      </c>
      <c r="D1134" s="89" t="str">
        <v/>
      </c>
      <c r="E1134" s="89" t="str">
        <v/>
      </c>
      <c r="F1134" s="89" t="str">
        <v/>
      </c>
      <c r="G1134" s="89" t="str">
        <f ca="1"/>
        <v/>
      </c>
    </row>
    <row r="1135" spans="1:7" x14ac:dyDescent="0.3">
      <c r="A1135" s="89" t="str">
        <v/>
      </c>
      <c r="B1135" s="89">
        <v>0</v>
      </c>
      <c r="C1135" s="90" t="str">
        <v/>
      </c>
      <c r="D1135" s="89" t="str">
        <v/>
      </c>
      <c r="E1135" s="89" t="str">
        <v/>
      </c>
      <c r="F1135" s="89" t="str">
        <v/>
      </c>
      <c r="G1135" s="89" t="str">
        <f ca="1"/>
        <v/>
      </c>
    </row>
    <row r="1136" spans="1:7" x14ac:dyDescent="0.3">
      <c r="A1136" s="89" t="str">
        <v/>
      </c>
      <c r="B1136" s="89">
        <v>0</v>
      </c>
      <c r="C1136" s="90" t="str">
        <v/>
      </c>
      <c r="D1136" s="89" t="str">
        <v/>
      </c>
      <c r="E1136" s="89" t="str">
        <v/>
      </c>
      <c r="F1136" s="89" t="str">
        <v/>
      </c>
      <c r="G1136" s="89" t="str">
        <f ca="1"/>
        <v/>
      </c>
    </row>
    <row r="1137" spans="1:7" x14ac:dyDescent="0.3">
      <c r="A1137" s="89" t="str">
        <v/>
      </c>
      <c r="B1137" s="89">
        <v>0</v>
      </c>
      <c r="C1137" s="90" t="str">
        <v/>
      </c>
      <c r="D1137" s="89" t="str">
        <v/>
      </c>
      <c r="E1137" s="89" t="str">
        <v/>
      </c>
      <c r="F1137" s="89" t="str">
        <v/>
      </c>
      <c r="G1137" s="89" t="str">
        <f ca="1"/>
        <v/>
      </c>
    </row>
    <row r="1138" spans="1:7" x14ac:dyDescent="0.3">
      <c r="A1138" s="89" t="str">
        <v/>
      </c>
      <c r="B1138" s="89">
        <v>0</v>
      </c>
      <c r="C1138" s="90" t="str">
        <v/>
      </c>
      <c r="D1138" s="89" t="str">
        <v/>
      </c>
      <c r="E1138" s="89" t="str">
        <v/>
      </c>
      <c r="F1138" s="89" t="str">
        <v/>
      </c>
      <c r="G1138" s="89" t="str">
        <f ca="1"/>
        <v/>
      </c>
    </row>
    <row r="1139" spans="1:7" x14ac:dyDescent="0.3">
      <c r="A1139" s="89" t="str">
        <v/>
      </c>
      <c r="B1139" s="89">
        <v>0</v>
      </c>
      <c r="C1139" s="90" t="str">
        <v/>
      </c>
      <c r="D1139" s="89" t="str">
        <v/>
      </c>
      <c r="E1139" s="89" t="str">
        <v/>
      </c>
      <c r="F1139" s="89" t="str">
        <v/>
      </c>
      <c r="G1139" s="89" t="str">
        <f ca="1"/>
        <v/>
      </c>
    </row>
    <row r="1140" spans="1:7" x14ac:dyDescent="0.3">
      <c r="A1140" s="89" t="str">
        <v/>
      </c>
      <c r="B1140" s="89">
        <v>0</v>
      </c>
      <c r="C1140" s="90" t="str">
        <v/>
      </c>
      <c r="D1140" s="89" t="str">
        <v/>
      </c>
      <c r="E1140" s="89" t="str">
        <v/>
      </c>
      <c r="F1140" s="89" t="str">
        <v/>
      </c>
      <c r="G1140" s="89" t="str">
        <f ca="1"/>
        <v/>
      </c>
    </row>
    <row r="1141" spans="1:7" x14ac:dyDescent="0.3">
      <c r="A1141" s="89" t="str">
        <v/>
      </c>
      <c r="B1141" s="89">
        <v>0</v>
      </c>
      <c r="C1141" s="90" t="str">
        <v/>
      </c>
      <c r="D1141" s="89" t="str">
        <v/>
      </c>
      <c r="E1141" s="89" t="str">
        <v/>
      </c>
      <c r="F1141" s="89" t="str">
        <v/>
      </c>
      <c r="G1141" s="89" t="str">
        <f ca="1"/>
        <v/>
      </c>
    </row>
    <row r="1142" spans="1:7" x14ac:dyDescent="0.3">
      <c r="A1142" s="89" t="str">
        <v/>
      </c>
      <c r="B1142" s="89" t="str">
        <v>Programa de Aire</v>
      </c>
      <c r="C1142" s="90" t="str">
        <v/>
      </c>
      <c r="D1142" s="89" t="str">
        <v>Evento</v>
      </c>
      <c r="E1142" s="89">
        <v>0</v>
      </c>
      <c r="F1142" s="89" t="str">
        <v/>
      </c>
      <c r="G1142" s="89" t="str">
        <f ca="1"/>
        <v/>
      </c>
    </row>
    <row r="1143" spans="1:7" x14ac:dyDescent="0.3">
      <c r="A1143" s="89" t="str">
        <v/>
      </c>
      <c r="B1143" s="89" t="str">
        <v>Conciencia Ambiental</v>
      </c>
      <c r="C1143" s="90" t="str">
        <v/>
      </c>
      <c r="D1143" s="89" t="str">
        <v>Periódica</v>
      </c>
      <c r="E1143" s="89">
        <v>365</v>
      </c>
      <c r="F1143" s="89" t="str">
        <v/>
      </c>
      <c r="G1143" s="89" t="str">
        <f ca="1"/>
        <v/>
      </c>
    </row>
    <row r="1144" spans="1:7" x14ac:dyDescent="0.3">
      <c r="A1144" s="89" t="str">
        <v/>
      </c>
      <c r="B1144" s="89" t="str">
        <v xml:space="preserve">Control de Documentos e Informacion de HSE </v>
      </c>
      <c r="C1144" s="90" t="str">
        <v/>
      </c>
      <c r="D1144" s="89" t="str">
        <v>Evento</v>
      </c>
      <c r="E1144" s="89">
        <v>0</v>
      </c>
      <c r="F1144" s="89" t="str">
        <v/>
      </c>
      <c r="G1144" s="89" t="str">
        <f ca="1"/>
        <v/>
      </c>
    </row>
    <row r="1145" spans="1:7" x14ac:dyDescent="0.3">
      <c r="A1145" s="89" t="str">
        <v/>
      </c>
      <c r="B1145" s="89" t="str">
        <v xml:space="preserve"> Acciones Correctivas y Preventivas (CAPA)</v>
      </c>
      <c r="C1145" s="90" t="str">
        <v/>
      </c>
      <c r="D1145" s="89" t="str">
        <v>Evento</v>
      </c>
      <c r="E1145" s="89">
        <v>0</v>
      </c>
      <c r="F1145" s="89" t="str">
        <v/>
      </c>
      <c r="G1145" s="89" t="str">
        <f ca="1"/>
        <v/>
      </c>
    </row>
    <row r="1146" spans="1:7" x14ac:dyDescent="0.3">
      <c r="A1146" s="89" t="str">
        <v/>
      </c>
      <c r="B1146" s="89" t="str">
        <v>Seguridad Basada en el Comportamiento (Observation Program) // HSMS.043 / Autoridad de Detener el Trabajo</v>
      </c>
      <c r="C1146" s="90" t="str">
        <v/>
      </c>
      <c r="D1146" s="89" t="str">
        <v>Periódica</v>
      </c>
      <c r="E1146" s="89">
        <v>365</v>
      </c>
      <c r="F1146" s="89" t="str">
        <v/>
      </c>
      <c r="G1146" s="89" t="str">
        <f ca="1"/>
        <v/>
      </c>
    </row>
    <row r="1147" spans="1:7" x14ac:dyDescent="0.3">
      <c r="A1147" s="89" t="str">
        <v/>
      </c>
      <c r="B1147" s="89" t="str">
        <v>Identificacion de Peligros y Evaluacion de Riesgos</v>
      </c>
      <c r="C1147" s="90" t="str">
        <v/>
      </c>
      <c r="D1147" s="89" t="str">
        <v>Evento</v>
      </c>
      <c r="E1147" s="89">
        <v>0</v>
      </c>
      <c r="F1147" s="89" t="str">
        <v/>
      </c>
      <c r="G1147" s="89" t="str">
        <f ca="1"/>
        <v/>
      </c>
    </row>
    <row r="1148" spans="1:7" x14ac:dyDescent="0.3">
      <c r="A1148" s="89" t="str">
        <v/>
      </c>
      <c r="B1148" s="89" t="str">
        <v xml:space="preserve"> Plan de Respuesta ante Eemergencias / HSMS.010 /Primeros Axulios &amp; RCP/DEA / HSMSWT-002 / Patogenos Trasnmitidos por la Sangre</v>
      </c>
      <c r="C1148" s="90" t="str">
        <v/>
      </c>
      <c r="D1148" s="89" t="str">
        <v>Periódica</v>
      </c>
      <c r="E1148" s="89">
        <v>365</v>
      </c>
      <c r="F1148" s="89" t="str">
        <v/>
      </c>
      <c r="G1148" s="89" t="str">
        <f ca="1"/>
        <v/>
      </c>
    </row>
    <row r="1149" spans="1:7" x14ac:dyDescent="0.3">
      <c r="A1149" s="89" t="str">
        <v/>
      </c>
      <c r="B1149" s="89" t="str">
        <v>Reporte y Gestion de Incidentes HSE (Todos)</v>
      </c>
      <c r="C1149" s="90" t="str">
        <v/>
      </c>
      <c r="D1149" s="89" t="str">
        <v>Periódica</v>
      </c>
      <c r="E1149" s="89">
        <v>365</v>
      </c>
      <c r="F1149" s="89" t="str">
        <v/>
      </c>
      <c r="G1149" s="89" t="str">
        <f ca="1"/>
        <v/>
      </c>
    </row>
    <row r="1150" spans="1:7" x14ac:dyDescent="0.3">
      <c r="A1150" s="89" t="str">
        <v/>
      </c>
      <c r="B1150" s="89" t="str">
        <v>Reporte, Gestion e Investigacion de Incidentes HSE (supervisores / investigadores (rol))</v>
      </c>
      <c r="C1150" s="90" t="str">
        <v/>
      </c>
      <c r="D1150" s="89" t="str">
        <v>Periódica</v>
      </c>
      <c r="E1150" s="89">
        <v>1095</v>
      </c>
      <c r="F1150" s="89" t="str">
        <v/>
      </c>
      <c r="G1150" s="89" t="str">
        <f ca="1"/>
        <v/>
      </c>
    </row>
    <row r="1151" spans="1:7" x14ac:dyDescent="0.3">
      <c r="A1151" s="89" t="str">
        <v/>
      </c>
      <c r="B1151" s="89" t="str">
        <v>Gruas y Equipos de Izaje (Todos)</v>
      </c>
      <c r="C1151" s="90" t="str">
        <v/>
      </c>
      <c r="D1151" s="89" t="str">
        <v>Periódica</v>
      </c>
      <c r="E1151" s="89">
        <v>365</v>
      </c>
      <c r="F1151" s="89" t="str">
        <v/>
      </c>
      <c r="G1151" s="89" t="str">
        <f ca="1"/>
        <v/>
      </c>
    </row>
    <row r="1152" spans="1:7" x14ac:dyDescent="0.3">
      <c r="A1152" s="89" t="str">
        <v/>
      </c>
      <c r="B1152" s="89" t="str">
        <v>HSMS.007 / Gruas y Equipos de Izaje (Operadores)</v>
      </c>
      <c r="C1152" s="90" t="str">
        <v/>
      </c>
      <c r="D1152" s="89" t="str">
        <v>Periódica</v>
      </c>
      <c r="E1152" s="89">
        <v>365</v>
      </c>
      <c r="F1152" s="89" t="str">
        <v/>
      </c>
      <c r="G1152" s="89" t="str">
        <f ca="1"/>
        <v/>
      </c>
    </row>
    <row r="1153" spans="1:7" x14ac:dyDescent="0.3">
      <c r="A1153" s="89" t="str">
        <v/>
      </c>
      <c r="B1153" s="89" t="str">
        <v>Proteccion Contra Incendios (Todos)</v>
      </c>
      <c r="C1153" s="90" t="str">
        <v/>
      </c>
      <c r="D1153" s="89" t="str">
        <v>Periódica</v>
      </c>
      <c r="E1153" s="89">
        <v>365</v>
      </c>
      <c r="F1153" s="89" t="str">
        <v/>
      </c>
      <c r="G1153" s="89" t="str">
        <f ca="1"/>
        <v/>
      </c>
    </row>
    <row r="1154" spans="1:7" x14ac:dyDescent="0.3">
      <c r="A1154" s="89" t="str">
        <v/>
      </c>
      <c r="B1154" s="89" t="str">
        <v>Proteccion Contra Incendios (Brigadistas)</v>
      </c>
      <c r="C1154" s="90" t="str">
        <v/>
      </c>
      <c r="D1154" s="89" t="str">
        <v>Periódica</v>
      </c>
      <c r="E1154" s="89">
        <v>365</v>
      </c>
      <c r="F1154" s="89" t="str">
        <v/>
      </c>
      <c r="G1154" s="89" t="str">
        <f ca="1"/>
        <v/>
      </c>
    </row>
    <row r="1155" spans="1:7" x14ac:dyDescent="0.3">
      <c r="A1155" s="89" t="str">
        <v/>
      </c>
      <c r="B1155" s="89" t="str">
        <v>Primeros Auxilios (Brigadistas)</v>
      </c>
      <c r="C1155" s="90" t="str">
        <v/>
      </c>
      <c r="D1155" s="89" t="str">
        <v>Periódica</v>
      </c>
      <c r="E1155" s="89">
        <v>365</v>
      </c>
      <c r="F1155" s="89" t="str">
        <v/>
      </c>
      <c r="G1155" s="89" t="str">
        <f ca="1"/>
        <v/>
      </c>
    </row>
    <row r="1156" spans="1:7" x14ac:dyDescent="0.3">
      <c r="A1156" s="89" t="str">
        <v/>
      </c>
      <c r="B1156" s="89" t="str">
        <v>Seguridad Electrica (Todos)</v>
      </c>
      <c r="C1156" s="90" t="str">
        <v/>
      </c>
      <c r="D1156" s="89" t="str">
        <v>Periódica</v>
      </c>
      <c r="E1156" s="89">
        <v>365</v>
      </c>
      <c r="F1156" s="89" t="str">
        <v/>
      </c>
      <c r="G1156" s="89" t="str">
        <f ca="1"/>
        <v/>
      </c>
    </row>
    <row r="1157" spans="1:7" x14ac:dyDescent="0.3">
      <c r="A1157" s="89" t="str">
        <v/>
      </c>
      <c r="B1157" s="89" t="str">
        <v>Seguridad Electrica (Personal Autorizado)</v>
      </c>
      <c r="C1157" s="90" t="str">
        <v/>
      </c>
      <c r="D1157" s="89" t="str">
        <v>Periódica</v>
      </c>
      <c r="E1157" s="89">
        <v>1095</v>
      </c>
      <c r="F1157" s="89" t="str">
        <v/>
      </c>
      <c r="G1157" s="89" t="str">
        <f ca="1"/>
        <v/>
      </c>
    </row>
    <row r="1158" spans="1:7" x14ac:dyDescent="0.3">
      <c r="A1158" s="89" t="str">
        <v/>
      </c>
      <c r="B1158" s="89" t="str">
        <v>Camiones Industriales Motorizados (PIT) (Todos)</v>
      </c>
      <c r="C1158" s="90" t="str">
        <v/>
      </c>
      <c r="D1158" s="89" t="str">
        <v>Periódica</v>
      </c>
      <c r="E1158" s="89">
        <v>365</v>
      </c>
      <c r="F1158" s="89" t="str">
        <v/>
      </c>
      <c r="G1158" s="89" t="str">
        <f ca="1"/>
        <v/>
      </c>
    </row>
    <row r="1159" spans="1:7" x14ac:dyDescent="0.3">
      <c r="A1159" s="89" t="str">
        <v/>
      </c>
      <c r="B1159" s="89" t="str">
        <v>Camiones Industriales Motorizados (PIT) (Op. Montacargas)</v>
      </c>
      <c r="C1159" s="90" t="str">
        <v/>
      </c>
      <c r="D1159" s="89" t="str">
        <v>Periódica</v>
      </c>
      <c r="E1159" s="89">
        <v>365</v>
      </c>
      <c r="F1159" s="89" t="str">
        <v/>
      </c>
      <c r="G1159" s="89" t="str">
        <f ca="1"/>
        <v/>
      </c>
    </row>
    <row r="1160" spans="1:7" x14ac:dyDescent="0.3">
      <c r="A1160" s="89" t="str">
        <v/>
      </c>
      <c r="B1160" s="89" t="str">
        <v>Control de Energias Peligrosas (LOTO) (Todos)</v>
      </c>
      <c r="C1160" s="90" t="str">
        <v/>
      </c>
      <c r="D1160" s="89" t="str">
        <v>Evento</v>
      </c>
      <c r="E1160" s="89">
        <v>0</v>
      </c>
      <c r="F1160" s="89" t="str">
        <v/>
      </c>
      <c r="G1160" s="89" t="str">
        <f ca="1"/>
        <v/>
      </c>
    </row>
    <row r="1161" spans="1:7" x14ac:dyDescent="0.3">
      <c r="A1161" s="89" t="str">
        <v/>
      </c>
      <c r="B1161" s="89" t="str">
        <v>Control de Energias Peligrosas (LOTO) (Empleados Autorizados)</v>
      </c>
      <c r="C1161" s="90" t="str">
        <v/>
      </c>
      <c r="D1161" s="89" t="str">
        <v>Periódica</v>
      </c>
      <c r="E1161" s="89">
        <v>365</v>
      </c>
      <c r="F1161" s="89" t="str">
        <v/>
      </c>
      <c r="G1161" s="89" t="str">
        <f ca="1"/>
        <v/>
      </c>
    </row>
    <row r="1162" spans="1:7" x14ac:dyDescent="0.3">
      <c r="A1162" s="89" t="str">
        <v/>
      </c>
      <c r="B1162" s="89" t="str">
        <v>Seguridad aplicada al Pozo &amp; Yacimiento</v>
      </c>
      <c r="C1162" s="90" t="str">
        <v/>
      </c>
      <c r="D1162" s="89" t="str">
        <v>Periódica</v>
      </c>
      <c r="E1162" s="89">
        <v>365</v>
      </c>
      <c r="F1162" s="89" t="str">
        <v/>
      </c>
      <c r="G1162" s="89" t="str">
        <f ca="1"/>
        <v/>
      </c>
    </row>
    <row r="1163" spans="1:7" x14ac:dyDescent="0.3">
      <c r="A1163" s="89" t="str">
        <v/>
      </c>
      <c r="B1163" s="89" t="str">
        <v>Las Reglas que Salvan Vidas</v>
      </c>
      <c r="C1163" s="90" t="str">
        <v/>
      </c>
      <c r="D1163" s="89" t="str">
        <v>Periódica</v>
      </c>
      <c r="E1163" s="89">
        <v>365</v>
      </c>
      <c r="F1163" s="89" t="str">
        <v/>
      </c>
      <c r="G1163" s="89" t="str">
        <f ca="1"/>
        <v/>
      </c>
    </row>
    <row r="1164" spans="1:7" x14ac:dyDescent="0.3">
      <c r="A1164" s="89" t="str">
        <v/>
      </c>
      <c r="B1164" s="89" t="str">
        <v xml:space="preserve">Resguardo de Maquinas &amp; Equipos </v>
      </c>
      <c r="C1164" s="90" t="str">
        <v/>
      </c>
      <c r="D1164" s="89" t="str">
        <v>Periódica</v>
      </c>
      <c r="E1164" s="89">
        <v>365</v>
      </c>
      <c r="F1164" s="89" t="str">
        <v/>
      </c>
      <c r="G1164" s="89" t="str">
        <f ca="1"/>
        <v/>
      </c>
    </row>
    <row r="1165" spans="1:7" x14ac:dyDescent="0.3">
      <c r="A1165" s="89" t="str">
        <v/>
      </c>
      <c r="B1165" s="89" t="str">
        <v>Conduccion y Gestion de Viajes (Todos)</v>
      </c>
      <c r="C1165" s="90" t="str">
        <v/>
      </c>
      <c r="D1165" s="89" t="str">
        <v>Periódica</v>
      </c>
      <c r="E1165" s="89">
        <v>730</v>
      </c>
      <c r="F1165" s="89" t="str">
        <v/>
      </c>
      <c r="G1165" s="89" t="str">
        <f ca="1"/>
        <v/>
      </c>
    </row>
    <row r="1166" spans="1:7" x14ac:dyDescent="0.3">
      <c r="A1166" s="89" t="str">
        <v/>
      </c>
      <c r="B1166" s="89" t="str">
        <v>Conduccion y Gestion de Viajes (Conductores)</v>
      </c>
      <c r="C1166" s="90" t="str">
        <v/>
      </c>
      <c r="D1166" s="89" t="str">
        <v>Periódica</v>
      </c>
      <c r="E1166" s="89">
        <v>1095</v>
      </c>
      <c r="F1166" s="89" t="str">
        <v/>
      </c>
      <c r="G1166" s="89" t="str">
        <f ca="1"/>
        <v/>
      </c>
    </row>
    <row r="1167" spans="1:7" x14ac:dyDescent="0.3">
      <c r="A1167" s="89" t="str">
        <v/>
      </c>
      <c r="B1167" s="89" t="str">
        <v>Patogenos Transmitidos por la Sangre</v>
      </c>
      <c r="C1167" s="90" t="str">
        <v/>
      </c>
      <c r="D1167" s="89" t="str">
        <v>Periódica</v>
      </c>
      <c r="E1167" s="89">
        <v>365</v>
      </c>
      <c r="F1167" s="89" t="str">
        <v/>
      </c>
      <c r="G1167" s="89" t="str">
        <f ca="1"/>
        <v/>
      </c>
    </row>
    <row r="1168" spans="1:7" x14ac:dyDescent="0.3">
      <c r="A1168" s="89" t="str">
        <v/>
      </c>
      <c r="B1168" s="89" t="str">
        <v>Conservacion Auditiva</v>
      </c>
      <c r="C1168" s="90" t="str">
        <v/>
      </c>
      <c r="D1168" s="89" t="str">
        <v>Periódica</v>
      </c>
      <c r="E1168" s="89">
        <v>365</v>
      </c>
      <c r="F1168" s="89" t="str">
        <v/>
      </c>
      <c r="G1168" s="89" t="str">
        <f ca="1"/>
        <v/>
      </c>
    </row>
    <row r="1169" spans="1:7" x14ac:dyDescent="0.3">
      <c r="A1169" s="89" t="str">
        <v/>
      </c>
      <c r="B1169" s="89" t="str">
        <v xml:space="preserve">Ergonomia //  / Levantamiento &amp; Seguridad en la Espalda </v>
      </c>
      <c r="C1169" s="90" t="str">
        <v/>
      </c>
      <c r="D1169" s="89" t="str">
        <v>Periódica</v>
      </c>
      <c r="E1169" s="89">
        <v>365</v>
      </c>
      <c r="F1169" s="89" t="str">
        <v/>
      </c>
      <c r="G1169" s="89" t="str">
        <f ca="1"/>
        <v/>
      </c>
    </row>
    <row r="1170" spans="1:7" x14ac:dyDescent="0.3">
      <c r="A1170" s="89" t="str">
        <v/>
      </c>
      <c r="B1170" s="89" t="str">
        <v>Superficies Elevadas (Todos)</v>
      </c>
      <c r="C1170" s="90" t="str">
        <v/>
      </c>
      <c r="D1170" s="89" t="str">
        <v>Periódica</v>
      </c>
      <c r="E1170" s="89">
        <v>365</v>
      </c>
      <c r="F1170" s="89" t="str">
        <v/>
      </c>
      <c r="G1170" s="89" t="str">
        <f ca="1"/>
        <v/>
      </c>
    </row>
    <row r="1171" spans="1:7" x14ac:dyDescent="0.3">
      <c r="A1171" s="89" t="str">
        <v/>
      </c>
      <c r="B1171" s="89" t="str">
        <v>Superficies Elevadas (Personal Habilitado)</v>
      </c>
      <c r="C1171" s="90" t="str">
        <v/>
      </c>
      <c r="D1171" s="89" t="str">
        <v>Periódica</v>
      </c>
      <c r="E1171" s="89">
        <v>365</v>
      </c>
      <c r="F1171" s="89" t="str">
        <v/>
      </c>
      <c r="G1171" s="89" t="str">
        <f ca="1"/>
        <v/>
      </c>
    </row>
    <row r="1172" spans="1:7" x14ac:dyDescent="0.3">
      <c r="A1172" s="89" t="str">
        <v/>
      </c>
      <c r="B1172" s="89" t="str">
        <v>Seguridad Quimica (Todos)</v>
      </c>
      <c r="C1172" s="90" t="str">
        <v/>
      </c>
      <c r="D1172" s="89" t="str">
        <v>Periódica</v>
      </c>
      <c r="E1172" s="89">
        <v>730</v>
      </c>
      <c r="F1172" s="89" t="str">
        <v/>
      </c>
      <c r="G1172" s="89" t="str">
        <f ca="1"/>
        <v/>
      </c>
    </row>
    <row r="1173" spans="1:7" x14ac:dyDescent="0.3">
      <c r="A1173" s="89" t="str">
        <v/>
      </c>
      <c r="B1173" s="89" t="str">
        <v>Seguridad Quimica (Mantenimiento)</v>
      </c>
      <c r="C1173" s="90" t="str">
        <v/>
      </c>
      <c r="D1173" s="89" t="str">
        <v>Periódica</v>
      </c>
      <c r="E1173" s="89">
        <v>365</v>
      </c>
      <c r="F1173" s="89" t="str">
        <v/>
      </c>
      <c r="G1173" s="89" t="str">
        <f ca="1"/>
        <v/>
      </c>
    </row>
    <row r="1174" spans="1:7" x14ac:dyDescent="0.3">
      <c r="A1174" s="89" t="str">
        <v/>
      </c>
      <c r="B1174" s="89" t="str">
        <v>Seguridad Quimica (Contratistas)</v>
      </c>
      <c r="C1174" s="90" t="str">
        <v/>
      </c>
      <c r="D1174" s="89" t="str">
        <v>Periódica</v>
      </c>
      <c r="E1174" s="89">
        <v>365</v>
      </c>
      <c r="F1174" s="89" t="str">
        <v/>
      </c>
      <c r="G1174" s="89" t="str">
        <f ca="1"/>
        <v/>
      </c>
    </row>
    <row r="1175" spans="1:7" x14ac:dyDescent="0.3">
      <c r="A1175" s="89" t="str">
        <v/>
      </c>
      <c r="B1175" s="89" t="str">
        <v>Seguridad para Trabajos en Caliente</v>
      </c>
      <c r="C1175" s="90" t="str">
        <v/>
      </c>
      <c r="D1175" s="89" t="str">
        <v>Periódica</v>
      </c>
      <c r="E1175" s="89">
        <v>365</v>
      </c>
      <c r="F1175" s="89" t="str">
        <v/>
      </c>
      <c r="G1175" s="89" t="str">
        <f ca="1"/>
        <v/>
      </c>
    </row>
    <row r="1176" spans="1:7" x14ac:dyDescent="0.3">
      <c r="A1176" s="89" t="str">
        <v/>
      </c>
      <c r="B1176" s="89" t="str">
        <v>Seguridad con la Radiacion</v>
      </c>
      <c r="C1176" s="90" t="str">
        <v/>
      </c>
      <c r="D1176" s="89" t="str">
        <v>Periódica</v>
      </c>
      <c r="E1176" s="89">
        <v>365</v>
      </c>
      <c r="F1176" s="89" t="str">
        <v/>
      </c>
      <c r="G1176" s="89" t="str">
        <f ca="1"/>
        <v/>
      </c>
    </row>
    <row r="1177" spans="1:7" x14ac:dyDescent="0.3">
      <c r="A1177" s="89" t="str">
        <v/>
      </c>
      <c r="B1177" s="89" t="str">
        <v>Equipo de Proteccion Personal (PPE)</v>
      </c>
      <c r="C1177" s="90" t="str">
        <v/>
      </c>
      <c r="D1177" s="89" t="str">
        <v>Periódica</v>
      </c>
      <c r="E1177" s="89">
        <v>365</v>
      </c>
      <c r="F1177" s="89" t="str">
        <v/>
      </c>
      <c r="G1177" s="89" t="str">
        <f ca="1"/>
        <v/>
      </c>
    </row>
    <row r="1178" spans="1:7" x14ac:dyDescent="0.3">
      <c r="A1178" s="89" t="str">
        <v/>
      </c>
      <c r="B1178" s="89" t="str">
        <v>Proteccion Respiratoria</v>
      </c>
      <c r="C1178" s="90" t="str">
        <v/>
      </c>
      <c r="D1178" s="89" t="str">
        <v>Periódica</v>
      </c>
      <c r="E1178" s="89">
        <v>365</v>
      </c>
      <c r="F1178" s="89" t="str">
        <v/>
      </c>
      <c r="G1178" s="89" t="str">
        <f ca="1"/>
        <v/>
      </c>
    </row>
    <row r="1179" spans="1:7" x14ac:dyDescent="0.3">
      <c r="A1179" s="89" t="str">
        <v/>
      </c>
      <c r="B1179" s="89" t="str">
        <v xml:space="preserve">Seguridad con Escaleras </v>
      </c>
      <c r="C1179" s="90" t="str">
        <v/>
      </c>
      <c r="D1179" s="89" t="str">
        <v>Periódica</v>
      </c>
      <c r="E1179" s="89">
        <v>365</v>
      </c>
      <c r="F1179" s="89" t="str">
        <v/>
      </c>
      <c r="G1179" s="89" t="str">
        <f ca="1"/>
        <v/>
      </c>
    </row>
    <row r="1180" spans="1:7" x14ac:dyDescent="0.3">
      <c r="A1180" s="89" t="str">
        <v/>
      </c>
      <c r="B1180" s="89" t="str">
        <v>Seguridad con Escaleras // Estantes de Almacenamiento</v>
      </c>
      <c r="C1180" s="90" t="str">
        <v/>
      </c>
      <c r="D1180" s="89" t="str">
        <v>Periódica</v>
      </c>
      <c r="E1180" s="89">
        <v>365</v>
      </c>
      <c r="F1180" s="89" t="str">
        <v/>
      </c>
      <c r="G1180" s="89" t="str">
        <f ca="1"/>
        <v/>
      </c>
    </row>
    <row r="1181" spans="1:7" x14ac:dyDescent="0.3">
      <c r="A1181" s="89" t="str">
        <v/>
      </c>
      <c r="B1181" s="89" t="str">
        <v>Responsabilidades del Supervisor</v>
      </c>
      <c r="C1181" s="90" t="str">
        <v/>
      </c>
      <c r="D1181" s="89" t="str">
        <v>Periódica</v>
      </c>
      <c r="E1181" s="89">
        <v>365</v>
      </c>
      <c r="F1181" s="89" t="str">
        <v/>
      </c>
      <c r="G1181" s="89" t="str">
        <f ca="1"/>
        <v/>
      </c>
    </row>
    <row r="1182" spans="1:7" x14ac:dyDescent="0.3">
      <c r="A1182" s="89" t="str">
        <v/>
      </c>
      <c r="B1182" s="89" t="str">
        <v>Espacios Confinados (Todos)</v>
      </c>
      <c r="C1182" s="90" t="str">
        <v/>
      </c>
      <c r="D1182" s="89" t="str">
        <v>Periódica</v>
      </c>
      <c r="E1182" s="89">
        <v>365</v>
      </c>
      <c r="F1182" s="89" t="str">
        <v/>
      </c>
      <c r="G1182" s="89" t="str">
        <f ca="1"/>
        <v/>
      </c>
    </row>
    <row r="1183" spans="1:7" x14ac:dyDescent="0.3">
      <c r="A1183" s="89" t="str">
        <v/>
      </c>
      <c r="B1183" s="89" t="str">
        <v>HSMS.017 / Espacios Confinados (Entrantes)</v>
      </c>
      <c r="C1183" s="90" t="str">
        <v/>
      </c>
      <c r="D1183" s="89" t="str">
        <v>Evento</v>
      </c>
      <c r="E1183" s="89">
        <v>0</v>
      </c>
      <c r="F1183" s="89" t="str">
        <v/>
      </c>
      <c r="G1183" s="89" t="str">
        <f ca="1"/>
        <v/>
      </c>
    </row>
    <row r="1184" spans="1:7" x14ac:dyDescent="0.3">
      <c r="A1184" s="89" t="str">
        <v/>
      </c>
      <c r="B1184" s="89" t="str">
        <v>Programa de Agua (Todos)</v>
      </c>
      <c r="C1184" s="90" t="str">
        <v/>
      </c>
      <c r="D1184" s="89" t="str">
        <v>Evento</v>
      </c>
      <c r="E1184" s="89">
        <v>0</v>
      </c>
      <c r="F1184" s="89" t="str">
        <v/>
      </c>
      <c r="G1184" s="89" t="str">
        <f ca="1"/>
        <v/>
      </c>
    </row>
    <row r="1185" spans="1:7" x14ac:dyDescent="0.3">
      <c r="A1185" s="89" t="str">
        <v/>
      </c>
      <c r="B1185" s="89" t="str">
        <v>Programa de Agua (HSE)</v>
      </c>
      <c r="C1185" s="90" t="str">
        <v/>
      </c>
      <c r="D1185" s="89" t="str">
        <v>Evento</v>
      </c>
      <c r="E1185" s="89">
        <v>0</v>
      </c>
      <c r="F1185" s="89" t="str">
        <v/>
      </c>
      <c r="G1185" s="89" t="str">
        <f ca="1"/>
        <v/>
      </c>
    </row>
    <row r="1186" spans="1:7" x14ac:dyDescent="0.3">
      <c r="A1186" s="89" t="str">
        <v/>
      </c>
      <c r="B1186" s="89" t="str">
        <v>HIV/SIDA y otras enfermedades de transmisión sexual (ETS)</v>
      </c>
      <c r="C1186" s="90" t="str">
        <v/>
      </c>
      <c r="D1186" s="89" t="str">
        <v>Periódica</v>
      </c>
      <c r="E1186" s="89">
        <v>365</v>
      </c>
      <c r="F1186" s="89" t="str">
        <v/>
      </c>
      <c r="G1186" s="89" t="str">
        <f ca="1"/>
        <v/>
      </c>
    </row>
    <row r="1187" spans="1:7" x14ac:dyDescent="0.3">
      <c r="A1187" s="89" t="str">
        <v/>
      </c>
      <c r="B1187" s="89" t="str">
        <v>Drogas de abuso (concientización y prevención)</v>
      </c>
      <c r="C1187" s="90" t="str">
        <v/>
      </c>
      <c r="D1187" s="89" t="str">
        <v>Periódica</v>
      </c>
      <c r="E1187" s="89">
        <v>365</v>
      </c>
      <c r="F1187" s="89" t="str">
        <v/>
      </c>
      <c r="G1187" s="89" t="str">
        <f ca="1"/>
        <v/>
      </c>
    </row>
    <row r="1188" spans="1:7" x14ac:dyDescent="0.3">
      <c r="A1188" s="89" t="str">
        <v/>
      </c>
      <c r="B1188" s="89" t="str">
        <v>Vida saludable (hábitos, autocuidado y bienestar)</v>
      </c>
      <c r="C1188" s="90" t="str">
        <v/>
      </c>
      <c r="D1188" s="89" t="str">
        <v>Periódica</v>
      </c>
      <c r="E1188" s="89">
        <v>365</v>
      </c>
      <c r="F1188" s="89" t="str">
        <v/>
      </c>
      <c r="G1188" s="89" t="str">
        <f ca="1"/>
        <v/>
      </c>
    </row>
    <row r="1189" spans="1:7" x14ac:dyDescent="0.3">
      <c r="A1189" s="89" t="str">
        <v/>
      </c>
      <c r="B1189" s="89" t="str">
        <v>Primeros auxilios y Reanimación Cardio Pulmonar (RCP)</v>
      </c>
      <c r="C1189" s="90" t="str">
        <v/>
      </c>
      <c r="D1189" s="89" t="str">
        <v>Periódica</v>
      </c>
      <c r="E1189" s="89">
        <v>365</v>
      </c>
      <c r="F1189" s="89" t="str">
        <v/>
      </c>
      <c r="G1189" s="89" t="str">
        <f ca="1"/>
        <v/>
      </c>
    </row>
    <row r="1190" spans="1:7" x14ac:dyDescent="0.3">
      <c r="A1190" s="89" t="str">
        <v/>
      </c>
      <c r="B1190" s="89" t="str">
        <v>Prevención cardiovascular (factores de riesgo y señales de alarma)</v>
      </c>
      <c r="C1190" s="90" t="str">
        <v/>
      </c>
      <c r="D1190" s="89" t="str">
        <v>Periódica</v>
      </c>
      <c r="E1190" s="89">
        <v>365</v>
      </c>
      <c r="F1190" s="89" t="str">
        <v/>
      </c>
      <c r="G1190" s="89" t="str">
        <f ca="1"/>
        <v/>
      </c>
    </row>
    <row r="1191" spans="1:7" x14ac:dyDescent="0.3">
      <c r="A1191" s="89" t="str">
        <v/>
      </c>
      <c r="B1191" s="89" t="str">
        <v>Efectos del tabaco sobre la salud</v>
      </c>
      <c r="C1191" s="90" t="str">
        <v/>
      </c>
      <c r="D1191" s="89" t="str">
        <v>Periódica</v>
      </c>
      <c r="E1191" s="89">
        <v>365</v>
      </c>
      <c r="F1191" s="89" t="str">
        <v/>
      </c>
      <c r="G1191" s="89" t="str">
        <f ca="1"/>
        <v/>
      </c>
    </row>
    <row r="1192" spans="1:7" x14ac:dyDescent="0.3">
      <c r="A1192" s="89" t="str">
        <v/>
      </c>
      <c r="B1192" s="89" t="str">
        <v>Cargadora (Op. Montacargas)</v>
      </c>
      <c r="C1192" s="90" t="str">
        <v/>
      </c>
      <c r="D1192" s="89" t="str">
        <v>Periódica</v>
      </c>
      <c r="E1192" s="89">
        <v>365</v>
      </c>
      <c r="F1192" s="89" t="str">
        <v/>
      </c>
      <c r="G1192" s="89" t="str">
        <f ca="1"/>
        <v/>
      </c>
    </row>
    <row r="1193" spans="1:7" x14ac:dyDescent="0.3">
      <c r="A1193" s="89" t="str">
        <v/>
      </c>
      <c r="B1193" s="89">
        <v>0</v>
      </c>
      <c r="C1193" s="90" t="str">
        <v/>
      </c>
      <c r="D1193" s="89" t="str">
        <v/>
      </c>
      <c r="E1193" s="89" t="str">
        <v/>
      </c>
      <c r="F1193" s="89" t="str">
        <v/>
      </c>
      <c r="G1193" s="89" t="str">
        <f ca="1"/>
        <v/>
      </c>
    </row>
    <row r="1194" spans="1:7" x14ac:dyDescent="0.3">
      <c r="A1194" s="89" t="str">
        <v/>
      </c>
      <c r="B1194" s="89">
        <v>0</v>
      </c>
      <c r="C1194" s="90" t="str">
        <v/>
      </c>
      <c r="D1194" s="89" t="str">
        <v/>
      </c>
      <c r="E1194" s="89" t="str">
        <v/>
      </c>
      <c r="F1194" s="89" t="str">
        <v/>
      </c>
      <c r="G1194" s="89" t="str">
        <f ca="1"/>
        <v/>
      </c>
    </row>
    <row r="1195" spans="1:7" x14ac:dyDescent="0.3">
      <c r="A1195" s="89" t="str">
        <v/>
      </c>
      <c r="B1195" s="89">
        <v>0</v>
      </c>
      <c r="C1195" s="90" t="str">
        <v/>
      </c>
      <c r="D1195" s="89" t="str">
        <v/>
      </c>
      <c r="E1195" s="89" t="str">
        <v/>
      </c>
      <c r="F1195" s="89" t="str">
        <v/>
      </c>
      <c r="G1195" s="89" t="str">
        <f ca="1"/>
        <v/>
      </c>
    </row>
    <row r="1196" spans="1:7" x14ac:dyDescent="0.3">
      <c r="A1196" s="89" t="str">
        <v/>
      </c>
      <c r="B1196" s="89">
        <v>0</v>
      </c>
      <c r="C1196" s="90" t="str">
        <v/>
      </c>
      <c r="D1196" s="89" t="str">
        <v/>
      </c>
      <c r="E1196" s="89" t="str">
        <v/>
      </c>
      <c r="F1196" s="89" t="str">
        <v/>
      </c>
      <c r="G1196" s="89" t="str">
        <f ca="1"/>
        <v/>
      </c>
    </row>
    <row r="1197" spans="1:7" x14ac:dyDescent="0.3">
      <c r="A1197" s="89" t="str">
        <v/>
      </c>
      <c r="B1197" s="89">
        <v>0</v>
      </c>
      <c r="C1197" s="90" t="str">
        <v/>
      </c>
      <c r="D1197" s="89" t="str">
        <v/>
      </c>
      <c r="E1197" s="89" t="str">
        <v/>
      </c>
      <c r="F1197" s="89" t="str">
        <v/>
      </c>
      <c r="G1197" s="89" t="str">
        <f ca="1"/>
        <v/>
      </c>
    </row>
    <row r="1198" spans="1:7" x14ac:dyDescent="0.3">
      <c r="A1198" s="89" t="str">
        <v/>
      </c>
      <c r="B1198" s="89">
        <v>0</v>
      </c>
      <c r="C1198" s="90" t="str">
        <v/>
      </c>
      <c r="D1198" s="89" t="str">
        <v/>
      </c>
      <c r="E1198" s="89" t="str">
        <v/>
      </c>
      <c r="F1198" s="89" t="str">
        <v/>
      </c>
      <c r="G1198" s="89" t="str">
        <f ca="1"/>
        <v/>
      </c>
    </row>
    <row r="1199" spans="1:7" x14ac:dyDescent="0.3">
      <c r="A1199" s="89" t="str">
        <v/>
      </c>
      <c r="B1199" s="89">
        <v>0</v>
      </c>
      <c r="C1199" s="90" t="str">
        <v/>
      </c>
      <c r="D1199" s="89" t="str">
        <v/>
      </c>
      <c r="E1199" s="89" t="str">
        <v/>
      </c>
      <c r="F1199" s="89" t="str">
        <v/>
      </c>
      <c r="G1199" s="89" t="str">
        <f ca="1"/>
        <v/>
      </c>
    </row>
    <row r="1200" spans="1:7" x14ac:dyDescent="0.3">
      <c r="A1200" s="89" t="str">
        <v/>
      </c>
      <c r="B1200" s="89">
        <v>0</v>
      </c>
      <c r="C1200" s="90" t="str">
        <v/>
      </c>
      <c r="D1200" s="89" t="str">
        <v/>
      </c>
      <c r="E1200" s="89" t="str">
        <v/>
      </c>
      <c r="F1200" s="89" t="str">
        <v/>
      </c>
      <c r="G1200" s="89" t="str">
        <f ca="1"/>
        <v/>
      </c>
    </row>
    <row r="1201" spans="1:7" x14ac:dyDescent="0.3">
      <c r="A1201" s="89" t="str">
        <v/>
      </c>
      <c r="B1201" s="89">
        <v>0</v>
      </c>
      <c r="C1201" s="90" t="str">
        <v/>
      </c>
      <c r="D1201" s="89" t="str">
        <v/>
      </c>
      <c r="E1201" s="89" t="str">
        <v/>
      </c>
      <c r="F1201" s="89" t="str">
        <v/>
      </c>
      <c r="G1201" s="89" t="str">
        <f ca="1"/>
        <v/>
      </c>
    </row>
    <row r="1202" spans="1:7" x14ac:dyDescent="0.3">
      <c r="A1202" s="89" t="str">
        <v/>
      </c>
      <c r="B1202" s="89" t="str">
        <v>Programa de Aire</v>
      </c>
      <c r="C1202" s="90" t="str">
        <v/>
      </c>
      <c r="D1202" s="89" t="str">
        <v>Evento</v>
      </c>
      <c r="E1202" s="89">
        <v>0</v>
      </c>
      <c r="F1202" s="89" t="str">
        <v/>
      </c>
      <c r="G1202" s="89" t="str">
        <f ca="1"/>
        <v/>
      </c>
    </row>
    <row r="1203" spans="1:7" x14ac:dyDescent="0.3">
      <c r="A1203" s="89" t="str">
        <v/>
      </c>
      <c r="B1203" s="89" t="str">
        <v>Conciencia Ambiental</v>
      </c>
      <c r="C1203" s="90" t="str">
        <v/>
      </c>
      <c r="D1203" s="89" t="str">
        <v>Periódica</v>
      </c>
      <c r="E1203" s="89">
        <v>365</v>
      </c>
      <c r="F1203" s="89" t="str">
        <v/>
      </c>
      <c r="G1203" s="89" t="str">
        <f ca="1"/>
        <v/>
      </c>
    </row>
    <row r="1204" spans="1:7" x14ac:dyDescent="0.3">
      <c r="A1204" s="89" t="str">
        <v/>
      </c>
      <c r="B1204" s="89" t="str">
        <v xml:space="preserve">Control de Documentos e Informacion de HSE </v>
      </c>
      <c r="C1204" s="90" t="str">
        <v/>
      </c>
      <c r="D1204" s="89" t="str">
        <v>Evento</v>
      </c>
      <c r="E1204" s="89">
        <v>0</v>
      </c>
      <c r="F1204" s="89" t="str">
        <v/>
      </c>
      <c r="G1204" s="89" t="str">
        <f ca="1"/>
        <v/>
      </c>
    </row>
    <row r="1205" spans="1:7" x14ac:dyDescent="0.3">
      <c r="A1205" s="89" t="str">
        <v/>
      </c>
      <c r="B1205" s="89" t="str">
        <v xml:space="preserve"> Acciones Correctivas y Preventivas (CAPA)</v>
      </c>
      <c r="C1205" s="90" t="str">
        <v/>
      </c>
      <c r="D1205" s="89" t="str">
        <v>Evento</v>
      </c>
      <c r="E1205" s="89">
        <v>0</v>
      </c>
      <c r="F1205" s="89" t="str">
        <v/>
      </c>
      <c r="G1205" s="89" t="str">
        <f ca="1"/>
        <v/>
      </c>
    </row>
    <row r="1206" spans="1:7" x14ac:dyDescent="0.3">
      <c r="A1206" s="89" t="str">
        <v/>
      </c>
      <c r="B1206" s="89" t="str">
        <v>Seguridad Basada en el Comportamiento (Observation Program) // HSMS.043 / Autoridad de Detener el Trabajo</v>
      </c>
      <c r="C1206" s="90" t="str">
        <v/>
      </c>
      <c r="D1206" s="89" t="str">
        <v>Periódica</v>
      </c>
      <c r="E1206" s="89">
        <v>365</v>
      </c>
      <c r="F1206" s="89" t="str">
        <v/>
      </c>
      <c r="G1206" s="89" t="str">
        <f ca="1"/>
        <v/>
      </c>
    </row>
    <row r="1207" spans="1:7" x14ac:dyDescent="0.3">
      <c r="A1207" s="89" t="str">
        <v/>
      </c>
      <c r="B1207" s="89" t="str">
        <v>Identificacion de Peligros y Evaluacion de Riesgos</v>
      </c>
      <c r="C1207" s="90" t="str">
        <v/>
      </c>
      <c r="D1207" s="89" t="str">
        <v>Evento</v>
      </c>
      <c r="E1207" s="89">
        <v>0</v>
      </c>
      <c r="F1207" s="89" t="str">
        <v/>
      </c>
      <c r="G1207" s="89" t="str">
        <f ca="1"/>
        <v/>
      </c>
    </row>
    <row r="1208" spans="1:7" x14ac:dyDescent="0.3">
      <c r="A1208" s="89" t="str">
        <v/>
      </c>
      <c r="B1208" s="89" t="str">
        <v xml:space="preserve"> Plan de Respuesta ante Eemergencias / HSMS.010 /Primeros Axulios &amp; RCP/DEA / HSMSWT-002 / Patogenos Trasnmitidos por la Sangre</v>
      </c>
      <c r="C1208" s="90" t="str">
        <v/>
      </c>
      <c r="D1208" s="89" t="str">
        <v>Periódica</v>
      </c>
      <c r="E1208" s="89">
        <v>365</v>
      </c>
      <c r="F1208" s="89" t="str">
        <v/>
      </c>
      <c r="G1208" s="89" t="str">
        <f ca="1"/>
        <v/>
      </c>
    </row>
    <row r="1209" spans="1:7" x14ac:dyDescent="0.3">
      <c r="A1209" s="89" t="str">
        <v/>
      </c>
      <c r="B1209" s="89" t="str">
        <v>Reporte y Gestion de Incidentes HSE (Todos)</v>
      </c>
      <c r="C1209" s="90" t="str">
        <v/>
      </c>
      <c r="D1209" s="89" t="str">
        <v>Periódica</v>
      </c>
      <c r="E1209" s="89">
        <v>365</v>
      </c>
      <c r="F1209" s="89" t="str">
        <v/>
      </c>
      <c r="G1209" s="89" t="str">
        <f ca="1"/>
        <v/>
      </c>
    </row>
    <row r="1210" spans="1:7" x14ac:dyDescent="0.3">
      <c r="A1210" s="89" t="str">
        <v/>
      </c>
      <c r="B1210" s="89" t="str">
        <v>Reporte, Gestion e Investigacion de Incidentes HSE (supervisores / investigadores (rol))</v>
      </c>
      <c r="C1210" s="90" t="str">
        <v/>
      </c>
      <c r="D1210" s="89" t="str">
        <v>Periódica</v>
      </c>
      <c r="E1210" s="89">
        <v>1095</v>
      </c>
      <c r="F1210" s="89" t="str">
        <v/>
      </c>
      <c r="G1210" s="89" t="str">
        <f ca="1"/>
        <v/>
      </c>
    </row>
    <row r="1211" spans="1:7" x14ac:dyDescent="0.3">
      <c r="A1211" s="89" t="str">
        <v/>
      </c>
      <c r="B1211" s="89" t="str">
        <v>Gruas y Equipos de Izaje (Todos)</v>
      </c>
      <c r="C1211" s="90" t="str">
        <v/>
      </c>
      <c r="D1211" s="89" t="str">
        <v>Periódica</v>
      </c>
      <c r="E1211" s="89">
        <v>365</v>
      </c>
      <c r="F1211" s="89" t="str">
        <v/>
      </c>
      <c r="G1211" s="89" t="str">
        <f ca="1"/>
        <v/>
      </c>
    </row>
    <row r="1212" spans="1:7" x14ac:dyDescent="0.3">
      <c r="A1212" s="89" t="str">
        <v/>
      </c>
      <c r="B1212" s="89" t="str">
        <v>HSMS.007 / Gruas y Equipos de Izaje (Operadores)</v>
      </c>
      <c r="C1212" s="90" t="str">
        <v/>
      </c>
      <c r="D1212" s="89" t="str">
        <v>Periódica</v>
      </c>
      <c r="E1212" s="89">
        <v>365</v>
      </c>
      <c r="F1212" s="89" t="str">
        <v/>
      </c>
      <c r="G1212" s="89" t="str">
        <f ca="1"/>
        <v/>
      </c>
    </row>
    <row r="1213" spans="1:7" x14ac:dyDescent="0.3">
      <c r="A1213" s="89" t="str">
        <v/>
      </c>
      <c r="B1213" s="89" t="str">
        <v>Proteccion Contra Incendios (Todos)</v>
      </c>
      <c r="C1213" s="90" t="str">
        <v/>
      </c>
      <c r="D1213" s="89" t="str">
        <v>Periódica</v>
      </c>
      <c r="E1213" s="89">
        <v>365</v>
      </c>
      <c r="F1213" s="89" t="str">
        <v/>
      </c>
      <c r="G1213" s="89" t="str">
        <f ca="1"/>
        <v/>
      </c>
    </row>
    <row r="1214" spans="1:7" x14ac:dyDescent="0.3">
      <c r="A1214" s="89" t="str">
        <v/>
      </c>
      <c r="B1214" s="89" t="str">
        <v>Proteccion Contra Incendios (Brigadistas)</v>
      </c>
      <c r="C1214" s="90" t="str">
        <v/>
      </c>
      <c r="D1214" s="89" t="str">
        <v>Periódica</v>
      </c>
      <c r="E1214" s="89">
        <v>365</v>
      </c>
      <c r="F1214" s="89" t="str">
        <v/>
      </c>
      <c r="G1214" s="89" t="str">
        <f ca="1"/>
        <v/>
      </c>
    </row>
    <row r="1215" spans="1:7" x14ac:dyDescent="0.3">
      <c r="A1215" s="89" t="str">
        <v/>
      </c>
      <c r="B1215" s="89" t="str">
        <v>Primeros Auxilios (Brigadistas)</v>
      </c>
      <c r="C1215" s="90" t="str">
        <v/>
      </c>
      <c r="D1215" s="89" t="str">
        <v>Periódica</v>
      </c>
      <c r="E1215" s="89">
        <v>365</v>
      </c>
      <c r="F1215" s="89" t="str">
        <v/>
      </c>
      <c r="G1215" s="89" t="str">
        <f ca="1"/>
        <v/>
      </c>
    </row>
    <row r="1216" spans="1:7" x14ac:dyDescent="0.3">
      <c r="A1216" s="89" t="str">
        <v/>
      </c>
      <c r="B1216" s="89" t="str">
        <v>Seguridad Electrica (Todos)</v>
      </c>
      <c r="C1216" s="90" t="str">
        <v/>
      </c>
      <c r="D1216" s="89" t="str">
        <v>Periódica</v>
      </c>
      <c r="E1216" s="89">
        <v>365</v>
      </c>
      <c r="F1216" s="89" t="str">
        <v/>
      </c>
      <c r="G1216" s="89" t="str">
        <f ca="1"/>
        <v/>
      </c>
    </row>
    <row r="1217" spans="1:7" x14ac:dyDescent="0.3">
      <c r="A1217" s="89" t="str">
        <v/>
      </c>
      <c r="B1217" s="89" t="str">
        <v>Seguridad Electrica (Personal Autorizado)</v>
      </c>
      <c r="C1217" s="90" t="str">
        <v/>
      </c>
      <c r="D1217" s="89" t="str">
        <v>Periódica</v>
      </c>
      <c r="E1217" s="89">
        <v>1095</v>
      </c>
      <c r="F1217" s="89" t="str">
        <v/>
      </c>
      <c r="G1217" s="89" t="str">
        <f ca="1"/>
        <v/>
      </c>
    </row>
    <row r="1218" spans="1:7" x14ac:dyDescent="0.3">
      <c r="A1218" s="89" t="str">
        <v/>
      </c>
      <c r="B1218" s="89" t="str">
        <v>Camiones Industriales Motorizados (PIT) (Todos)</v>
      </c>
      <c r="C1218" s="90" t="str">
        <v/>
      </c>
      <c r="D1218" s="89" t="str">
        <v>Periódica</v>
      </c>
      <c r="E1218" s="89">
        <v>365</v>
      </c>
      <c r="F1218" s="89" t="str">
        <v/>
      </c>
      <c r="G1218" s="89" t="str">
        <f ca="1"/>
        <v/>
      </c>
    </row>
    <row r="1219" spans="1:7" x14ac:dyDescent="0.3">
      <c r="A1219" s="89" t="str">
        <v/>
      </c>
      <c r="B1219" s="89" t="str">
        <v>Camiones Industriales Motorizados (PIT) (Op. Montacargas)</v>
      </c>
      <c r="C1219" s="90" t="str">
        <v/>
      </c>
      <c r="D1219" s="89" t="str">
        <v>Periódica</v>
      </c>
      <c r="E1219" s="89">
        <v>365</v>
      </c>
      <c r="F1219" s="89" t="str">
        <v/>
      </c>
      <c r="G1219" s="89" t="str">
        <f ca="1"/>
        <v/>
      </c>
    </row>
    <row r="1220" spans="1:7" x14ac:dyDescent="0.3">
      <c r="A1220" s="89" t="str">
        <v/>
      </c>
      <c r="B1220" s="89" t="str">
        <v>Control de Energias Peligrosas (LOTO) (Todos)</v>
      </c>
      <c r="C1220" s="90" t="str">
        <v/>
      </c>
      <c r="D1220" s="89" t="str">
        <v>Evento</v>
      </c>
      <c r="E1220" s="89">
        <v>0</v>
      </c>
      <c r="F1220" s="89" t="str">
        <v/>
      </c>
      <c r="G1220" s="89" t="str">
        <f ca="1"/>
        <v/>
      </c>
    </row>
    <row r="1221" spans="1:7" x14ac:dyDescent="0.3">
      <c r="A1221" s="89" t="str">
        <v/>
      </c>
      <c r="B1221" s="89" t="str">
        <v>Control de Energias Peligrosas (LOTO) (Empleados Autorizados)</v>
      </c>
      <c r="C1221" s="90" t="str">
        <v/>
      </c>
      <c r="D1221" s="89" t="str">
        <v>Periódica</v>
      </c>
      <c r="E1221" s="89">
        <v>365</v>
      </c>
      <c r="F1221" s="89" t="str">
        <v/>
      </c>
      <c r="G1221" s="89" t="str">
        <f ca="1"/>
        <v/>
      </c>
    </row>
    <row r="1222" spans="1:7" x14ac:dyDescent="0.3">
      <c r="A1222" s="89" t="str">
        <v/>
      </c>
      <c r="B1222" s="89" t="str">
        <v>Seguridad aplicada al Pozo &amp; Yacimiento</v>
      </c>
      <c r="C1222" s="90" t="str">
        <v/>
      </c>
      <c r="D1222" s="89" t="str">
        <v>Periódica</v>
      </c>
      <c r="E1222" s="89">
        <v>365</v>
      </c>
      <c r="F1222" s="89" t="str">
        <v/>
      </c>
      <c r="G1222" s="89" t="str">
        <f ca="1"/>
        <v/>
      </c>
    </row>
    <row r="1223" spans="1:7" x14ac:dyDescent="0.3">
      <c r="A1223" s="89" t="str">
        <v/>
      </c>
      <c r="B1223" s="89" t="str">
        <v>Las Reglas que Salvan Vidas</v>
      </c>
      <c r="C1223" s="90" t="str">
        <v/>
      </c>
      <c r="D1223" s="89" t="str">
        <v>Periódica</v>
      </c>
      <c r="E1223" s="89">
        <v>365</v>
      </c>
      <c r="F1223" s="89" t="str">
        <v/>
      </c>
      <c r="G1223" s="89" t="str">
        <f ca="1"/>
        <v/>
      </c>
    </row>
    <row r="1224" spans="1:7" x14ac:dyDescent="0.3">
      <c r="A1224" s="89" t="str">
        <v/>
      </c>
      <c r="B1224" s="89" t="str">
        <v xml:space="preserve">Resguardo de Maquinas &amp; Equipos </v>
      </c>
      <c r="C1224" s="90" t="str">
        <v/>
      </c>
      <c r="D1224" s="89" t="str">
        <v>Periódica</v>
      </c>
      <c r="E1224" s="89">
        <v>365</v>
      </c>
      <c r="F1224" s="89" t="str">
        <v/>
      </c>
      <c r="G1224" s="89" t="str">
        <f ca="1"/>
        <v/>
      </c>
    </row>
    <row r="1225" spans="1:7" x14ac:dyDescent="0.3">
      <c r="A1225" s="89" t="str">
        <v/>
      </c>
      <c r="B1225" s="89" t="str">
        <v>Conduccion y Gestion de Viajes (Todos)</v>
      </c>
      <c r="C1225" s="90" t="str">
        <v/>
      </c>
      <c r="D1225" s="89" t="str">
        <v>Periódica</v>
      </c>
      <c r="E1225" s="89">
        <v>730</v>
      </c>
      <c r="F1225" s="89" t="str">
        <v/>
      </c>
      <c r="G1225" s="89" t="str">
        <f ca="1"/>
        <v/>
      </c>
    </row>
    <row r="1226" spans="1:7" x14ac:dyDescent="0.3">
      <c r="A1226" s="89" t="str">
        <v/>
      </c>
      <c r="B1226" s="89" t="str">
        <v>Conduccion y Gestion de Viajes (Conductores)</v>
      </c>
      <c r="C1226" s="90" t="str">
        <v/>
      </c>
      <c r="D1226" s="89" t="str">
        <v>Periódica</v>
      </c>
      <c r="E1226" s="89">
        <v>1095</v>
      </c>
      <c r="F1226" s="89" t="str">
        <v/>
      </c>
      <c r="G1226" s="89" t="str">
        <f ca="1"/>
        <v/>
      </c>
    </row>
    <row r="1227" spans="1:7" x14ac:dyDescent="0.3">
      <c r="A1227" s="89" t="str">
        <v/>
      </c>
      <c r="B1227" s="89" t="str">
        <v>Patogenos Transmitidos por la Sangre</v>
      </c>
      <c r="C1227" s="90" t="str">
        <v/>
      </c>
      <c r="D1227" s="89" t="str">
        <v>Periódica</v>
      </c>
      <c r="E1227" s="89">
        <v>365</v>
      </c>
      <c r="F1227" s="89" t="str">
        <v/>
      </c>
      <c r="G1227" s="89" t="str">
        <f ca="1"/>
        <v/>
      </c>
    </row>
    <row r="1228" spans="1:7" x14ac:dyDescent="0.3">
      <c r="A1228" s="89" t="str">
        <v/>
      </c>
      <c r="B1228" s="89" t="str">
        <v>Conservacion Auditiva</v>
      </c>
      <c r="C1228" s="90" t="str">
        <v/>
      </c>
      <c r="D1228" s="89" t="str">
        <v>Periódica</v>
      </c>
      <c r="E1228" s="89">
        <v>365</v>
      </c>
      <c r="F1228" s="89" t="str">
        <v/>
      </c>
      <c r="G1228" s="89" t="str">
        <f ca="1"/>
        <v/>
      </c>
    </row>
    <row r="1229" spans="1:7" x14ac:dyDescent="0.3">
      <c r="A1229" s="89" t="str">
        <v/>
      </c>
      <c r="B1229" s="89" t="str">
        <v xml:space="preserve">Ergonomia //  / Levantamiento &amp; Seguridad en la Espalda </v>
      </c>
      <c r="C1229" s="90" t="str">
        <v/>
      </c>
      <c r="D1229" s="89" t="str">
        <v>Periódica</v>
      </c>
      <c r="E1229" s="89">
        <v>365</v>
      </c>
      <c r="F1229" s="89" t="str">
        <v/>
      </c>
      <c r="G1229" s="89" t="str">
        <f ca="1"/>
        <v/>
      </c>
    </row>
    <row r="1230" spans="1:7" x14ac:dyDescent="0.3">
      <c r="A1230" s="89" t="str">
        <v/>
      </c>
      <c r="B1230" s="89" t="str">
        <v>Superficies Elevadas (Todos)</v>
      </c>
      <c r="C1230" s="90" t="str">
        <v/>
      </c>
      <c r="D1230" s="89" t="str">
        <v>Periódica</v>
      </c>
      <c r="E1230" s="89">
        <v>365</v>
      </c>
      <c r="F1230" s="89" t="str">
        <v/>
      </c>
      <c r="G1230" s="89" t="str">
        <f ca="1"/>
        <v/>
      </c>
    </row>
    <row r="1231" spans="1:7" x14ac:dyDescent="0.3">
      <c r="A1231" s="89" t="str">
        <v/>
      </c>
      <c r="B1231" s="89" t="str">
        <v>Superficies Elevadas (Personal Habilitado)</v>
      </c>
      <c r="C1231" s="90" t="str">
        <v/>
      </c>
      <c r="D1231" s="89" t="str">
        <v>Periódica</v>
      </c>
      <c r="E1231" s="89">
        <v>365</v>
      </c>
      <c r="F1231" s="89" t="str">
        <v/>
      </c>
      <c r="G1231" s="89" t="str">
        <f ca="1"/>
        <v/>
      </c>
    </row>
    <row r="1232" spans="1:7" x14ac:dyDescent="0.3">
      <c r="A1232" s="89" t="str">
        <v/>
      </c>
      <c r="B1232" s="89" t="str">
        <v>Seguridad Quimica (Todos)</v>
      </c>
      <c r="C1232" s="90" t="str">
        <v/>
      </c>
      <c r="D1232" s="89" t="str">
        <v>Periódica</v>
      </c>
      <c r="E1232" s="89">
        <v>730</v>
      </c>
      <c r="F1232" s="89" t="str">
        <v/>
      </c>
      <c r="G1232" s="89" t="str">
        <f ca="1"/>
        <v/>
      </c>
    </row>
    <row r="1233" spans="1:7" x14ac:dyDescent="0.3">
      <c r="A1233" s="89" t="str">
        <v/>
      </c>
      <c r="B1233" s="89" t="str">
        <v>Seguridad Quimica (Mantenimiento)</v>
      </c>
      <c r="C1233" s="90" t="str">
        <v/>
      </c>
      <c r="D1233" s="89" t="str">
        <v>Periódica</v>
      </c>
      <c r="E1233" s="89">
        <v>365</v>
      </c>
      <c r="F1233" s="89" t="str">
        <v/>
      </c>
      <c r="G1233" s="89" t="str">
        <f ca="1"/>
        <v/>
      </c>
    </row>
    <row r="1234" spans="1:7" x14ac:dyDescent="0.3">
      <c r="A1234" s="89" t="str">
        <v/>
      </c>
      <c r="B1234" s="89" t="str">
        <v>Seguridad Quimica (Contratistas)</v>
      </c>
      <c r="C1234" s="90" t="str">
        <v/>
      </c>
      <c r="D1234" s="89" t="str">
        <v>Periódica</v>
      </c>
      <c r="E1234" s="89">
        <v>365</v>
      </c>
      <c r="F1234" s="89" t="str">
        <v/>
      </c>
      <c r="G1234" s="89" t="str">
        <f ca="1"/>
        <v/>
      </c>
    </row>
    <row r="1235" spans="1:7" x14ac:dyDescent="0.3">
      <c r="A1235" s="89" t="str">
        <v/>
      </c>
      <c r="B1235" s="89" t="str">
        <v>Seguridad para Trabajos en Caliente</v>
      </c>
      <c r="C1235" s="90" t="str">
        <v/>
      </c>
      <c r="D1235" s="89" t="str">
        <v>Periódica</v>
      </c>
      <c r="E1235" s="89">
        <v>365</v>
      </c>
      <c r="F1235" s="89" t="str">
        <v/>
      </c>
      <c r="G1235" s="89" t="str">
        <f ca="1"/>
        <v/>
      </c>
    </row>
    <row r="1236" spans="1:7" x14ac:dyDescent="0.3">
      <c r="A1236" s="89" t="str">
        <v/>
      </c>
      <c r="B1236" s="89" t="str">
        <v>Seguridad con la Radiacion</v>
      </c>
      <c r="C1236" s="90" t="str">
        <v/>
      </c>
      <c r="D1236" s="89" t="str">
        <v>Periódica</v>
      </c>
      <c r="E1236" s="89">
        <v>365</v>
      </c>
      <c r="F1236" s="89" t="str">
        <v/>
      </c>
      <c r="G1236" s="89" t="str">
        <f ca="1"/>
        <v/>
      </c>
    </row>
    <row r="1237" spans="1:7" x14ac:dyDescent="0.3">
      <c r="A1237" s="89" t="str">
        <v/>
      </c>
      <c r="B1237" s="89" t="str">
        <v>Equipo de Proteccion Personal (PPE)</v>
      </c>
      <c r="C1237" s="90" t="str">
        <v/>
      </c>
      <c r="D1237" s="89" t="str">
        <v>Periódica</v>
      </c>
      <c r="E1237" s="89">
        <v>365</v>
      </c>
      <c r="F1237" s="89" t="str">
        <v/>
      </c>
      <c r="G1237" s="89" t="str">
        <f ca="1"/>
        <v/>
      </c>
    </row>
    <row r="1238" spans="1:7" x14ac:dyDescent="0.3">
      <c r="A1238" s="89" t="str">
        <v/>
      </c>
      <c r="B1238" s="89" t="str">
        <v>Proteccion Respiratoria</v>
      </c>
      <c r="C1238" s="90" t="str">
        <v/>
      </c>
      <c r="D1238" s="89" t="str">
        <v>Periódica</v>
      </c>
      <c r="E1238" s="89">
        <v>365</v>
      </c>
      <c r="F1238" s="89" t="str">
        <v/>
      </c>
      <c r="G1238" s="89" t="str">
        <f ca="1"/>
        <v/>
      </c>
    </row>
    <row r="1239" spans="1:7" x14ac:dyDescent="0.3">
      <c r="A1239" s="89" t="str">
        <v/>
      </c>
      <c r="B1239" s="89" t="str">
        <v xml:space="preserve">Seguridad con Escaleras </v>
      </c>
      <c r="C1239" s="90" t="str">
        <v/>
      </c>
      <c r="D1239" s="89" t="str">
        <v>Periódica</v>
      </c>
      <c r="E1239" s="89">
        <v>365</v>
      </c>
      <c r="F1239" s="89" t="str">
        <v/>
      </c>
      <c r="G1239" s="89" t="str">
        <f ca="1"/>
        <v/>
      </c>
    </row>
    <row r="1240" spans="1:7" x14ac:dyDescent="0.3">
      <c r="A1240" s="89" t="str">
        <v/>
      </c>
      <c r="B1240" s="89" t="str">
        <v>Seguridad con Escaleras // Estantes de Almacenamiento</v>
      </c>
      <c r="C1240" s="90" t="str">
        <v/>
      </c>
      <c r="D1240" s="89" t="str">
        <v>Periódica</v>
      </c>
      <c r="E1240" s="89">
        <v>365</v>
      </c>
      <c r="F1240" s="89" t="str">
        <v/>
      </c>
      <c r="G1240" s="89" t="str">
        <f ca="1"/>
        <v/>
      </c>
    </row>
    <row r="1241" spans="1:7" x14ac:dyDescent="0.3">
      <c r="A1241" s="89" t="str">
        <v/>
      </c>
      <c r="B1241" s="89" t="str">
        <v>Responsabilidades del Supervisor</v>
      </c>
      <c r="C1241" s="90" t="str">
        <v/>
      </c>
      <c r="D1241" s="89" t="str">
        <v>Periódica</v>
      </c>
      <c r="E1241" s="89">
        <v>365</v>
      </c>
      <c r="F1241" s="89" t="str">
        <v/>
      </c>
      <c r="G1241" s="89" t="str">
        <f ca="1"/>
        <v/>
      </c>
    </row>
    <row r="1242" spans="1:7" x14ac:dyDescent="0.3">
      <c r="A1242" s="89" t="str">
        <v/>
      </c>
      <c r="B1242" s="89" t="str">
        <v>Espacios Confinados (Todos)</v>
      </c>
      <c r="C1242" s="90" t="str">
        <v/>
      </c>
      <c r="D1242" s="89" t="str">
        <v>Periódica</v>
      </c>
      <c r="E1242" s="89">
        <v>365</v>
      </c>
      <c r="F1242" s="89" t="str">
        <v/>
      </c>
      <c r="G1242" s="89" t="str">
        <f ca="1"/>
        <v/>
      </c>
    </row>
    <row r="1243" spans="1:7" x14ac:dyDescent="0.3">
      <c r="A1243" s="89" t="str">
        <v/>
      </c>
      <c r="B1243" s="89" t="str">
        <v>HSMS.017 / Espacios Confinados (Entrantes)</v>
      </c>
      <c r="C1243" s="90" t="str">
        <v/>
      </c>
      <c r="D1243" s="89" t="str">
        <v>Evento</v>
      </c>
      <c r="E1243" s="89">
        <v>0</v>
      </c>
      <c r="F1243" s="89" t="str">
        <v/>
      </c>
      <c r="G1243" s="89" t="str">
        <f ca="1"/>
        <v/>
      </c>
    </row>
    <row r="1244" spans="1:7" x14ac:dyDescent="0.3">
      <c r="A1244" s="89" t="str">
        <v/>
      </c>
      <c r="B1244" s="89" t="str">
        <v>Programa de Agua (Todos)</v>
      </c>
      <c r="C1244" s="90" t="str">
        <v/>
      </c>
      <c r="D1244" s="89" t="str">
        <v>Evento</v>
      </c>
      <c r="E1244" s="89">
        <v>0</v>
      </c>
      <c r="F1244" s="89" t="str">
        <v/>
      </c>
      <c r="G1244" s="89" t="str">
        <f ca="1"/>
        <v/>
      </c>
    </row>
    <row r="1245" spans="1:7" x14ac:dyDescent="0.3">
      <c r="A1245" s="89" t="str">
        <v/>
      </c>
      <c r="B1245" s="89" t="str">
        <v>Programa de Agua (HSE)</v>
      </c>
      <c r="C1245" s="90" t="str">
        <v/>
      </c>
      <c r="D1245" s="89" t="str">
        <v>Evento</v>
      </c>
      <c r="E1245" s="89">
        <v>0</v>
      </c>
      <c r="F1245" s="89" t="str">
        <v/>
      </c>
      <c r="G1245" s="89" t="str">
        <f ca="1"/>
        <v/>
      </c>
    </row>
    <row r="1246" spans="1:7" x14ac:dyDescent="0.3">
      <c r="A1246" s="89" t="str">
        <v/>
      </c>
      <c r="B1246" s="89" t="str">
        <v>HIV/SIDA y otras enfermedades de transmisión sexual (ETS)</v>
      </c>
      <c r="C1246" s="90" t="str">
        <v/>
      </c>
      <c r="D1246" s="89" t="str">
        <v>Periódica</v>
      </c>
      <c r="E1246" s="89">
        <v>365</v>
      </c>
      <c r="F1246" s="89" t="str">
        <v/>
      </c>
      <c r="G1246" s="89" t="str">
        <f ca="1"/>
        <v/>
      </c>
    </row>
    <row r="1247" spans="1:7" x14ac:dyDescent="0.3">
      <c r="A1247" s="89" t="str">
        <v/>
      </c>
      <c r="B1247" s="89" t="str">
        <v>Drogas de abuso (concientización y prevención)</v>
      </c>
      <c r="C1247" s="90" t="str">
        <v/>
      </c>
      <c r="D1247" s="89" t="str">
        <v>Periódica</v>
      </c>
      <c r="E1247" s="89">
        <v>365</v>
      </c>
      <c r="F1247" s="89" t="str">
        <v/>
      </c>
      <c r="G1247" s="89" t="str">
        <f ca="1"/>
        <v/>
      </c>
    </row>
    <row r="1248" spans="1:7" x14ac:dyDescent="0.3">
      <c r="A1248" s="89" t="str">
        <v/>
      </c>
      <c r="B1248" s="89" t="str">
        <v>Vida saludable (hábitos, autocuidado y bienestar)</v>
      </c>
      <c r="C1248" s="90" t="str">
        <v/>
      </c>
      <c r="D1248" s="89" t="str">
        <v>Periódica</v>
      </c>
      <c r="E1248" s="89">
        <v>365</v>
      </c>
      <c r="F1248" s="89" t="str">
        <v/>
      </c>
      <c r="G1248" s="89" t="str">
        <f ca="1"/>
        <v/>
      </c>
    </row>
    <row r="1249" spans="1:7" x14ac:dyDescent="0.3">
      <c r="A1249" s="89" t="str">
        <v/>
      </c>
      <c r="B1249" s="89" t="str">
        <v>Primeros auxilios y Reanimación Cardio Pulmonar (RCP)</v>
      </c>
      <c r="C1249" s="90" t="str">
        <v/>
      </c>
      <c r="D1249" s="89" t="str">
        <v>Periódica</v>
      </c>
      <c r="E1249" s="89">
        <v>365</v>
      </c>
      <c r="F1249" s="89" t="str">
        <v/>
      </c>
      <c r="G1249" s="89" t="str">
        <f ca="1"/>
        <v/>
      </c>
    </row>
    <row r="1250" spans="1:7" x14ac:dyDescent="0.3">
      <c r="A1250" s="89" t="str">
        <v/>
      </c>
      <c r="B1250" s="89" t="str">
        <v>Prevención cardiovascular (factores de riesgo y señales de alarma)</v>
      </c>
      <c r="C1250" s="90" t="str">
        <v/>
      </c>
      <c r="D1250" s="89" t="str">
        <v>Periódica</v>
      </c>
      <c r="E1250" s="89">
        <v>365</v>
      </c>
      <c r="F1250" s="89" t="str">
        <v/>
      </c>
      <c r="G1250" s="89" t="str">
        <f ca="1"/>
        <v/>
      </c>
    </row>
    <row r="1251" spans="1:7" x14ac:dyDescent="0.3">
      <c r="A1251" s="89" t="str">
        <v/>
      </c>
      <c r="B1251" s="89" t="str">
        <v>Efectos del tabaco sobre la salud</v>
      </c>
      <c r="C1251" s="90" t="str">
        <v/>
      </c>
      <c r="D1251" s="89" t="str">
        <v>Periódica</v>
      </c>
      <c r="E1251" s="89">
        <v>365</v>
      </c>
      <c r="F1251" s="89" t="str">
        <v/>
      </c>
      <c r="G1251" s="89" t="str">
        <f ca="1"/>
        <v/>
      </c>
    </row>
    <row r="1252" spans="1:7" x14ac:dyDescent="0.3">
      <c r="A1252" s="89" t="str">
        <v/>
      </c>
      <c r="B1252" s="89" t="str">
        <v>Cargadora (Op. Montacargas)</v>
      </c>
      <c r="C1252" s="90" t="str">
        <v/>
      </c>
      <c r="D1252" s="89" t="str">
        <v>Periódica</v>
      </c>
      <c r="E1252" s="89">
        <v>365</v>
      </c>
      <c r="F1252" s="89" t="str">
        <v/>
      </c>
      <c r="G1252" s="89" t="str">
        <f ca="1"/>
        <v/>
      </c>
    </row>
    <row r="1253" spans="1:7" x14ac:dyDescent="0.3">
      <c r="A1253" s="89" t="str">
        <v/>
      </c>
      <c r="B1253" s="89">
        <v>0</v>
      </c>
      <c r="C1253" s="90" t="str">
        <v/>
      </c>
      <c r="D1253" s="89" t="str">
        <v/>
      </c>
      <c r="E1253" s="89" t="str">
        <v/>
      </c>
      <c r="F1253" s="89" t="str">
        <v/>
      </c>
      <c r="G1253" s="89" t="str">
        <f ca="1"/>
        <v/>
      </c>
    </row>
    <row r="1254" spans="1:7" x14ac:dyDescent="0.3">
      <c r="A1254" s="89" t="str">
        <v/>
      </c>
      <c r="B1254" s="89">
        <v>0</v>
      </c>
      <c r="C1254" s="90" t="str">
        <v/>
      </c>
      <c r="D1254" s="89" t="str">
        <v/>
      </c>
      <c r="E1254" s="89" t="str">
        <v/>
      </c>
      <c r="F1254" s="89" t="str">
        <v/>
      </c>
      <c r="G1254" s="89" t="str">
        <f ca="1"/>
        <v/>
      </c>
    </row>
    <row r="1255" spans="1:7" x14ac:dyDescent="0.3">
      <c r="A1255" s="89" t="str">
        <v/>
      </c>
      <c r="B1255" s="89">
        <v>0</v>
      </c>
      <c r="C1255" s="90" t="str">
        <v/>
      </c>
      <c r="D1255" s="89" t="str">
        <v/>
      </c>
      <c r="E1255" s="89" t="str">
        <v/>
      </c>
      <c r="F1255" s="89" t="str">
        <v/>
      </c>
      <c r="G1255" s="89" t="str">
        <f ca="1"/>
        <v/>
      </c>
    </row>
    <row r="1256" spans="1:7" x14ac:dyDescent="0.3">
      <c r="A1256" s="89" t="str">
        <v/>
      </c>
      <c r="B1256" s="89">
        <v>0</v>
      </c>
      <c r="C1256" s="90" t="str">
        <v/>
      </c>
      <c r="D1256" s="89" t="str">
        <v/>
      </c>
      <c r="E1256" s="89" t="str">
        <v/>
      </c>
      <c r="F1256" s="89" t="str">
        <v/>
      </c>
      <c r="G1256" s="89" t="str">
        <f ca="1"/>
        <v/>
      </c>
    </row>
    <row r="1257" spans="1:7" x14ac:dyDescent="0.3">
      <c r="A1257" s="89" t="str">
        <v/>
      </c>
      <c r="B1257" s="89">
        <v>0</v>
      </c>
      <c r="C1257" s="90" t="str">
        <v/>
      </c>
      <c r="D1257" s="89" t="str">
        <v/>
      </c>
      <c r="E1257" s="89" t="str">
        <v/>
      </c>
      <c r="F1257" s="89" t="str">
        <v/>
      </c>
      <c r="G1257" s="89" t="str">
        <f ca="1"/>
        <v/>
      </c>
    </row>
    <row r="1258" spans="1:7" x14ac:dyDescent="0.3">
      <c r="A1258" s="89" t="str">
        <v/>
      </c>
      <c r="B1258" s="89">
        <v>0</v>
      </c>
      <c r="C1258" s="90" t="str">
        <v/>
      </c>
      <c r="D1258" s="89" t="str">
        <v/>
      </c>
      <c r="E1258" s="89" t="str">
        <v/>
      </c>
      <c r="F1258" s="89" t="str">
        <v/>
      </c>
      <c r="G1258" s="89" t="str">
        <f ca="1"/>
        <v/>
      </c>
    </row>
    <row r="1259" spans="1:7" x14ac:dyDescent="0.3">
      <c r="A1259" s="89" t="str">
        <v/>
      </c>
      <c r="B1259" s="89">
        <v>0</v>
      </c>
      <c r="C1259" s="90" t="str">
        <v/>
      </c>
      <c r="D1259" s="89" t="str">
        <v/>
      </c>
      <c r="E1259" s="89" t="str">
        <v/>
      </c>
      <c r="F1259" s="89" t="str">
        <v/>
      </c>
      <c r="G1259" s="89" t="str">
        <f ca="1"/>
        <v/>
      </c>
    </row>
    <row r="1260" spans="1:7" x14ac:dyDescent="0.3">
      <c r="A1260" s="89" t="str">
        <v/>
      </c>
      <c r="B1260" s="89">
        <v>0</v>
      </c>
      <c r="C1260" s="90" t="str">
        <v/>
      </c>
      <c r="D1260" s="89" t="str">
        <v/>
      </c>
      <c r="E1260" s="89" t="str">
        <v/>
      </c>
      <c r="F1260" s="89" t="str">
        <v/>
      </c>
      <c r="G1260" s="89" t="str">
        <f ca="1"/>
        <v/>
      </c>
    </row>
    <row r="1261" spans="1:7" x14ac:dyDescent="0.3">
      <c r="A1261" s="89" t="str">
        <v/>
      </c>
      <c r="B1261" s="89">
        <v>0</v>
      </c>
      <c r="C1261" s="90" t="str">
        <v/>
      </c>
      <c r="D1261" s="89" t="str">
        <v/>
      </c>
      <c r="E1261" s="89" t="str">
        <v/>
      </c>
      <c r="F1261" s="89" t="str">
        <v/>
      </c>
      <c r="G1261" s="89" t="str">
        <f ca="1"/>
        <v/>
      </c>
    </row>
    <row r="1262" spans="1:7" x14ac:dyDescent="0.3">
      <c r="A1262" s="89" t="str">
        <v/>
      </c>
      <c r="B1262" s="89" t="str">
        <v>Programa de Aire</v>
      </c>
      <c r="C1262" s="90" t="str">
        <v/>
      </c>
      <c r="D1262" s="89" t="str">
        <v>Evento</v>
      </c>
      <c r="E1262" s="89">
        <v>0</v>
      </c>
      <c r="F1262" s="89" t="str">
        <v/>
      </c>
      <c r="G1262" s="89" t="str">
        <f ca="1"/>
        <v/>
      </c>
    </row>
    <row r="1263" spans="1:7" x14ac:dyDescent="0.3">
      <c r="A1263" s="89" t="str">
        <v/>
      </c>
      <c r="B1263" s="89" t="str">
        <v>Conciencia Ambiental</v>
      </c>
      <c r="C1263" s="90" t="str">
        <v/>
      </c>
      <c r="D1263" s="89" t="str">
        <v>Periódica</v>
      </c>
      <c r="E1263" s="89">
        <v>365</v>
      </c>
      <c r="F1263" s="89" t="str">
        <v/>
      </c>
      <c r="G1263" s="89" t="str">
        <f ca="1"/>
        <v/>
      </c>
    </row>
    <row r="1264" spans="1:7" x14ac:dyDescent="0.3">
      <c r="A1264" s="89" t="str">
        <v/>
      </c>
      <c r="B1264" s="89" t="str">
        <v xml:space="preserve">Control de Documentos e Informacion de HSE </v>
      </c>
      <c r="C1264" s="90" t="str">
        <v/>
      </c>
      <c r="D1264" s="89" t="str">
        <v>Evento</v>
      </c>
      <c r="E1264" s="89">
        <v>0</v>
      </c>
      <c r="F1264" s="89" t="str">
        <v/>
      </c>
      <c r="G1264" s="89" t="str">
        <f ca="1"/>
        <v/>
      </c>
    </row>
    <row r="1265" spans="1:7" x14ac:dyDescent="0.3">
      <c r="A1265" s="89" t="str">
        <v/>
      </c>
      <c r="B1265" s="89" t="str">
        <v xml:space="preserve"> Acciones Correctivas y Preventivas (CAPA)</v>
      </c>
      <c r="C1265" s="90" t="str">
        <v/>
      </c>
      <c r="D1265" s="89" t="str">
        <v>Evento</v>
      </c>
      <c r="E1265" s="89">
        <v>0</v>
      </c>
      <c r="F1265" s="89" t="str">
        <v/>
      </c>
      <c r="G1265" s="89" t="str">
        <f ca="1"/>
        <v/>
      </c>
    </row>
    <row r="1266" spans="1:7" x14ac:dyDescent="0.3">
      <c r="A1266" s="89" t="str">
        <v/>
      </c>
      <c r="B1266" s="89" t="str">
        <v>Seguridad Basada en el Comportamiento (Observation Program) // HSMS.043 / Autoridad de Detener el Trabajo</v>
      </c>
      <c r="C1266" s="90" t="str">
        <v/>
      </c>
      <c r="D1266" s="89" t="str">
        <v>Periódica</v>
      </c>
      <c r="E1266" s="89">
        <v>365</v>
      </c>
      <c r="F1266" s="89" t="str">
        <v/>
      </c>
      <c r="G1266" s="89" t="str">
        <f ca="1"/>
        <v/>
      </c>
    </row>
    <row r="1267" spans="1:7" x14ac:dyDescent="0.3">
      <c r="A1267" s="89" t="str">
        <v/>
      </c>
      <c r="B1267" s="89" t="str">
        <v>Identificacion de Peligros y Evaluacion de Riesgos</v>
      </c>
      <c r="C1267" s="90" t="str">
        <v/>
      </c>
      <c r="D1267" s="89" t="str">
        <v>Evento</v>
      </c>
      <c r="E1267" s="89">
        <v>0</v>
      </c>
      <c r="F1267" s="89" t="str">
        <v/>
      </c>
      <c r="G1267" s="89" t="str">
        <f ca="1"/>
        <v/>
      </c>
    </row>
    <row r="1268" spans="1:7" x14ac:dyDescent="0.3">
      <c r="A1268" s="89" t="str">
        <v/>
      </c>
      <c r="B1268" s="89" t="str">
        <v xml:space="preserve"> Plan de Respuesta ante Eemergencias / HSMS.010 /Primeros Axulios &amp; RCP/DEA / HSMSWT-002 / Patogenos Trasnmitidos por la Sangre</v>
      </c>
      <c r="C1268" s="90" t="str">
        <v/>
      </c>
      <c r="D1268" s="89" t="str">
        <v>Periódica</v>
      </c>
      <c r="E1268" s="89">
        <v>365</v>
      </c>
      <c r="F1268" s="89" t="str">
        <v/>
      </c>
      <c r="G1268" s="89" t="str">
        <f ca="1"/>
        <v/>
      </c>
    </row>
    <row r="1269" spans="1:7" x14ac:dyDescent="0.3">
      <c r="A1269" s="89" t="str">
        <v/>
      </c>
      <c r="B1269" s="89" t="str">
        <v>Reporte y Gestion de Incidentes HSE (Todos)</v>
      </c>
      <c r="C1269" s="90" t="str">
        <v/>
      </c>
      <c r="D1269" s="89" t="str">
        <v>Periódica</v>
      </c>
      <c r="E1269" s="89">
        <v>365</v>
      </c>
      <c r="F1269" s="89" t="str">
        <v/>
      </c>
      <c r="G1269" s="89" t="str">
        <f ca="1"/>
        <v/>
      </c>
    </row>
    <row r="1270" spans="1:7" x14ac:dyDescent="0.3">
      <c r="A1270" s="89" t="str">
        <v/>
      </c>
      <c r="B1270" s="89" t="str">
        <v>Reporte, Gestion e Investigacion de Incidentes HSE (supervisores / investigadores (rol))</v>
      </c>
      <c r="C1270" s="90" t="str">
        <v/>
      </c>
      <c r="D1270" s="89" t="str">
        <v>Periódica</v>
      </c>
      <c r="E1270" s="89">
        <v>1095</v>
      </c>
      <c r="F1270" s="89" t="str">
        <v/>
      </c>
      <c r="G1270" s="89" t="str">
        <f ca="1"/>
        <v/>
      </c>
    </row>
    <row r="1271" spans="1:7" x14ac:dyDescent="0.3">
      <c r="A1271" s="89" t="str">
        <v/>
      </c>
      <c r="B1271" s="89" t="str">
        <v>Gruas y Equipos de Izaje (Todos)</v>
      </c>
      <c r="C1271" s="90" t="str">
        <v/>
      </c>
      <c r="D1271" s="89" t="str">
        <v>Periódica</v>
      </c>
      <c r="E1271" s="89">
        <v>365</v>
      </c>
      <c r="F1271" s="89" t="str">
        <v/>
      </c>
      <c r="G1271" s="89" t="str">
        <f ca="1"/>
        <v/>
      </c>
    </row>
    <row r="1272" spans="1:7" x14ac:dyDescent="0.3">
      <c r="A1272" s="89" t="str">
        <v/>
      </c>
      <c r="B1272" s="89" t="str">
        <v>HSMS.007 / Gruas y Equipos de Izaje (Operadores)</v>
      </c>
      <c r="C1272" s="90" t="str">
        <v/>
      </c>
      <c r="D1272" s="89" t="str">
        <v>Periódica</v>
      </c>
      <c r="E1272" s="89">
        <v>365</v>
      </c>
      <c r="F1272" s="89" t="str">
        <v/>
      </c>
      <c r="G1272" s="89" t="str">
        <f ca="1"/>
        <v/>
      </c>
    </row>
    <row r="1273" spans="1:7" x14ac:dyDescent="0.3">
      <c r="A1273" s="89" t="str">
        <v/>
      </c>
      <c r="B1273" s="89" t="str">
        <v>Proteccion Contra Incendios (Todos)</v>
      </c>
      <c r="C1273" s="90" t="str">
        <v/>
      </c>
      <c r="D1273" s="89" t="str">
        <v>Periódica</v>
      </c>
      <c r="E1273" s="89">
        <v>365</v>
      </c>
      <c r="F1273" s="89" t="str">
        <v/>
      </c>
      <c r="G1273" s="89" t="str">
        <f ca="1"/>
        <v/>
      </c>
    </row>
    <row r="1274" spans="1:7" x14ac:dyDescent="0.3">
      <c r="A1274" s="89" t="str">
        <v/>
      </c>
      <c r="B1274" s="89" t="str">
        <v>Proteccion Contra Incendios (Brigadistas)</v>
      </c>
      <c r="C1274" s="90" t="str">
        <v/>
      </c>
      <c r="D1274" s="89" t="str">
        <v>Periódica</v>
      </c>
      <c r="E1274" s="89">
        <v>365</v>
      </c>
      <c r="F1274" s="89" t="str">
        <v/>
      </c>
      <c r="G1274" s="89" t="str">
        <f ca="1"/>
        <v/>
      </c>
    </row>
    <row r="1275" spans="1:7" x14ac:dyDescent="0.3">
      <c r="A1275" s="89" t="str">
        <v/>
      </c>
      <c r="B1275" s="89" t="str">
        <v>Primeros Auxilios (Brigadistas)</v>
      </c>
      <c r="C1275" s="90" t="str">
        <v/>
      </c>
      <c r="D1275" s="89" t="str">
        <v>Periódica</v>
      </c>
      <c r="E1275" s="89">
        <v>365</v>
      </c>
      <c r="F1275" s="89" t="str">
        <v/>
      </c>
      <c r="G1275" s="89" t="str">
        <f ca="1"/>
        <v/>
      </c>
    </row>
    <row r="1276" spans="1:7" x14ac:dyDescent="0.3">
      <c r="A1276" s="89" t="str">
        <v/>
      </c>
      <c r="B1276" s="89" t="str">
        <v>Seguridad Electrica (Todos)</v>
      </c>
      <c r="C1276" s="90" t="str">
        <v/>
      </c>
      <c r="D1276" s="89" t="str">
        <v>Periódica</v>
      </c>
      <c r="E1276" s="89">
        <v>365</v>
      </c>
      <c r="F1276" s="89" t="str">
        <v/>
      </c>
      <c r="G1276" s="89" t="str">
        <f ca="1"/>
        <v/>
      </c>
    </row>
    <row r="1277" spans="1:7" x14ac:dyDescent="0.3">
      <c r="A1277" s="89" t="str">
        <v/>
      </c>
      <c r="B1277" s="89" t="str">
        <v>Seguridad Electrica (Personal Autorizado)</v>
      </c>
      <c r="C1277" s="90" t="str">
        <v/>
      </c>
      <c r="D1277" s="89" t="str">
        <v>Periódica</v>
      </c>
      <c r="E1277" s="89">
        <v>1095</v>
      </c>
      <c r="F1277" s="89" t="str">
        <v/>
      </c>
      <c r="G1277" s="89" t="str">
        <f ca="1"/>
        <v/>
      </c>
    </row>
    <row r="1278" spans="1:7" x14ac:dyDescent="0.3">
      <c r="A1278" s="89" t="str">
        <v/>
      </c>
      <c r="B1278" s="89" t="str">
        <v>Camiones Industriales Motorizados (PIT) (Todos)</v>
      </c>
      <c r="C1278" s="90" t="str">
        <v/>
      </c>
      <c r="D1278" s="89" t="str">
        <v>Periódica</v>
      </c>
      <c r="E1278" s="89">
        <v>365</v>
      </c>
      <c r="F1278" s="89" t="str">
        <v/>
      </c>
      <c r="G1278" s="89" t="str">
        <f ca="1"/>
        <v/>
      </c>
    </row>
    <row r="1279" spans="1:7" x14ac:dyDescent="0.3">
      <c r="A1279" s="89" t="str">
        <v/>
      </c>
      <c r="B1279" s="89" t="str">
        <v>Camiones Industriales Motorizados (PIT) (Op. Montacargas)</v>
      </c>
      <c r="C1279" s="90" t="str">
        <v/>
      </c>
      <c r="D1279" s="89" t="str">
        <v>Periódica</v>
      </c>
      <c r="E1279" s="89">
        <v>365</v>
      </c>
      <c r="F1279" s="89" t="str">
        <v/>
      </c>
      <c r="G1279" s="89" t="str">
        <f ca="1"/>
        <v/>
      </c>
    </row>
    <row r="1280" spans="1:7" x14ac:dyDescent="0.3">
      <c r="A1280" s="89" t="str">
        <v/>
      </c>
      <c r="B1280" s="89" t="str">
        <v>Control de Energias Peligrosas (LOTO) (Todos)</v>
      </c>
      <c r="C1280" s="90" t="str">
        <v/>
      </c>
      <c r="D1280" s="89" t="str">
        <v>Evento</v>
      </c>
      <c r="E1280" s="89">
        <v>0</v>
      </c>
      <c r="F1280" s="89" t="str">
        <v/>
      </c>
      <c r="G1280" s="89" t="str">
        <f ca="1"/>
        <v/>
      </c>
    </row>
    <row r="1281" spans="1:7" x14ac:dyDescent="0.3">
      <c r="A1281" s="89" t="str">
        <v/>
      </c>
      <c r="B1281" s="89" t="str">
        <v>Control de Energias Peligrosas (LOTO) (Empleados Autorizados)</v>
      </c>
      <c r="C1281" s="90" t="str">
        <v/>
      </c>
      <c r="D1281" s="89" t="str">
        <v>Periódica</v>
      </c>
      <c r="E1281" s="89">
        <v>365</v>
      </c>
      <c r="F1281" s="89" t="str">
        <v/>
      </c>
      <c r="G1281" s="89" t="str">
        <f ca="1"/>
        <v/>
      </c>
    </row>
    <row r="1282" spans="1:7" x14ac:dyDescent="0.3">
      <c r="A1282" s="89" t="str">
        <v/>
      </c>
      <c r="B1282" s="89" t="str">
        <v>Seguridad aplicada al Pozo &amp; Yacimiento</v>
      </c>
      <c r="C1282" s="90" t="str">
        <v/>
      </c>
      <c r="D1282" s="89" t="str">
        <v>Periódica</v>
      </c>
      <c r="E1282" s="89">
        <v>365</v>
      </c>
      <c r="F1282" s="89" t="str">
        <v/>
      </c>
      <c r="G1282" s="89" t="str">
        <f ca="1"/>
        <v/>
      </c>
    </row>
    <row r="1283" spans="1:7" x14ac:dyDescent="0.3">
      <c r="A1283" s="89" t="str">
        <v/>
      </c>
      <c r="B1283" s="89" t="str">
        <v>Las Reglas que Salvan Vidas</v>
      </c>
      <c r="C1283" s="90" t="str">
        <v/>
      </c>
      <c r="D1283" s="89" t="str">
        <v>Periódica</v>
      </c>
      <c r="E1283" s="89">
        <v>365</v>
      </c>
      <c r="F1283" s="89" t="str">
        <v/>
      </c>
      <c r="G1283" s="89" t="str">
        <f ca="1"/>
        <v/>
      </c>
    </row>
    <row r="1284" spans="1:7" x14ac:dyDescent="0.3">
      <c r="A1284" s="89" t="str">
        <v/>
      </c>
      <c r="B1284" s="89" t="str">
        <v xml:space="preserve">Resguardo de Maquinas &amp; Equipos </v>
      </c>
      <c r="C1284" s="90" t="str">
        <v/>
      </c>
      <c r="D1284" s="89" t="str">
        <v>Periódica</v>
      </c>
      <c r="E1284" s="89">
        <v>365</v>
      </c>
      <c r="F1284" s="89" t="str">
        <v/>
      </c>
      <c r="G1284" s="89" t="str">
        <f ca="1"/>
        <v/>
      </c>
    </row>
    <row r="1285" spans="1:7" x14ac:dyDescent="0.3">
      <c r="A1285" s="89" t="str">
        <v/>
      </c>
      <c r="B1285" s="89" t="str">
        <v>Conduccion y Gestion de Viajes (Todos)</v>
      </c>
      <c r="C1285" s="90" t="str">
        <v/>
      </c>
      <c r="D1285" s="89" t="str">
        <v>Periódica</v>
      </c>
      <c r="E1285" s="89">
        <v>730</v>
      </c>
      <c r="F1285" s="89" t="str">
        <v/>
      </c>
      <c r="G1285" s="89" t="str">
        <f ca="1"/>
        <v/>
      </c>
    </row>
    <row r="1286" spans="1:7" x14ac:dyDescent="0.3">
      <c r="A1286" s="89" t="str">
        <v/>
      </c>
      <c r="B1286" s="89" t="str">
        <v>Conduccion y Gestion de Viajes (Conductores)</v>
      </c>
      <c r="C1286" s="90" t="str">
        <v/>
      </c>
      <c r="D1286" s="89" t="str">
        <v>Periódica</v>
      </c>
      <c r="E1286" s="89">
        <v>1095</v>
      </c>
      <c r="F1286" s="89" t="str">
        <v/>
      </c>
      <c r="G1286" s="89" t="str">
        <f ca="1"/>
        <v/>
      </c>
    </row>
    <row r="1287" spans="1:7" x14ac:dyDescent="0.3">
      <c r="A1287" s="89" t="str">
        <v/>
      </c>
      <c r="B1287" s="89" t="str">
        <v>Patogenos Transmitidos por la Sangre</v>
      </c>
      <c r="C1287" s="90" t="str">
        <v/>
      </c>
      <c r="D1287" s="89" t="str">
        <v>Periódica</v>
      </c>
      <c r="E1287" s="89">
        <v>365</v>
      </c>
      <c r="F1287" s="89" t="str">
        <v/>
      </c>
      <c r="G1287" s="89" t="str">
        <f ca="1"/>
        <v/>
      </c>
    </row>
    <row r="1288" spans="1:7" x14ac:dyDescent="0.3">
      <c r="A1288" s="89" t="str">
        <v/>
      </c>
      <c r="B1288" s="89" t="str">
        <v>Conservacion Auditiva</v>
      </c>
      <c r="C1288" s="90" t="str">
        <v/>
      </c>
      <c r="D1288" s="89" t="str">
        <v>Periódica</v>
      </c>
      <c r="E1288" s="89">
        <v>365</v>
      </c>
      <c r="F1288" s="89" t="str">
        <v/>
      </c>
      <c r="G1288" s="89" t="str">
        <f ca="1"/>
        <v/>
      </c>
    </row>
    <row r="1289" spans="1:7" x14ac:dyDescent="0.3">
      <c r="A1289" s="89" t="str">
        <v/>
      </c>
      <c r="B1289" s="89" t="str">
        <v xml:space="preserve">Ergonomia //  / Levantamiento &amp; Seguridad en la Espalda </v>
      </c>
      <c r="C1289" s="90" t="str">
        <v/>
      </c>
      <c r="D1289" s="89" t="str">
        <v>Periódica</v>
      </c>
      <c r="E1289" s="89">
        <v>365</v>
      </c>
      <c r="F1289" s="89" t="str">
        <v/>
      </c>
      <c r="G1289" s="89" t="str">
        <f ca="1"/>
        <v/>
      </c>
    </row>
    <row r="1290" spans="1:7" x14ac:dyDescent="0.3">
      <c r="A1290" s="89" t="str">
        <v/>
      </c>
      <c r="B1290" s="89" t="str">
        <v>Superficies Elevadas (Todos)</v>
      </c>
      <c r="C1290" s="90" t="str">
        <v/>
      </c>
      <c r="D1290" s="89" t="str">
        <v>Periódica</v>
      </c>
      <c r="E1290" s="89">
        <v>365</v>
      </c>
      <c r="F1290" s="89" t="str">
        <v/>
      </c>
      <c r="G1290" s="89" t="str">
        <f ca="1"/>
        <v/>
      </c>
    </row>
    <row r="1291" spans="1:7" x14ac:dyDescent="0.3">
      <c r="A1291" s="89" t="str">
        <v/>
      </c>
      <c r="B1291" s="89" t="str">
        <v>Superficies Elevadas (Personal Habilitado)</v>
      </c>
      <c r="C1291" s="90" t="str">
        <v/>
      </c>
      <c r="D1291" s="89" t="str">
        <v>Periódica</v>
      </c>
      <c r="E1291" s="89">
        <v>365</v>
      </c>
      <c r="F1291" s="89" t="str">
        <v/>
      </c>
      <c r="G1291" s="89" t="str">
        <f ca="1"/>
        <v/>
      </c>
    </row>
    <row r="1292" spans="1:7" x14ac:dyDescent="0.3">
      <c r="A1292" s="89" t="str">
        <v/>
      </c>
      <c r="B1292" s="89" t="str">
        <v>Seguridad Quimica (Todos)</v>
      </c>
      <c r="C1292" s="90" t="str">
        <v/>
      </c>
      <c r="D1292" s="89" t="str">
        <v>Periódica</v>
      </c>
      <c r="E1292" s="89">
        <v>730</v>
      </c>
      <c r="F1292" s="89" t="str">
        <v/>
      </c>
      <c r="G1292" s="89" t="str">
        <f ca="1"/>
        <v/>
      </c>
    </row>
    <row r="1293" spans="1:7" x14ac:dyDescent="0.3">
      <c r="A1293" s="89" t="str">
        <v/>
      </c>
      <c r="B1293" s="89" t="str">
        <v>Seguridad Quimica (Mantenimiento)</v>
      </c>
      <c r="C1293" s="90" t="str">
        <v/>
      </c>
      <c r="D1293" s="89" t="str">
        <v>Periódica</v>
      </c>
      <c r="E1293" s="89">
        <v>365</v>
      </c>
      <c r="F1293" s="89" t="str">
        <v/>
      </c>
      <c r="G1293" s="89" t="str">
        <f ca="1"/>
        <v/>
      </c>
    </row>
    <row r="1294" spans="1:7" x14ac:dyDescent="0.3">
      <c r="A1294" s="89" t="str">
        <v/>
      </c>
      <c r="B1294" s="89" t="str">
        <v>Seguridad Quimica (Contratistas)</v>
      </c>
      <c r="C1294" s="90" t="str">
        <v/>
      </c>
      <c r="D1294" s="89" t="str">
        <v>Periódica</v>
      </c>
      <c r="E1294" s="89">
        <v>365</v>
      </c>
      <c r="F1294" s="89" t="str">
        <v/>
      </c>
      <c r="G1294" s="89" t="str">
        <f ca="1"/>
        <v/>
      </c>
    </row>
    <row r="1295" spans="1:7" x14ac:dyDescent="0.3">
      <c r="A1295" s="89" t="str">
        <v/>
      </c>
      <c r="B1295" s="89" t="str">
        <v>Seguridad para Trabajos en Caliente</v>
      </c>
      <c r="C1295" s="90" t="str">
        <v/>
      </c>
      <c r="D1295" s="89" t="str">
        <v>Periódica</v>
      </c>
      <c r="E1295" s="89">
        <v>365</v>
      </c>
      <c r="F1295" s="89" t="str">
        <v/>
      </c>
      <c r="G1295" s="89" t="str">
        <f ca="1"/>
        <v/>
      </c>
    </row>
    <row r="1296" spans="1:7" x14ac:dyDescent="0.3">
      <c r="A1296" s="89" t="str">
        <v/>
      </c>
      <c r="B1296" s="89" t="str">
        <v>Seguridad con la Radiacion</v>
      </c>
      <c r="C1296" s="90" t="str">
        <v/>
      </c>
      <c r="D1296" s="89" t="str">
        <v>Periódica</v>
      </c>
      <c r="E1296" s="89">
        <v>365</v>
      </c>
      <c r="F1296" s="89" t="str">
        <v/>
      </c>
      <c r="G1296" s="89" t="str">
        <f ca="1"/>
        <v/>
      </c>
    </row>
    <row r="1297" spans="1:7" x14ac:dyDescent="0.3">
      <c r="A1297" s="89" t="str">
        <v/>
      </c>
      <c r="B1297" s="89" t="str">
        <v>Equipo de Proteccion Personal (PPE)</v>
      </c>
      <c r="C1297" s="90" t="str">
        <v/>
      </c>
      <c r="D1297" s="89" t="str">
        <v>Periódica</v>
      </c>
      <c r="E1297" s="89">
        <v>365</v>
      </c>
      <c r="F1297" s="89" t="str">
        <v/>
      </c>
      <c r="G1297" s="89" t="str">
        <f ca="1"/>
        <v/>
      </c>
    </row>
    <row r="1298" spans="1:7" x14ac:dyDescent="0.3">
      <c r="A1298" s="89" t="str">
        <v/>
      </c>
      <c r="B1298" s="89" t="str">
        <v>Proteccion Respiratoria</v>
      </c>
      <c r="C1298" s="90" t="str">
        <v/>
      </c>
      <c r="D1298" s="89" t="str">
        <v>Periódica</v>
      </c>
      <c r="E1298" s="89">
        <v>365</v>
      </c>
      <c r="F1298" s="89" t="str">
        <v/>
      </c>
      <c r="G1298" s="89" t="str">
        <f ca="1"/>
        <v/>
      </c>
    </row>
    <row r="1299" spans="1:7" x14ac:dyDescent="0.3">
      <c r="A1299" s="89" t="str">
        <v/>
      </c>
      <c r="B1299" s="89" t="str">
        <v xml:space="preserve">Seguridad con Escaleras </v>
      </c>
      <c r="C1299" s="90" t="str">
        <v/>
      </c>
      <c r="D1299" s="89" t="str">
        <v>Periódica</v>
      </c>
      <c r="E1299" s="89">
        <v>365</v>
      </c>
      <c r="F1299" s="89" t="str">
        <v/>
      </c>
      <c r="G1299" s="89" t="str">
        <f ca="1"/>
        <v/>
      </c>
    </row>
    <row r="1300" spans="1:7" x14ac:dyDescent="0.3">
      <c r="A1300" s="89" t="str">
        <v/>
      </c>
      <c r="B1300" s="89" t="str">
        <v>Seguridad con Escaleras // Estantes de Almacenamiento</v>
      </c>
      <c r="C1300" s="90" t="str">
        <v/>
      </c>
      <c r="D1300" s="89" t="str">
        <v>Periódica</v>
      </c>
      <c r="E1300" s="89">
        <v>365</v>
      </c>
      <c r="F1300" s="89" t="str">
        <v/>
      </c>
      <c r="G1300" s="89" t="str">
        <f ca="1"/>
        <v/>
      </c>
    </row>
    <row r="1301" spans="1:7" x14ac:dyDescent="0.3">
      <c r="A1301" s="89" t="str">
        <v/>
      </c>
      <c r="B1301" s="89" t="str">
        <v>Responsabilidades del Supervisor</v>
      </c>
      <c r="C1301" s="90" t="str">
        <v/>
      </c>
      <c r="D1301" s="89" t="str">
        <v>Periódica</v>
      </c>
      <c r="E1301" s="89">
        <v>365</v>
      </c>
      <c r="F1301" s="89" t="str">
        <v/>
      </c>
      <c r="G1301" s="89" t="str">
        <f ca="1"/>
        <v/>
      </c>
    </row>
    <row r="1302" spans="1:7" x14ac:dyDescent="0.3">
      <c r="A1302" s="89" t="str">
        <v/>
      </c>
      <c r="B1302" s="89" t="str">
        <v>Espacios Confinados (Todos)</v>
      </c>
      <c r="C1302" s="90" t="str">
        <v/>
      </c>
      <c r="D1302" s="89" t="str">
        <v>Periódica</v>
      </c>
      <c r="E1302" s="89">
        <v>365</v>
      </c>
      <c r="F1302" s="89" t="str">
        <v/>
      </c>
      <c r="G1302" s="89" t="str">
        <f ca="1"/>
        <v/>
      </c>
    </row>
    <row r="1303" spans="1:7" x14ac:dyDescent="0.3">
      <c r="A1303" s="89" t="str">
        <v/>
      </c>
      <c r="B1303" s="89" t="str">
        <v>HSMS.017 / Espacios Confinados (Entrantes)</v>
      </c>
      <c r="C1303" s="90" t="str">
        <v/>
      </c>
      <c r="D1303" s="89" t="str">
        <v>Evento</v>
      </c>
      <c r="E1303" s="89">
        <v>0</v>
      </c>
      <c r="F1303" s="89" t="str">
        <v/>
      </c>
      <c r="G1303" s="89" t="str">
        <f ca="1"/>
        <v/>
      </c>
    </row>
    <row r="1304" spans="1:7" x14ac:dyDescent="0.3">
      <c r="A1304" s="89" t="str">
        <v/>
      </c>
      <c r="B1304" s="89" t="str">
        <v>Programa de Agua (Todos)</v>
      </c>
      <c r="C1304" s="90" t="str">
        <v/>
      </c>
      <c r="D1304" s="89" t="str">
        <v>Evento</v>
      </c>
      <c r="E1304" s="89">
        <v>0</v>
      </c>
      <c r="F1304" s="89" t="str">
        <v/>
      </c>
      <c r="G1304" s="89" t="str">
        <f ca="1"/>
        <v/>
      </c>
    </row>
    <row r="1305" spans="1:7" x14ac:dyDescent="0.3">
      <c r="A1305" s="89" t="str">
        <v/>
      </c>
      <c r="B1305" s="89" t="str">
        <v>Programa de Agua (HSE)</v>
      </c>
      <c r="C1305" s="90" t="str">
        <v/>
      </c>
      <c r="D1305" s="89" t="str">
        <v>Evento</v>
      </c>
      <c r="E1305" s="89">
        <v>0</v>
      </c>
      <c r="F1305" s="89" t="str">
        <v/>
      </c>
      <c r="G1305" s="89" t="str">
        <f ca="1"/>
        <v/>
      </c>
    </row>
    <row r="1306" spans="1:7" x14ac:dyDescent="0.3">
      <c r="A1306" s="89" t="str">
        <v/>
      </c>
      <c r="B1306" s="89" t="str">
        <v>HIV/SIDA y otras enfermedades de transmisión sexual (ETS)</v>
      </c>
      <c r="C1306" s="90" t="str">
        <v/>
      </c>
      <c r="D1306" s="89" t="str">
        <v>Periódica</v>
      </c>
      <c r="E1306" s="89">
        <v>365</v>
      </c>
      <c r="F1306" s="89" t="str">
        <v/>
      </c>
      <c r="G1306" s="89" t="str">
        <f ca="1"/>
        <v/>
      </c>
    </row>
    <row r="1307" spans="1:7" x14ac:dyDescent="0.3">
      <c r="A1307" s="89" t="str">
        <v/>
      </c>
      <c r="B1307" s="89" t="str">
        <v>Drogas de abuso (concientización y prevención)</v>
      </c>
      <c r="C1307" s="90" t="str">
        <v/>
      </c>
      <c r="D1307" s="89" t="str">
        <v>Periódica</v>
      </c>
      <c r="E1307" s="89">
        <v>365</v>
      </c>
      <c r="F1307" s="89" t="str">
        <v/>
      </c>
      <c r="G1307" s="89" t="str">
        <f ca="1"/>
        <v/>
      </c>
    </row>
    <row r="1308" spans="1:7" x14ac:dyDescent="0.3">
      <c r="A1308" s="89" t="str">
        <v/>
      </c>
      <c r="B1308" s="89" t="str">
        <v>Vida saludable (hábitos, autocuidado y bienestar)</v>
      </c>
      <c r="C1308" s="90" t="str">
        <v/>
      </c>
      <c r="D1308" s="89" t="str">
        <v>Periódica</v>
      </c>
      <c r="E1308" s="89">
        <v>365</v>
      </c>
      <c r="F1308" s="89" t="str">
        <v/>
      </c>
      <c r="G1308" s="89" t="str">
        <f ca="1"/>
        <v/>
      </c>
    </row>
    <row r="1309" spans="1:7" x14ac:dyDescent="0.3">
      <c r="A1309" s="89" t="str">
        <v/>
      </c>
      <c r="B1309" s="89" t="str">
        <v>Primeros auxilios y Reanimación Cardio Pulmonar (RCP)</v>
      </c>
      <c r="C1309" s="90" t="str">
        <v/>
      </c>
      <c r="D1309" s="89" t="str">
        <v>Periódica</v>
      </c>
      <c r="E1309" s="89">
        <v>365</v>
      </c>
      <c r="F1309" s="89" t="str">
        <v/>
      </c>
      <c r="G1309" s="89" t="str">
        <f ca="1"/>
        <v/>
      </c>
    </row>
    <row r="1310" spans="1:7" x14ac:dyDescent="0.3">
      <c r="A1310" s="89" t="str">
        <v/>
      </c>
      <c r="B1310" s="89" t="str">
        <v>Prevención cardiovascular (factores de riesgo y señales de alarma)</v>
      </c>
      <c r="C1310" s="90" t="str">
        <v/>
      </c>
      <c r="D1310" s="89" t="str">
        <v>Periódica</v>
      </c>
      <c r="E1310" s="89">
        <v>365</v>
      </c>
      <c r="F1310" s="89" t="str">
        <v/>
      </c>
      <c r="G1310" s="89" t="str">
        <f ca="1"/>
        <v/>
      </c>
    </row>
    <row r="1311" spans="1:7" x14ac:dyDescent="0.3">
      <c r="A1311" s="89" t="str">
        <v/>
      </c>
      <c r="B1311" s="89" t="str">
        <v>Efectos del tabaco sobre la salud</v>
      </c>
      <c r="C1311" s="90" t="str">
        <v/>
      </c>
      <c r="D1311" s="89" t="str">
        <v>Periódica</v>
      </c>
      <c r="E1311" s="89">
        <v>365</v>
      </c>
      <c r="F1311" s="89" t="str">
        <v/>
      </c>
      <c r="G1311" s="89" t="str">
        <f ca="1"/>
        <v/>
      </c>
    </row>
    <row r="1312" spans="1:7" x14ac:dyDescent="0.3">
      <c r="A1312" s="89" t="str">
        <v/>
      </c>
      <c r="B1312" s="89" t="str">
        <v>Cargadora (Op. Montacargas)</v>
      </c>
      <c r="C1312" s="90" t="str">
        <v/>
      </c>
      <c r="D1312" s="89" t="str">
        <v>Periódica</v>
      </c>
      <c r="E1312" s="89">
        <v>365</v>
      </c>
      <c r="F1312" s="89" t="str">
        <v/>
      </c>
      <c r="G1312" s="89" t="str">
        <f ca="1"/>
        <v/>
      </c>
    </row>
    <row r="1313" spans="1:7" x14ac:dyDescent="0.3">
      <c r="A1313" s="89" t="str">
        <v/>
      </c>
      <c r="B1313" s="89">
        <v>0</v>
      </c>
      <c r="C1313" s="90" t="str">
        <v/>
      </c>
      <c r="D1313" s="89" t="str">
        <v/>
      </c>
      <c r="E1313" s="89" t="str">
        <v/>
      </c>
      <c r="F1313" s="89" t="str">
        <v/>
      </c>
      <c r="G1313" s="89" t="str">
        <f ca="1"/>
        <v/>
      </c>
    </row>
    <row r="1314" spans="1:7" x14ac:dyDescent="0.3">
      <c r="A1314" s="89" t="str">
        <v/>
      </c>
      <c r="B1314" s="89">
        <v>0</v>
      </c>
      <c r="C1314" s="90" t="str">
        <v/>
      </c>
      <c r="D1314" s="89" t="str">
        <v/>
      </c>
      <c r="E1314" s="89" t="str">
        <v/>
      </c>
      <c r="F1314" s="89" t="str">
        <v/>
      </c>
      <c r="G1314" s="89" t="str">
        <f ca="1"/>
        <v/>
      </c>
    </row>
    <row r="1315" spans="1:7" x14ac:dyDescent="0.3">
      <c r="A1315" s="89" t="str">
        <v/>
      </c>
      <c r="B1315" s="89">
        <v>0</v>
      </c>
      <c r="C1315" s="90" t="str">
        <v/>
      </c>
      <c r="D1315" s="89" t="str">
        <v/>
      </c>
      <c r="E1315" s="89" t="str">
        <v/>
      </c>
      <c r="F1315" s="89" t="str">
        <v/>
      </c>
      <c r="G1315" s="89" t="str">
        <f ca="1"/>
        <v/>
      </c>
    </row>
    <row r="1316" spans="1:7" x14ac:dyDescent="0.3">
      <c r="A1316" s="89" t="str">
        <v/>
      </c>
      <c r="B1316" s="89">
        <v>0</v>
      </c>
      <c r="C1316" s="90" t="str">
        <v/>
      </c>
      <c r="D1316" s="89" t="str">
        <v/>
      </c>
      <c r="E1316" s="89" t="str">
        <v/>
      </c>
      <c r="F1316" s="89" t="str">
        <v/>
      </c>
      <c r="G1316" s="89" t="str">
        <f ca="1"/>
        <v/>
      </c>
    </row>
    <row r="1317" spans="1:7" x14ac:dyDescent="0.3">
      <c r="A1317" s="89" t="str">
        <v/>
      </c>
      <c r="B1317" s="89">
        <v>0</v>
      </c>
      <c r="C1317" s="90" t="str">
        <v/>
      </c>
      <c r="D1317" s="89" t="str">
        <v/>
      </c>
      <c r="E1317" s="89" t="str">
        <v/>
      </c>
      <c r="F1317" s="89" t="str">
        <v/>
      </c>
      <c r="G1317" s="89" t="str">
        <f ca="1"/>
        <v/>
      </c>
    </row>
    <row r="1318" spans="1:7" x14ac:dyDescent="0.3">
      <c r="A1318" s="89" t="str">
        <v/>
      </c>
      <c r="B1318" s="89">
        <v>0</v>
      </c>
      <c r="C1318" s="90" t="str">
        <v/>
      </c>
      <c r="D1318" s="89" t="str">
        <v/>
      </c>
      <c r="E1318" s="89" t="str">
        <v/>
      </c>
      <c r="F1318" s="89" t="str">
        <v/>
      </c>
      <c r="G1318" s="89" t="str">
        <f ca="1"/>
        <v/>
      </c>
    </row>
    <row r="1319" spans="1:7" x14ac:dyDescent="0.3">
      <c r="A1319" s="89" t="str">
        <v/>
      </c>
      <c r="B1319" s="89">
        <v>0</v>
      </c>
      <c r="C1319" s="90" t="str">
        <v/>
      </c>
      <c r="D1319" s="89" t="str">
        <v/>
      </c>
      <c r="E1319" s="89" t="str">
        <v/>
      </c>
      <c r="F1319" s="89" t="str">
        <v/>
      </c>
      <c r="G1319" s="89" t="str">
        <f ca="1"/>
        <v/>
      </c>
    </row>
    <row r="1320" spans="1:7" x14ac:dyDescent="0.3">
      <c r="A1320" s="89" t="str">
        <v/>
      </c>
      <c r="B1320" s="89">
        <v>0</v>
      </c>
      <c r="C1320" s="90" t="str">
        <v/>
      </c>
      <c r="D1320" s="89" t="str">
        <v/>
      </c>
      <c r="E1320" s="89" t="str">
        <v/>
      </c>
      <c r="F1320" s="89" t="str">
        <v/>
      </c>
      <c r="G1320" s="89" t="str">
        <f ca="1"/>
        <v/>
      </c>
    </row>
    <row r="1321" spans="1:7" x14ac:dyDescent="0.3">
      <c r="A1321" s="89" t="str">
        <v/>
      </c>
      <c r="B1321" s="89">
        <v>0</v>
      </c>
      <c r="C1321" s="90" t="str">
        <v/>
      </c>
      <c r="D1321" s="89" t="str">
        <v/>
      </c>
      <c r="E1321" s="89" t="str">
        <v/>
      </c>
      <c r="F1321" s="89" t="str">
        <v/>
      </c>
      <c r="G1321" s="89" t="str">
        <f ca="1"/>
        <v/>
      </c>
    </row>
    <row r="1322" spans="1:7" x14ac:dyDescent="0.3">
      <c r="A1322" s="89" t="str">
        <v/>
      </c>
      <c r="B1322" s="89" t="str">
        <v>Programa de Aire</v>
      </c>
      <c r="C1322" s="90" t="str">
        <v/>
      </c>
      <c r="D1322" s="89" t="str">
        <v>Evento</v>
      </c>
      <c r="E1322" s="89">
        <v>0</v>
      </c>
      <c r="F1322" s="89" t="str">
        <v/>
      </c>
      <c r="G1322" s="89" t="str">
        <f ca="1"/>
        <v/>
      </c>
    </row>
    <row r="1323" spans="1:7" x14ac:dyDescent="0.3">
      <c r="A1323" s="89" t="str">
        <v/>
      </c>
      <c r="B1323" s="89" t="str">
        <v>Conciencia Ambiental</v>
      </c>
      <c r="C1323" s="90" t="str">
        <v/>
      </c>
      <c r="D1323" s="89" t="str">
        <v>Periódica</v>
      </c>
      <c r="E1323" s="89">
        <v>365</v>
      </c>
      <c r="F1323" s="89" t="str">
        <v/>
      </c>
      <c r="G1323" s="89" t="str">
        <f ca="1"/>
        <v/>
      </c>
    </row>
    <row r="1324" spans="1:7" x14ac:dyDescent="0.3">
      <c r="A1324" s="89" t="str">
        <v/>
      </c>
      <c r="B1324" s="89" t="str">
        <v xml:space="preserve">Control de Documentos e Informacion de HSE </v>
      </c>
      <c r="C1324" s="90" t="str">
        <v/>
      </c>
      <c r="D1324" s="89" t="str">
        <v>Evento</v>
      </c>
      <c r="E1324" s="89">
        <v>0</v>
      </c>
      <c r="F1324" s="89" t="str">
        <v/>
      </c>
      <c r="G1324" s="89" t="str">
        <f ca="1"/>
        <v/>
      </c>
    </row>
    <row r="1325" spans="1:7" x14ac:dyDescent="0.3">
      <c r="A1325" s="89" t="str">
        <v/>
      </c>
      <c r="B1325" s="89" t="str">
        <v xml:space="preserve"> Acciones Correctivas y Preventivas (CAPA)</v>
      </c>
      <c r="C1325" s="90" t="str">
        <v/>
      </c>
      <c r="D1325" s="89" t="str">
        <v>Evento</v>
      </c>
      <c r="E1325" s="89">
        <v>0</v>
      </c>
      <c r="F1325" s="89" t="str">
        <v/>
      </c>
      <c r="G1325" s="89" t="str">
        <f ca="1"/>
        <v/>
      </c>
    </row>
    <row r="1326" spans="1:7" x14ac:dyDescent="0.3">
      <c r="A1326" s="89" t="str">
        <v/>
      </c>
      <c r="B1326" s="89" t="str">
        <v>Seguridad Basada en el Comportamiento (Observation Program) // HSMS.043 / Autoridad de Detener el Trabajo</v>
      </c>
      <c r="C1326" s="90" t="str">
        <v/>
      </c>
      <c r="D1326" s="89" t="str">
        <v>Periódica</v>
      </c>
      <c r="E1326" s="89">
        <v>365</v>
      </c>
      <c r="F1326" s="89" t="str">
        <v/>
      </c>
      <c r="G1326" s="89" t="str">
        <f ca="1"/>
        <v/>
      </c>
    </row>
    <row r="1327" spans="1:7" x14ac:dyDescent="0.3">
      <c r="A1327" s="89" t="str">
        <v/>
      </c>
      <c r="B1327" s="89" t="str">
        <v>Identificacion de Peligros y Evaluacion de Riesgos</v>
      </c>
      <c r="C1327" s="90" t="str">
        <v/>
      </c>
      <c r="D1327" s="89" t="str">
        <v>Evento</v>
      </c>
      <c r="E1327" s="89">
        <v>0</v>
      </c>
      <c r="F1327" s="89" t="str">
        <v/>
      </c>
      <c r="G1327" s="89" t="str">
        <f ca="1"/>
        <v/>
      </c>
    </row>
    <row r="1328" spans="1:7" x14ac:dyDescent="0.3">
      <c r="A1328" s="89" t="str">
        <v/>
      </c>
      <c r="B1328" s="89" t="str">
        <v xml:space="preserve"> Plan de Respuesta ante Eemergencias / HSMS.010 /Primeros Axulios &amp; RCP/DEA / HSMSWT-002 / Patogenos Trasnmitidos por la Sangre</v>
      </c>
      <c r="C1328" s="90" t="str">
        <v/>
      </c>
      <c r="D1328" s="89" t="str">
        <v>Periódica</v>
      </c>
      <c r="E1328" s="89">
        <v>365</v>
      </c>
      <c r="F1328" s="89" t="str">
        <v/>
      </c>
      <c r="G1328" s="89" t="str">
        <f ca="1"/>
        <v/>
      </c>
    </row>
    <row r="1329" spans="1:7" x14ac:dyDescent="0.3">
      <c r="A1329" s="89" t="str">
        <v/>
      </c>
      <c r="B1329" s="89" t="str">
        <v>Reporte y Gestion de Incidentes HSE (Todos)</v>
      </c>
      <c r="C1329" s="90" t="str">
        <v/>
      </c>
      <c r="D1329" s="89" t="str">
        <v>Periódica</v>
      </c>
      <c r="E1329" s="89">
        <v>365</v>
      </c>
      <c r="F1329" s="89" t="str">
        <v/>
      </c>
      <c r="G1329" s="89" t="str">
        <f ca="1"/>
        <v/>
      </c>
    </row>
    <row r="1330" spans="1:7" x14ac:dyDescent="0.3">
      <c r="A1330" s="89" t="str">
        <v/>
      </c>
      <c r="B1330" s="89" t="str">
        <v>Reporte, Gestion e Investigacion de Incidentes HSE (supervisores / investigadores (rol))</v>
      </c>
      <c r="C1330" s="90" t="str">
        <v/>
      </c>
      <c r="D1330" s="89" t="str">
        <v>Periódica</v>
      </c>
      <c r="E1330" s="89">
        <v>1095</v>
      </c>
      <c r="F1330" s="89" t="str">
        <v/>
      </c>
      <c r="G1330" s="89" t="str">
        <f ca="1"/>
        <v/>
      </c>
    </row>
    <row r="1331" spans="1:7" x14ac:dyDescent="0.3">
      <c r="A1331" s="89" t="str">
        <v/>
      </c>
      <c r="B1331" s="89" t="str">
        <v>Gruas y Equipos de Izaje (Todos)</v>
      </c>
      <c r="C1331" s="90" t="str">
        <v/>
      </c>
      <c r="D1331" s="89" t="str">
        <v>Periódica</v>
      </c>
      <c r="E1331" s="89">
        <v>365</v>
      </c>
      <c r="F1331" s="89" t="str">
        <v/>
      </c>
      <c r="G1331" s="89" t="str">
        <f ca="1"/>
        <v/>
      </c>
    </row>
    <row r="1332" spans="1:7" x14ac:dyDescent="0.3">
      <c r="A1332" s="89" t="str">
        <v/>
      </c>
      <c r="B1332" s="89" t="str">
        <v>HSMS.007 / Gruas y Equipos de Izaje (Operadores)</v>
      </c>
      <c r="C1332" s="90" t="str">
        <v/>
      </c>
      <c r="D1332" s="89" t="str">
        <v>Periódica</v>
      </c>
      <c r="E1332" s="89">
        <v>365</v>
      </c>
      <c r="F1332" s="89" t="str">
        <v/>
      </c>
      <c r="G1332" s="89" t="str">
        <f ca="1"/>
        <v/>
      </c>
    </row>
    <row r="1333" spans="1:7" x14ac:dyDescent="0.3">
      <c r="A1333" s="89" t="str">
        <v/>
      </c>
      <c r="B1333" s="89" t="str">
        <v>Proteccion Contra Incendios (Todos)</v>
      </c>
      <c r="C1333" s="90" t="str">
        <v/>
      </c>
      <c r="D1333" s="89" t="str">
        <v>Periódica</v>
      </c>
      <c r="E1333" s="89">
        <v>365</v>
      </c>
      <c r="F1333" s="89" t="str">
        <v/>
      </c>
      <c r="G1333" s="89" t="str">
        <f ca="1"/>
        <v/>
      </c>
    </row>
    <row r="1334" spans="1:7" x14ac:dyDescent="0.3">
      <c r="A1334" s="89" t="str">
        <v/>
      </c>
      <c r="B1334" s="89" t="str">
        <v>Proteccion Contra Incendios (Brigadistas)</v>
      </c>
      <c r="C1334" s="90" t="str">
        <v/>
      </c>
      <c r="D1334" s="89" t="str">
        <v>Periódica</v>
      </c>
      <c r="E1334" s="89">
        <v>365</v>
      </c>
      <c r="F1334" s="89" t="str">
        <v/>
      </c>
      <c r="G1334" s="89" t="str">
        <f ca="1"/>
        <v/>
      </c>
    </row>
    <row r="1335" spans="1:7" x14ac:dyDescent="0.3">
      <c r="A1335" s="89" t="str">
        <v/>
      </c>
      <c r="B1335" s="89" t="str">
        <v>Primeros Auxilios (Brigadistas)</v>
      </c>
      <c r="C1335" s="90" t="str">
        <v/>
      </c>
      <c r="D1335" s="89" t="str">
        <v>Periódica</v>
      </c>
      <c r="E1335" s="89">
        <v>365</v>
      </c>
      <c r="F1335" s="89" t="str">
        <v/>
      </c>
      <c r="G1335" s="89" t="str">
        <f ca="1"/>
        <v/>
      </c>
    </row>
    <row r="1336" spans="1:7" x14ac:dyDescent="0.3">
      <c r="A1336" s="89" t="str">
        <v/>
      </c>
      <c r="B1336" s="89" t="str">
        <v>Seguridad Electrica (Todos)</v>
      </c>
      <c r="C1336" s="90" t="str">
        <v/>
      </c>
      <c r="D1336" s="89" t="str">
        <v>Periódica</v>
      </c>
      <c r="E1336" s="89">
        <v>365</v>
      </c>
      <c r="F1336" s="89" t="str">
        <v/>
      </c>
      <c r="G1336" s="89" t="str">
        <f ca="1"/>
        <v/>
      </c>
    </row>
    <row r="1337" spans="1:7" x14ac:dyDescent="0.3">
      <c r="A1337" s="89" t="str">
        <v/>
      </c>
      <c r="B1337" s="89" t="str">
        <v>Seguridad Electrica (Personal Autorizado)</v>
      </c>
      <c r="C1337" s="90" t="str">
        <v/>
      </c>
      <c r="D1337" s="89" t="str">
        <v>Periódica</v>
      </c>
      <c r="E1337" s="89">
        <v>1095</v>
      </c>
      <c r="F1337" s="89" t="str">
        <v/>
      </c>
      <c r="G1337" s="89" t="str">
        <f ca="1"/>
        <v/>
      </c>
    </row>
    <row r="1338" spans="1:7" x14ac:dyDescent="0.3">
      <c r="A1338" s="89" t="str">
        <v/>
      </c>
      <c r="B1338" s="89" t="str">
        <v>Camiones Industriales Motorizados (PIT) (Todos)</v>
      </c>
      <c r="C1338" s="90" t="str">
        <v/>
      </c>
      <c r="D1338" s="89" t="str">
        <v>Periódica</v>
      </c>
      <c r="E1338" s="89">
        <v>365</v>
      </c>
      <c r="F1338" s="89" t="str">
        <v/>
      </c>
      <c r="G1338" s="89" t="str">
        <f ca="1"/>
        <v/>
      </c>
    </row>
    <row r="1339" spans="1:7" x14ac:dyDescent="0.3">
      <c r="A1339" s="89" t="str">
        <v/>
      </c>
      <c r="B1339" s="89" t="str">
        <v>Camiones Industriales Motorizados (PIT) (Op. Montacargas)</v>
      </c>
      <c r="C1339" s="90" t="str">
        <v/>
      </c>
      <c r="D1339" s="89" t="str">
        <v>Periódica</v>
      </c>
      <c r="E1339" s="89">
        <v>365</v>
      </c>
      <c r="F1339" s="89" t="str">
        <v/>
      </c>
      <c r="G1339" s="89" t="str">
        <f ca="1"/>
        <v/>
      </c>
    </row>
    <row r="1340" spans="1:7" x14ac:dyDescent="0.3">
      <c r="A1340" s="89" t="str">
        <v/>
      </c>
      <c r="B1340" s="89" t="str">
        <v>Control de Energias Peligrosas (LOTO) (Todos)</v>
      </c>
      <c r="C1340" s="90" t="str">
        <v/>
      </c>
      <c r="D1340" s="89" t="str">
        <v>Evento</v>
      </c>
      <c r="E1340" s="89">
        <v>0</v>
      </c>
      <c r="F1340" s="89" t="str">
        <v/>
      </c>
      <c r="G1340" s="89" t="str">
        <f ca="1"/>
        <v/>
      </c>
    </row>
    <row r="1341" spans="1:7" x14ac:dyDescent="0.3">
      <c r="A1341" s="89" t="str">
        <v/>
      </c>
      <c r="B1341" s="89" t="str">
        <v>Control de Energias Peligrosas (LOTO) (Empleados Autorizados)</v>
      </c>
      <c r="C1341" s="90" t="str">
        <v/>
      </c>
      <c r="D1341" s="89" t="str">
        <v>Periódica</v>
      </c>
      <c r="E1341" s="89">
        <v>365</v>
      </c>
      <c r="F1341" s="89" t="str">
        <v/>
      </c>
      <c r="G1341" s="89" t="str">
        <f ca="1"/>
        <v/>
      </c>
    </row>
    <row r="1342" spans="1:7" x14ac:dyDescent="0.3">
      <c r="A1342" s="89" t="str">
        <v/>
      </c>
      <c r="B1342" s="89" t="str">
        <v>Seguridad aplicada al Pozo &amp; Yacimiento</v>
      </c>
      <c r="C1342" s="90" t="str">
        <v/>
      </c>
      <c r="D1342" s="89" t="str">
        <v>Periódica</v>
      </c>
      <c r="E1342" s="89">
        <v>365</v>
      </c>
      <c r="F1342" s="89" t="str">
        <v/>
      </c>
      <c r="G1342" s="89" t="str">
        <f ca="1"/>
        <v/>
      </c>
    </row>
    <row r="1343" spans="1:7" x14ac:dyDescent="0.3">
      <c r="A1343" s="89" t="str">
        <v/>
      </c>
      <c r="B1343" s="89" t="str">
        <v>Las Reglas que Salvan Vidas</v>
      </c>
      <c r="C1343" s="90" t="str">
        <v/>
      </c>
      <c r="D1343" s="89" t="str">
        <v>Periódica</v>
      </c>
      <c r="E1343" s="89">
        <v>365</v>
      </c>
      <c r="F1343" s="89" t="str">
        <v/>
      </c>
      <c r="G1343" s="89" t="str">
        <f ca="1"/>
        <v/>
      </c>
    </row>
    <row r="1344" spans="1:7" x14ac:dyDescent="0.3">
      <c r="A1344" s="89" t="str">
        <v/>
      </c>
      <c r="B1344" s="89" t="str">
        <v xml:space="preserve">Resguardo de Maquinas &amp; Equipos </v>
      </c>
      <c r="C1344" s="90" t="str">
        <v/>
      </c>
      <c r="D1344" s="89" t="str">
        <v>Periódica</v>
      </c>
      <c r="E1344" s="89">
        <v>365</v>
      </c>
      <c r="F1344" s="89" t="str">
        <v/>
      </c>
      <c r="G1344" s="89" t="str">
        <f ca="1"/>
        <v/>
      </c>
    </row>
    <row r="1345" spans="1:7" x14ac:dyDescent="0.3">
      <c r="A1345" s="89" t="str">
        <v/>
      </c>
      <c r="B1345" s="89" t="str">
        <v>Conduccion y Gestion de Viajes (Todos)</v>
      </c>
      <c r="C1345" s="90" t="str">
        <v/>
      </c>
      <c r="D1345" s="89" t="str">
        <v>Periódica</v>
      </c>
      <c r="E1345" s="89">
        <v>730</v>
      </c>
      <c r="F1345" s="89" t="str">
        <v/>
      </c>
      <c r="G1345" s="89" t="str">
        <f ca="1"/>
        <v/>
      </c>
    </row>
    <row r="1346" spans="1:7" x14ac:dyDescent="0.3">
      <c r="A1346" s="89" t="str">
        <v/>
      </c>
      <c r="B1346" s="89" t="str">
        <v>Conduccion y Gestion de Viajes (Conductores)</v>
      </c>
      <c r="C1346" s="90" t="str">
        <v/>
      </c>
      <c r="D1346" s="89" t="str">
        <v>Periódica</v>
      </c>
      <c r="E1346" s="89">
        <v>1095</v>
      </c>
      <c r="F1346" s="89" t="str">
        <v/>
      </c>
      <c r="G1346" s="89" t="str">
        <f ca="1"/>
        <v/>
      </c>
    </row>
    <row r="1347" spans="1:7" x14ac:dyDescent="0.3">
      <c r="A1347" s="89" t="str">
        <v/>
      </c>
      <c r="B1347" s="89" t="str">
        <v>Patogenos Transmitidos por la Sangre</v>
      </c>
      <c r="C1347" s="90" t="str">
        <v/>
      </c>
      <c r="D1347" s="89" t="str">
        <v>Periódica</v>
      </c>
      <c r="E1347" s="89">
        <v>365</v>
      </c>
      <c r="F1347" s="89" t="str">
        <v/>
      </c>
      <c r="G1347" s="89" t="str">
        <f ca="1"/>
        <v/>
      </c>
    </row>
    <row r="1348" spans="1:7" x14ac:dyDescent="0.3">
      <c r="A1348" s="89" t="str">
        <v/>
      </c>
      <c r="B1348" s="89" t="str">
        <v>Conservacion Auditiva</v>
      </c>
      <c r="C1348" s="90" t="str">
        <v/>
      </c>
      <c r="D1348" s="89" t="str">
        <v>Periódica</v>
      </c>
      <c r="E1348" s="89">
        <v>365</v>
      </c>
      <c r="F1348" s="89" t="str">
        <v/>
      </c>
      <c r="G1348" s="89" t="str">
        <f ca="1"/>
        <v/>
      </c>
    </row>
    <row r="1349" spans="1:7" x14ac:dyDescent="0.3">
      <c r="A1349" s="89" t="str">
        <v/>
      </c>
      <c r="B1349" s="89" t="str">
        <v xml:space="preserve">Ergonomia //  / Levantamiento &amp; Seguridad en la Espalda </v>
      </c>
      <c r="C1349" s="90" t="str">
        <v/>
      </c>
      <c r="D1349" s="89" t="str">
        <v>Periódica</v>
      </c>
      <c r="E1349" s="89">
        <v>365</v>
      </c>
      <c r="F1349" s="89" t="str">
        <v/>
      </c>
      <c r="G1349" s="89" t="str">
        <f ca="1"/>
        <v/>
      </c>
    </row>
    <row r="1350" spans="1:7" x14ac:dyDescent="0.3">
      <c r="A1350" s="89" t="str">
        <v/>
      </c>
      <c r="B1350" s="89" t="str">
        <v>Superficies Elevadas (Todos)</v>
      </c>
      <c r="C1350" s="90" t="str">
        <v/>
      </c>
      <c r="D1350" s="89" t="str">
        <v>Periódica</v>
      </c>
      <c r="E1350" s="89">
        <v>365</v>
      </c>
      <c r="F1350" s="89" t="str">
        <v/>
      </c>
      <c r="G1350" s="89" t="str">
        <f ca="1"/>
        <v/>
      </c>
    </row>
    <row r="1351" spans="1:7" x14ac:dyDescent="0.3">
      <c r="A1351" s="89" t="str">
        <v/>
      </c>
      <c r="B1351" s="89" t="str">
        <v>Superficies Elevadas (Personal Habilitado)</v>
      </c>
      <c r="C1351" s="90" t="str">
        <v/>
      </c>
      <c r="D1351" s="89" t="str">
        <v>Periódica</v>
      </c>
      <c r="E1351" s="89">
        <v>365</v>
      </c>
      <c r="F1351" s="89" t="str">
        <v/>
      </c>
      <c r="G1351" s="89" t="str">
        <f ca="1"/>
        <v/>
      </c>
    </row>
    <row r="1352" spans="1:7" x14ac:dyDescent="0.3">
      <c r="A1352" s="89" t="str">
        <v/>
      </c>
      <c r="B1352" s="89" t="str">
        <v>Seguridad Quimica (Todos)</v>
      </c>
      <c r="C1352" s="90" t="str">
        <v/>
      </c>
      <c r="D1352" s="89" t="str">
        <v>Periódica</v>
      </c>
      <c r="E1352" s="89">
        <v>730</v>
      </c>
      <c r="F1352" s="89" t="str">
        <v/>
      </c>
      <c r="G1352" s="89" t="str">
        <f ca="1"/>
        <v/>
      </c>
    </row>
    <row r="1353" spans="1:7" x14ac:dyDescent="0.3">
      <c r="A1353" s="89" t="str">
        <v/>
      </c>
      <c r="B1353" s="89" t="str">
        <v>Seguridad Quimica (Mantenimiento)</v>
      </c>
      <c r="C1353" s="90" t="str">
        <v/>
      </c>
      <c r="D1353" s="89" t="str">
        <v>Periódica</v>
      </c>
      <c r="E1353" s="89">
        <v>365</v>
      </c>
      <c r="F1353" s="89" t="str">
        <v/>
      </c>
      <c r="G1353" s="89" t="str">
        <f ca="1"/>
        <v/>
      </c>
    </row>
    <row r="1354" spans="1:7" x14ac:dyDescent="0.3">
      <c r="A1354" s="89" t="str">
        <v/>
      </c>
      <c r="B1354" s="89" t="str">
        <v>Seguridad Quimica (Contratistas)</v>
      </c>
      <c r="C1354" s="90" t="str">
        <v/>
      </c>
      <c r="D1354" s="89" t="str">
        <v>Periódica</v>
      </c>
      <c r="E1354" s="89">
        <v>365</v>
      </c>
      <c r="F1354" s="89" t="str">
        <v/>
      </c>
      <c r="G1354" s="89" t="str">
        <f ca="1"/>
        <v/>
      </c>
    </row>
    <row r="1355" spans="1:7" x14ac:dyDescent="0.3">
      <c r="A1355" s="89" t="str">
        <v/>
      </c>
      <c r="B1355" s="89" t="str">
        <v>Seguridad para Trabajos en Caliente</v>
      </c>
      <c r="C1355" s="90" t="str">
        <v/>
      </c>
      <c r="D1355" s="89" t="str">
        <v>Periódica</v>
      </c>
      <c r="E1355" s="89">
        <v>365</v>
      </c>
      <c r="F1355" s="89" t="str">
        <v/>
      </c>
      <c r="G1355" s="89" t="str">
        <f ca="1"/>
        <v/>
      </c>
    </row>
    <row r="1356" spans="1:7" x14ac:dyDescent="0.3">
      <c r="A1356" s="89" t="str">
        <v/>
      </c>
      <c r="B1356" s="89" t="str">
        <v>Seguridad con la Radiacion</v>
      </c>
      <c r="C1356" s="90" t="str">
        <v/>
      </c>
      <c r="D1356" s="89" t="str">
        <v>Periódica</v>
      </c>
      <c r="E1356" s="89">
        <v>365</v>
      </c>
      <c r="F1356" s="89" t="str">
        <v/>
      </c>
      <c r="G1356" s="89" t="str">
        <f ca="1"/>
        <v/>
      </c>
    </row>
    <row r="1357" spans="1:7" x14ac:dyDescent="0.3">
      <c r="A1357" s="89" t="str">
        <v/>
      </c>
      <c r="B1357" s="89" t="str">
        <v>Equipo de Proteccion Personal (PPE)</v>
      </c>
      <c r="C1357" s="90" t="str">
        <v/>
      </c>
      <c r="D1357" s="89" t="str">
        <v>Periódica</v>
      </c>
      <c r="E1357" s="89">
        <v>365</v>
      </c>
      <c r="F1357" s="89" t="str">
        <v/>
      </c>
      <c r="G1357" s="89" t="str">
        <f ca="1"/>
        <v/>
      </c>
    </row>
    <row r="1358" spans="1:7" x14ac:dyDescent="0.3">
      <c r="A1358" s="89" t="str">
        <v/>
      </c>
      <c r="B1358" s="89" t="str">
        <v>Proteccion Respiratoria</v>
      </c>
      <c r="C1358" s="90" t="str">
        <v/>
      </c>
      <c r="D1358" s="89" t="str">
        <v>Periódica</v>
      </c>
      <c r="E1358" s="89">
        <v>365</v>
      </c>
      <c r="F1358" s="89" t="str">
        <v/>
      </c>
      <c r="G1358" s="89" t="str">
        <f ca="1"/>
        <v/>
      </c>
    </row>
    <row r="1359" spans="1:7" x14ac:dyDescent="0.3">
      <c r="A1359" s="89" t="str">
        <v/>
      </c>
      <c r="B1359" s="89" t="str">
        <v xml:space="preserve">Seguridad con Escaleras </v>
      </c>
      <c r="C1359" s="90" t="str">
        <v/>
      </c>
      <c r="D1359" s="89" t="str">
        <v>Periódica</v>
      </c>
      <c r="E1359" s="89">
        <v>365</v>
      </c>
      <c r="F1359" s="89" t="str">
        <v/>
      </c>
      <c r="G1359" s="89" t="str">
        <f ca="1"/>
        <v/>
      </c>
    </row>
    <row r="1360" spans="1:7" x14ac:dyDescent="0.3">
      <c r="A1360" s="89" t="str">
        <v/>
      </c>
      <c r="B1360" s="89" t="str">
        <v>Seguridad con Escaleras // Estantes de Almacenamiento</v>
      </c>
      <c r="C1360" s="90" t="str">
        <v/>
      </c>
      <c r="D1360" s="89" t="str">
        <v>Periódica</v>
      </c>
      <c r="E1360" s="89">
        <v>365</v>
      </c>
      <c r="F1360" s="89" t="str">
        <v/>
      </c>
      <c r="G1360" s="89" t="str">
        <f ca="1"/>
        <v/>
      </c>
    </row>
    <row r="1361" spans="1:7" x14ac:dyDescent="0.3">
      <c r="A1361" s="89" t="str">
        <v/>
      </c>
      <c r="B1361" s="89" t="str">
        <v>Responsabilidades del Supervisor</v>
      </c>
      <c r="C1361" s="90" t="str">
        <v/>
      </c>
      <c r="D1361" s="89" t="str">
        <v>Periódica</v>
      </c>
      <c r="E1361" s="89">
        <v>365</v>
      </c>
      <c r="F1361" s="89" t="str">
        <v/>
      </c>
      <c r="G1361" s="89" t="str">
        <f ca="1"/>
        <v/>
      </c>
    </row>
    <row r="1362" spans="1:7" x14ac:dyDescent="0.3">
      <c r="A1362" s="89" t="str">
        <v/>
      </c>
      <c r="B1362" s="89" t="str">
        <v>Espacios Confinados (Todos)</v>
      </c>
      <c r="C1362" s="90" t="str">
        <v/>
      </c>
      <c r="D1362" s="89" t="str">
        <v>Periódica</v>
      </c>
      <c r="E1362" s="89">
        <v>365</v>
      </c>
      <c r="F1362" s="89" t="str">
        <v/>
      </c>
      <c r="G1362" s="89" t="str">
        <f ca="1"/>
        <v/>
      </c>
    </row>
    <row r="1363" spans="1:7" x14ac:dyDescent="0.3">
      <c r="A1363" s="89" t="str">
        <v/>
      </c>
      <c r="B1363" s="89" t="str">
        <v>HSMS.017 / Espacios Confinados (Entrantes)</v>
      </c>
      <c r="C1363" s="90" t="str">
        <v/>
      </c>
      <c r="D1363" s="89" t="str">
        <v>Evento</v>
      </c>
      <c r="E1363" s="89">
        <v>0</v>
      </c>
      <c r="F1363" s="89" t="str">
        <v/>
      </c>
      <c r="G1363" s="89" t="str">
        <f ca="1"/>
        <v/>
      </c>
    </row>
    <row r="1364" spans="1:7" x14ac:dyDescent="0.3">
      <c r="A1364" s="89" t="str">
        <v/>
      </c>
      <c r="B1364" s="89" t="str">
        <v>Programa de Agua (Todos)</v>
      </c>
      <c r="C1364" s="90" t="str">
        <v/>
      </c>
      <c r="D1364" s="89" t="str">
        <v>Evento</v>
      </c>
      <c r="E1364" s="89">
        <v>0</v>
      </c>
      <c r="F1364" s="89" t="str">
        <v/>
      </c>
      <c r="G1364" s="89" t="str">
        <f ca="1"/>
        <v/>
      </c>
    </row>
    <row r="1365" spans="1:7" x14ac:dyDescent="0.3">
      <c r="A1365" s="89" t="str">
        <v/>
      </c>
      <c r="B1365" s="89" t="str">
        <v>Programa de Agua (HSE)</v>
      </c>
      <c r="C1365" s="90" t="str">
        <v/>
      </c>
      <c r="D1365" s="89" t="str">
        <v>Evento</v>
      </c>
      <c r="E1365" s="89">
        <v>0</v>
      </c>
      <c r="F1365" s="89" t="str">
        <v/>
      </c>
      <c r="G1365" s="89" t="str">
        <f ca="1"/>
        <v/>
      </c>
    </row>
    <row r="1366" spans="1:7" x14ac:dyDescent="0.3">
      <c r="A1366" s="89" t="str">
        <v/>
      </c>
      <c r="B1366" s="89" t="str">
        <v>HIV/SIDA y otras enfermedades de transmisión sexual (ETS)</v>
      </c>
      <c r="C1366" s="90" t="str">
        <v/>
      </c>
      <c r="D1366" s="89" t="str">
        <v>Periódica</v>
      </c>
      <c r="E1366" s="89">
        <v>365</v>
      </c>
      <c r="F1366" s="89" t="str">
        <v/>
      </c>
      <c r="G1366" s="89" t="str">
        <f ca="1"/>
        <v/>
      </c>
    </row>
    <row r="1367" spans="1:7" x14ac:dyDescent="0.3">
      <c r="A1367" s="89" t="str">
        <v/>
      </c>
      <c r="B1367" s="89" t="str">
        <v>Drogas de abuso (concientización y prevención)</v>
      </c>
      <c r="C1367" s="90" t="str">
        <v/>
      </c>
      <c r="D1367" s="89" t="str">
        <v>Periódica</v>
      </c>
      <c r="E1367" s="89">
        <v>365</v>
      </c>
      <c r="F1367" s="89" t="str">
        <v/>
      </c>
      <c r="G1367" s="89" t="str">
        <f ca="1"/>
        <v/>
      </c>
    </row>
    <row r="1368" spans="1:7" x14ac:dyDescent="0.3">
      <c r="A1368" s="89" t="str">
        <v/>
      </c>
      <c r="B1368" s="89" t="str">
        <v>Vida saludable (hábitos, autocuidado y bienestar)</v>
      </c>
      <c r="C1368" s="90" t="str">
        <v/>
      </c>
      <c r="D1368" s="89" t="str">
        <v>Periódica</v>
      </c>
      <c r="E1368" s="89">
        <v>365</v>
      </c>
      <c r="F1368" s="89" t="str">
        <v/>
      </c>
      <c r="G1368" s="89" t="str">
        <f ca="1"/>
        <v/>
      </c>
    </row>
    <row r="1369" spans="1:7" x14ac:dyDescent="0.3">
      <c r="A1369" s="89" t="str">
        <v/>
      </c>
      <c r="B1369" s="89" t="str">
        <v>Primeros auxilios y Reanimación Cardio Pulmonar (RCP)</v>
      </c>
      <c r="C1369" s="90" t="str">
        <v/>
      </c>
      <c r="D1369" s="89" t="str">
        <v>Periódica</v>
      </c>
      <c r="E1369" s="89">
        <v>365</v>
      </c>
      <c r="F1369" s="89" t="str">
        <v/>
      </c>
      <c r="G1369" s="89" t="str">
        <f ca="1"/>
        <v/>
      </c>
    </row>
    <row r="1370" spans="1:7" x14ac:dyDescent="0.3">
      <c r="A1370" s="89" t="str">
        <v/>
      </c>
      <c r="B1370" s="89" t="str">
        <v>Prevención cardiovascular (factores de riesgo y señales de alarma)</v>
      </c>
      <c r="C1370" s="90" t="str">
        <v/>
      </c>
      <c r="D1370" s="89" t="str">
        <v>Periódica</v>
      </c>
      <c r="E1370" s="89">
        <v>365</v>
      </c>
      <c r="F1370" s="89" t="str">
        <v/>
      </c>
      <c r="G1370" s="89" t="str">
        <f ca="1"/>
        <v/>
      </c>
    </row>
    <row r="1371" spans="1:7" x14ac:dyDescent="0.3">
      <c r="A1371" s="89" t="str">
        <v/>
      </c>
      <c r="B1371" s="89" t="str">
        <v>Efectos del tabaco sobre la salud</v>
      </c>
      <c r="C1371" s="90" t="str">
        <v/>
      </c>
      <c r="D1371" s="89" t="str">
        <v>Periódica</v>
      </c>
      <c r="E1371" s="89">
        <v>365</v>
      </c>
      <c r="F1371" s="89" t="str">
        <v/>
      </c>
      <c r="G1371" s="89" t="str">
        <f ca="1"/>
        <v/>
      </c>
    </row>
    <row r="1372" spans="1:7" x14ac:dyDescent="0.3">
      <c r="A1372" s="89" t="str">
        <v/>
      </c>
      <c r="B1372" s="89" t="str">
        <v>Cargadora (Op. Montacargas)</v>
      </c>
      <c r="C1372" s="90" t="str">
        <v/>
      </c>
      <c r="D1372" s="89" t="str">
        <v>Periódica</v>
      </c>
      <c r="E1372" s="89">
        <v>365</v>
      </c>
      <c r="F1372" s="89" t="str">
        <v/>
      </c>
      <c r="G1372" s="89" t="str">
        <f ca="1"/>
        <v/>
      </c>
    </row>
    <row r="1373" spans="1:7" x14ac:dyDescent="0.3">
      <c r="A1373" s="89" t="str">
        <v/>
      </c>
      <c r="B1373" s="89">
        <v>0</v>
      </c>
      <c r="C1373" s="90" t="str">
        <v/>
      </c>
      <c r="D1373" s="89" t="str">
        <v/>
      </c>
      <c r="E1373" s="89" t="str">
        <v/>
      </c>
      <c r="F1373" s="89" t="str">
        <v/>
      </c>
      <c r="G1373" s="89" t="str">
        <f ca="1"/>
        <v/>
      </c>
    </row>
    <row r="1374" spans="1:7" x14ac:dyDescent="0.3">
      <c r="A1374" s="89" t="str">
        <v/>
      </c>
      <c r="B1374" s="89">
        <v>0</v>
      </c>
      <c r="C1374" s="90" t="str">
        <v/>
      </c>
      <c r="D1374" s="89" t="str">
        <v/>
      </c>
      <c r="E1374" s="89" t="str">
        <v/>
      </c>
      <c r="F1374" s="89" t="str">
        <v/>
      </c>
      <c r="G1374" s="89" t="str">
        <f ca="1"/>
        <v/>
      </c>
    </row>
    <row r="1375" spans="1:7" x14ac:dyDescent="0.3">
      <c r="A1375" s="89" t="str">
        <v/>
      </c>
      <c r="B1375" s="89">
        <v>0</v>
      </c>
      <c r="C1375" s="90" t="str">
        <v/>
      </c>
      <c r="D1375" s="89" t="str">
        <v/>
      </c>
      <c r="E1375" s="89" t="str">
        <v/>
      </c>
      <c r="F1375" s="89" t="str">
        <v/>
      </c>
      <c r="G1375" s="89" t="str">
        <f ca="1"/>
        <v/>
      </c>
    </row>
    <row r="1376" spans="1:7" x14ac:dyDescent="0.3">
      <c r="A1376" s="89" t="str">
        <v/>
      </c>
      <c r="B1376" s="89">
        <v>0</v>
      </c>
      <c r="C1376" s="90" t="str">
        <v/>
      </c>
      <c r="D1376" s="89" t="str">
        <v/>
      </c>
      <c r="E1376" s="89" t="str">
        <v/>
      </c>
      <c r="F1376" s="89" t="str">
        <v/>
      </c>
      <c r="G1376" s="89" t="str">
        <f ca="1"/>
        <v/>
      </c>
    </row>
    <row r="1377" spans="1:7" x14ac:dyDescent="0.3">
      <c r="A1377" s="89" t="str">
        <v/>
      </c>
      <c r="B1377" s="89">
        <v>0</v>
      </c>
      <c r="C1377" s="90" t="str">
        <v/>
      </c>
      <c r="D1377" s="89" t="str">
        <v/>
      </c>
      <c r="E1377" s="89" t="str">
        <v/>
      </c>
      <c r="F1377" s="89" t="str">
        <v/>
      </c>
      <c r="G1377" s="89" t="str">
        <f ca="1"/>
        <v/>
      </c>
    </row>
    <row r="1378" spans="1:7" x14ac:dyDescent="0.3">
      <c r="A1378" s="89" t="str">
        <v/>
      </c>
      <c r="B1378" s="89">
        <v>0</v>
      </c>
      <c r="C1378" s="90" t="str">
        <v/>
      </c>
      <c r="D1378" s="89" t="str">
        <v/>
      </c>
      <c r="E1378" s="89" t="str">
        <v/>
      </c>
      <c r="F1378" s="89" t="str">
        <v/>
      </c>
      <c r="G1378" s="89" t="str">
        <f ca="1"/>
        <v/>
      </c>
    </row>
    <row r="1379" spans="1:7" x14ac:dyDescent="0.3">
      <c r="A1379" s="89" t="str">
        <v/>
      </c>
      <c r="B1379" s="89">
        <v>0</v>
      </c>
      <c r="C1379" s="90" t="str">
        <v/>
      </c>
      <c r="D1379" s="89" t="str">
        <v/>
      </c>
      <c r="E1379" s="89" t="str">
        <v/>
      </c>
      <c r="F1379" s="89" t="str">
        <v/>
      </c>
      <c r="G1379" s="89" t="str">
        <f ca="1"/>
        <v/>
      </c>
    </row>
    <row r="1380" spans="1:7" x14ac:dyDescent="0.3">
      <c r="A1380" s="89" t="str">
        <v/>
      </c>
      <c r="B1380" s="89">
        <v>0</v>
      </c>
      <c r="C1380" s="90" t="str">
        <v/>
      </c>
      <c r="D1380" s="89" t="str">
        <v/>
      </c>
      <c r="E1380" s="89" t="str">
        <v/>
      </c>
      <c r="F1380" s="89" t="str">
        <v/>
      </c>
      <c r="G1380" s="89" t="str">
        <f ca="1"/>
        <v/>
      </c>
    </row>
    <row r="1381" spans="1:7" x14ac:dyDescent="0.3">
      <c r="A1381" s="89" t="str">
        <v/>
      </c>
      <c r="B1381" s="89">
        <v>0</v>
      </c>
      <c r="C1381" s="90" t="str">
        <v/>
      </c>
      <c r="D1381" s="89" t="str">
        <v/>
      </c>
      <c r="E1381" s="89" t="str">
        <v/>
      </c>
      <c r="F1381" s="89" t="str">
        <v/>
      </c>
      <c r="G1381" s="89" t="str">
        <f ca="1"/>
        <v/>
      </c>
    </row>
    <row r="1382" spans="1:7" x14ac:dyDescent="0.3">
      <c r="A1382" s="89" t="str">
        <v/>
      </c>
      <c r="B1382" s="89" t="str">
        <v>Programa de Aire</v>
      </c>
      <c r="C1382" s="90" t="str">
        <v/>
      </c>
      <c r="D1382" s="89" t="str">
        <v>Evento</v>
      </c>
      <c r="E1382" s="89">
        <v>0</v>
      </c>
      <c r="F1382" s="89" t="str">
        <v/>
      </c>
      <c r="G1382" s="89" t="str">
        <f ca="1"/>
        <v/>
      </c>
    </row>
    <row r="1383" spans="1:7" x14ac:dyDescent="0.3">
      <c r="A1383" s="89" t="str">
        <v/>
      </c>
      <c r="B1383" s="89" t="str">
        <v>Conciencia Ambiental</v>
      </c>
      <c r="C1383" s="90" t="str">
        <v/>
      </c>
      <c r="D1383" s="89" t="str">
        <v>Periódica</v>
      </c>
      <c r="E1383" s="89">
        <v>365</v>
      </c>
      <c r="F1383" s="89" t="str">
        <v/>
      </c>
      <c r="G1383" s="89" t="str">
        <f ca="1"/>
        <v/>
      </c>
    </row>
    <row r="1384" spans="1:7" x14ac:dyDescent="0.3">
      <c r="A1384" s="89" t="str">
        <v/>
      </c>
      <c r="B1384" s="89" t="str">
        <v xml:space="preserve">Control de Documentos e Informacion de HSE </v>
      </c>
      <c r="C1384" s="90" t="str">
        <v/>
      </c>
      <c r="D1384" s="89" t="str">
        <v>Evento</v>
      </c>
      <c r="E1384" s="89">
        <v>0</v>
      </c>
      <c r="F1384" s="89" t="str">
        <v/>
      </c>
      <c r="G1384" s="89" t="str">
        <f ca="1"/>
        <v/>
      </c>
    </row>
    <row r="1385" spans="1:7" x14ac:dyDescent="0.3">
      <c r="A1385" s="89" t="str">
        <v/>
      </c>
      <c r="B1385" s="89" t="str">
        <v xml:space="preserve"> Acciones Correctivas y Preventivas (CAPA)</v>
      </c>
      <c r="C1385" s="90" t="str">
        <v/>
      </c>
      <c r="D1385" s="89" t="str">
        <v>Evento</v>
      </c>
      <c r="E1385" s="89">
        <v>0</v>
      </c>
      <c r="F1385" s="89" t="str">
        <v/>
      </c>
      <c r="G1385" s="89" t="str">
        <f ca="1"/>
        <v/>
      </c>
    </row>
    <row r="1386" spans="1:7" x14ac:dyDescent="0.3">
      <c r="A1386" s="89" t="str">
        <v/>
      </c>
      <c r="B1386" s="89" t="str">
        <v>Seguridad Basada en el Comportamiento (Observation Program) // HSMS.043 / Autoridad de Detener el Trabajo</v>
      </c>
      <c r="C1386" s="90" t="str">
        <v/>
      </c>
      <c r="D1386" s="89" t="str">
        <v>Periódica</v>
      </c>
      <c r="E1386" s="89">
        <v>365</v>
      </c>
      <c r="F1386" s="89" t="str">
        <v/>
      </c>
      <c r="G1386" s="89" t="str">
        <f ca="1"/>
        <v/>
      </c>
    </row>
    <row r="1387" spans="1:7" x14ac:dyDescent="0.3">
      <c r="A1387" s="89" t="str">
        <v/>
      </c>
      <c r="B1387" s="89" t="str">
        <v>Identificacion de Peligros y Evaluacion de Riesgos</v>
      </c>
      <c r="C1387" s="90" t="str">
        <v/>
      </c>
      <c r="D1387" s="89" t="str">
        <v>Evento</v>
      </c>
      <c r="E1387" s="89">
        <v>0</v>
      </c>
      <c r="F1387" s="89" t="str">
        <v/>
      </c>
      <c r="G1387" s="89" t="str">
        <f ca="1"/>
        <v/>
      </c>
    </row>
    <row r="1388" spans="1:7" x14ac:dyDescent="0.3">
      <c r="A1388" s="89" t="str">
        <v/>
      </c>
      <c r="B1388" s="89" t="str">
        <v xml:space="preserve"> Plan de Respuesta ante Eemergencias / HSMS.010 /Primeros Axulios &amp; RCP/DEA / HSMSWT-002 / Patogenos Trasnmitidos por la Sangre</v>
      </c>
      <c r="C1388" s="90" t="str">
        <v/>
      </c>
      <c r="D1388" s="89" t="str">
        <v>Periódica</v>
      </c>
      <c r="E1388" s="89">
        <v>365</v>
      </c>
      <c r="F1388" s="89" t="str">
        <v/>
      </c>
      <c r="G1388" s="89" t="str">
        <f ca="1"/>
        <v/>
      </c>
    </row>
    <row r="1389" spans="1:7" x14ac:dyDescent="0.3">
      <c r="A1389" s="89" t="str">
        <v/>
      </c>
      <c r="B1389" s="89" t="str">
        <v>Reporte y Gestion de Incidentes HSE (Todos)</v>
      </c>
      <c r="C1389" s="90" t="str">
        <v/>
      </c>
      <c r="D1389" s="89" t="str">
        <v>Periódica</v>
      </c>
      <c r="E1389" s="89">
        <v>365</v>
      </c>
      <c r="F1389" s="89" t="str">
        <v/>
      </c>
      <c r="G1389" s="89" t="str">
        <f ca="1"/>
        <v/>
      </c>
    </row>
    <row r="1390" spans="1:7" x14ac:dyDescent="0.3">
      <c r="A1390" s="89" t="str">
        <v/>
      </c>
      <c r="B1390" s="89" t="str">
        <v>Reporte, Gestion e Investigacion de Incidentes HSE (supervisores / investigadores (rol))</v>
      </c>
      <c r="C1390" s="90" t="str">
        <v/>
      </c>
      <c r="D1390" s="89" t="str">
        <v>Periódica</v>
      </c>
      <c r="E1390" s="89">
        <v>1095</v>
      </c>
      <c r="F1390" s="89" t="str">
        <v/>
      </c>
      <c r="G1390" s="89" t="str">
        <f ca="1"/>
        <v/>
      </c>
    </row>
    <row r="1391" spans="1:7" x14ac:dyDescent="0.3">
      <c r="A1391" s="89" t="str">
        <v/>
      </c>
      <c r="B1391" s="89" t="str">
        <v>Gruas y Equipos de Izaje (Todos)</v>
      </c>
      <c r="C1391" s="90" t="str">
        <v/>
      </c>
      <c r="D1391" s="89" t="str">
        <v>Periódica</v>
      </c>
      <c r="E1391" s="89">
        <v>365</v>
      </c>
      <c r="F1391" s="89" t="str">
        <v/>
      </c>
      <c r="G1391" s="89" t="str">
        <f ca="1"/>
        <v/>
      </c>
    </row>
    <row r="1392" spans="1:7" x14ac:dyDescent="0.3">
      <c r="A1392" s="89" t="str">
        <v/>
      </c>
      <c r="B1392" s="89" t="str">
        <v>HSMS.007 / Gruas y Equipos de Izaje (Operadores)</v>
      </c>
      <c r="C1392" s="90" t="str">
        <v/>
      </c>
      <c r="D1392" s="89" t="str">
        <v>Periódica</v>
      </c>
      <c r="E1392" s="89">
        <v>365</v>
      </c>
      <c r="F1392" s="89" t="str">
        <v/>
      </c>
      <c r="G1392" s="89" t="str">
        <f ca="1"/>
        <v/>
      </c>
    </row>
    <row r="1393" spans="1:7" x14ac:dyDescent="0.3">
      <c r="A1393" s="89" t="str">
        <v/>
      </c>
      <c r="B1393" s="89" t="str">
        <v>Proteccion Contra Incendios (Todos)</v>
      </c>
      <c r="C1393" s="90" t="str">
        <v/>
      </c>
      <c r="D1393" s="89" t="str">
        <v>Periódica</v>
      </c>
      <c r="E1393" s="89">
        <v>365</v>
      </c>
      <c r="F1393" s="89" t="str">
        <v/>
      </c>
      <c r="G1393" s="89" t="str">
        <f ca="1"/>
        <v/>
      </c>
    </row>
    <row r="1394" spans="1:7" x14ac:dyDescent="0.3">
      <c r="A1394" s="89" t="str">
        <v/>
      </c>
      <c r="B1394" s="89" t="str">
        <v>Proteccion Contra Incendios (Brigadistas)</v>
      </c>
      <c r="C1394" s="90" t="str">
        <v/>
      </c>
      <c r="D1394" s="89" t="str">
        <v>Periódica</v>
      </c>
      <c r="E1394" s="89">
        <v>365</v>
      </c>
      <c r="F1394" s="89" t="str">
        <v/>
      </c>
      <c r="G1394" s="89" t="str">
        <f ca="1"/>
        <v/>
      </c>
    </row>
    <row r="1395" spans="1:7" x14ac:dyDescent="0.3">
      <c r="A1395" s="89" t="str">
        <v/>
      </c>
      <c r="B1395" s="89" t="str">
        <v>Primeros Auxilios (Brigadistas)</v>
      </c>
      <c r="C1395" s="90" t="str">
        <v/>
      </c>
      <c r="D1395" s="89" t="str">
        <v>Periódica</v>
      </c>
      <c r="E1395" s="89">
        <v>365</v>
      </c>
      <c r="F1395" s="89" t="str">
        <v/>
      </c>
      <c r="G1395" s="89" t="str">
        <f ca="1"/>
        <v/>
      </c>
    </row>
    <row r="1396" spans="1:7" x14ac:dyDescent="0.3">
      <c r="A1396" s="89" t="str">
        <v/>
      </c>
      <c r="B1396" s="89" t="str">
        <v>Seguridad Electrica (Todos)</v>
      </c>
      <c r="C1396" s="90" t="str">
        <v/>
      </c>
      <c r="D1396" s="89" t="str">
        <v>Periódica</v>
      </c>
      <c r="E1396" s="89">
        <v>365</v>
      </c>
      <c r="F1396" s="89" t="str">
        <v/>
      </c>
      <c r="G1396" s="89" t="str">
        <f ca="1"/>
        <v/>
      </c>
    </row>
    <row r="1397" spans="1:7" x14ac:dyDescent="0.3">
      <c r="A1397" s="89" t="str">
        <v/>
      </c>
      <c r="B1397" s="89" t="str">
        <v>Seguridad Electrica (Personal Autorizado)</v>
      </c>
      <c r="C1397" s="90" t="str">
        <v/>
      </c>
      <c r="D1397" s="89" t="str">
        <v>Periódica</v>
      </c>
      <c r="E1397" s="89">
        <v>1095</v>
      </c>
      <c r="F1397" s="89" t="str">
        <v/>
      </c>
      <c r="G1397" s="89" t="str">
        <f ca="1"/>
        <v/>
      </c>
    </row>
    <row r="1398" spans="1:7" x14ac:dyDescent="0.3">
      <c r="A1398" s="89" t="str">
        <v/>
      </c>
      <c r="B1398" s="89" t="str">
        <v>Camiones Industriales Motorizados (PIT) (Todos)</v>
      </c>
      <c r="C1398" s="90" t="str">
        <v/>
      </c>
      <c r="D1398" s="89" t="str">
        <v>Periódica</v>
      </c>
      <c r="E1398" s="89">
        <v>365</v>
      </c>
      <c r="F1398" s="89" t="str">
        <v/>
      </c>
      <c r="G1398" s="89" t="str">
        <f ca="1"/>
        <v/>
      </c>
    </row>
    <row r="1399" spans="1:7" x14ac:dyDescent="0.3">
      <c r="A1399" s="89" t="str">
        <v/>
      </c>
      <c r="B1399" s="89" t="str">
        <v>Camiones Industriales Motorizados (PIT) (Op. Montacargas)</v>
      </c>
      <c r="C1399" s="90" t="str">
        <v/>
      </c>
      <c r="D1399" s="89" t="str">
        <v>Periódica</v>
      </c>
      <c r="E1399" s="89">
        <v>365</v>
      </c>
      <c r="F1399" s="89" t="str">
        <v/>
      </c>
      <c r="G1399" s="89" t="str">
        <f ca="1"/>
        <v/>
      </c>
    </row>
    <row r="1400" spans="1:7" x14ac:dyDescent="0.3">
      <c r="A1400" s="89" t="str">
        <v/>
      </c>
      <c r="B1400" s="89" t="str">
        <v>Control de Energias Peligrosas (LOTO) (Todos)</v>
      </c>
      <c r="C1400" s="90" t="str">
        <v/>
      </c>
      <c r="D1400" s="89" t="str">
        <v>Evento</v>
      </c>
      <c r="E1400" s="89">
        <v>0</v>
      </c>
      <c r="F1400" s="89" t="str">
        <v/>
      </c>
      <c r="G1400" s="89" t="str">
        <f ca="1"/>
        <v/>
      </c>
    </row>
    <row r="1401" spans="1:7" x14ac:dyDescent="0.3">
      <c r="A1401" s="89" t="str">
        <v/>
      </c>
      <c r="B1401" s="89" t="str">
        <v>Control de Energias Peligrosas (LOTO) (Empleados Autorizados)</v>
      </c>
      <c r="C1401" s="90" t="str">
        <v/>
      </c>
      <c r="D1401" s="89" t="str">
        <v>Periódica</v>
      </c>
      <c r="E1401" s="89">
        <v>365</v>
      </c>
      <c r="F1401" s="89" t="str">
        <v/>
      </c>
      <c r="G1401" s="89" t="str">
        <f ca="1"/>
        <v/>
      </c>
    </row>
    <row r="1402" spans="1:7" x14ac:dyDescent="0.3">
      <c r="A1402" s="89" t="str">
        <v/>
      </c>
      <c r="B1402" s="89" t="str">
        <v>Seguridad aplicada al Pozo &amp; Yacimiento</v>
      </c>
      <c r="C1402" s="90" t="str">
        <v/>
      </c>
      <c r="D1402" s="89" t="str">
        <v>Periódica</v>
      </c>
      <c r="E1402" s="89">
        <v>365</v>
      </c>
      <c r="F1402" s="89" t="str">
        <v/>
      </c>
      <c r="G1402" s="89" t="str">
        <f ca="1"/>
        <v/>
      </c>
    </row>
    <row r="1403" spans="1:7" x14ac:dyDescent="0.3">
      <c r="A1403" s="89" t="str">
        <v/>
      </c>
      <c r="B1403" s="89" t="str">
        <v>Las Reglas que Salvan Vidas</v>
      </c>
      <c r="C1403" s="90" t="str">
        <v/>
      </c>
      <c r="D1403" s="89" t="str">
        <v>Periódica</v>
      </c>
      <c r="E1403" s="89">
        <v>365</v>
      </c>
      <c r="F1403" s="89" t="str">
        <v/>
      </c>
      <c r="G1403" s="89" t="str">
        <f ca="1"/>
        <v/>
      </c>
    </row>
    <row r="1404" spans="1:7" x14ac:dyDescent="0.3">
      <c r="A1404" s="89" t="str">
        <v/>
      </c>
      <c r="B1404" s="89" t="str">
        <v xml:space="preserve">Resguardo de Maquinas &amp; Equipos </v>
      </c>
      <c r="C1404" s="90" t="str">
        <v/>
      </c>
      <c r="D1404" s="89" t="str">
        <v>Periódica</v>
      </c>
      <c r="E1404" s="89">
        <v>365</v>
      </c>
      <c r="F1404" s="89" t="str">
        <v/>
      </c>
      <c r="G1404" s="89" t="str">
        <f ca="1"/>
        <v/>
      </c>
    </row>
    <row r="1405" spans="1:7" x14ac:dyDescent="0.3">
      <c r="A1405" s="89" t="str">
        <v/>
      </c>
      <c r="B1405" s="89" t="str">
        <v>Conduccion y Gestion de Viajes (Todos)</v>
      </c>
      <c r="C1405" s="90" t="str">
        <v/>
      </c>
      <c r="D1405" s="89" t="str">
        <v>Periódica</v>
      </c>
      <c r="E1405" s="89">
        <v>730</v>
      </c>
      <c r="F1405" s="89" t="str">
        <v/>
      </c>
      <c r="G1405" s="89" t="str">
        <f ca="1"/>
        <v/>
      </c>
    </row>
    <row r="1406" spans="1:7" x14ac:dyDescent="0.3">
      <c r="A1406" s="89" t="str">
        <v/>
      </c>
      <c r="B1406" s="89" t="str">
        <v>Conduccion y Gestion de Viajes (Conductores)</v>
      </c>
      <c r="C1406" s="90" t="str">
        <v/>
      </c>
      <c r="D1406" s="89" t="str">
        <v>Periódica</v>
      </c>
      <c r="E1406" s="89">
        <v>1095</v>
      </c>
      <c r="F1406" s="89" t="str">
        <v/>
      </c>
      <c r="G1406" s="89" t="str">
        <f ca="1"/>
        <v/>
      </c>
    </row>
    <row r="1407" spans="1:7" x14ac:dyDescent="0.3">
      <c r="A1407" s="89" t="str">
        <v/>
      </c>
      <c r="B1407" s="89" t="str">
        <v>Patogenos Transmitidos por la Sangre</v>
      </c>
      <c r="C1407" s="90" t="str">
        <v/>
      </c>
      <c r="D1407" s="89" t="str">
        <v>Periódica</v>
      </c>
      <c r="E1407" s="89">
        <v>365</v>
      </c>
      <c r="F1407" s="89" t="str">
        <v/>
      </c>
      <c r="G1407" s="89" t="str">
        <f ca="1"/>
        <v/>
      </c>
    </row>
    <row r="1408" spans="1:7" x14ac:dyDescent="0.3">
      <c r="A1408" s="89" t="str">
        <v/>
      </c>
      <c r="B1408" s="89" t="str">
        <v>Conservacion Auditiva</v>
      </c>
      <c r="C1408" s="90" t="str">
        <v/>
      </c>
      <c r="D1408" s="89" t="str">
        <v>Periódica</v>
      </c>
      <c r="E1408" s="89">
        <v>365</v>
      </c>
      <c r="F1408" s="89" t="str">
        <v/>
      </c>
      <c r="G1408" s="89" t="str">
        <f ca="1"/>
        <v/>
      </c>
    </row>
    <row r="1409" spans="1:7" x14ac:dyDescent="0.3">
      <c r="A1409" s="89" t="str">
        <v/>
      </c>
      <c r="B1409" s="89" t="str">
        <v xml:space="preserve">Ergonomia //  / Levantamiento &amp; Seguridad en la Espalda </v>
      </c>
      <c r="C1409" s="90" t="str">
        <v/>
      </c>
      <c r="D1409" s="89" t="str">
        <v>Periódica</v>
      </c>
      <c r="E1409" s="89">
        <v>365</v>
      </c>
      <c r="F1409" s="89" t="str">
        <v/>
      </c>
      <c r="G1409" s="89" t="str">
        <f ca="1"/>
        <v/>
      </c>
    </row>
    <row r="1410" spans="1:7" x14ac:dyDescent="0.3">
      <c r="A1410" s="89" t="str">
        <v/>
      </c>
      <c r="B1410" s="89" t="str">
        <v>Superficies Elevadas (Todos)</v>
      </c>
      <c r="C1410" s="90" t="str">
        <v/>
      </c>
      <c r="D1410" s="89" t="str">
        <v>Periódica</v>
      </c>
      <c r="E1410" s="89">
        <v>365</v>
      </c>
      <c r="F1410" s="89" t="str">
        <v/>
      </c>
      <c r="G1410" s="89" t="str">
        <f ca="1"/>
        <v/>
      </c>
    </row>
    <row r="1411" spans="1:7" x14ac:dyDescent="0.3">
      <c r="A1411" s="89" t="str">
        <v/>
      </c>
      <c r="B1411" s="89" t="str">
        <v>Superficies Elevadas (Personal Habilitado)</v>
      </c>
      <c r="C1411" s="90" t="str">
        <v/>
      </c>
      <c r="D1411" s="89" t="str">
        <v>Periódica</v>
      </c>
      <c r="E1411" s="89">
        <v>365</v>
      </c>
      <c r="F1411" s="89" t="str">
        <v/>
      </c>
      <c r="G1411" s="89" t="str">
        <f ca="1"/>
        <v/>
      </c>
    </row>
    <row r="1412" spans="1:7" x14ac:dyDescent="0.3">
      <c r="A1412" s="89" t="str">
        <v/>
      </c>
      <c r="B1412" s="89" t="str">
        <v>Seguridad Quimica (Todos)</v>
      </c>
      <c r="C1412" s="90" t="str">
        <v/>
      </c>
      <c r="D1412" s="89" t="str">
        <v>Periódica</v>
      </c>
      <c r="E1412" s="89">
        <v>730</v>
      </c>
      <c r="F1412" s="89" t="str">
        <v/>
      </c>
      <c r="G1412" s="89" t="str">
        <f ca="1"/>
        <v/>
      </c>
    </row>
    <row r="1413" spans="1:7" x14ac:dyDescent="0.3">
      <c r="A1413" s="89" t="str">
        <v/>
      </c>
      <c r="B1413" s="89" t="str">
        <v>Seguridad Quimica (Mantenimiento)</v>
      </c>
      <c r="C1413" s="90" t="str">
        <v/>
      </c>
      <c r="D1413" s="89" t="str">
        <v>Periódica</v>
      </c>
      <c r="E1413" s="89">
        <v>365</v>
      </c>
      <c r="F1413" s="89" t="str">
        <v/>
      </c>
      <c r="G1413" s="89" t="str">
        <f ca="1"/>
        <v/>
      </c>
    </row>
    <row r="1414" spans="1:7" x14ac:dyDescent="0.3">
      <c r="A1414" s="89" t="str">
        <v/>
      </c>
      <c r="B1414" s="89" t="str">
        <v>Seguridad Quimica (Contratistas)</v>
      </c>
      <c r="C1414" s="90" t="str">
        <v/>
      </c>
      <c r="D1414" s="89" t="str">
        <v>Periódica</v>
      </c>
      <c r="E1414" s="89">
        <v>365</v>
      </c>
      <c r="F1414" s="89" t="str">
        <v/>
      </c>
      <c r="G1414" s="89" t="str">
        <f ca="1"/>
        <v/>
      </c>
    </row>
    <row r="1415" spans="1:7" x14ac:dyDescent="0.3">
      <c r="A1415" s="89" t="str">
        <v/>
      </c>
      <c r="B1415" s="89" t="str">
        <v>Seguridad para Trabajos en Caliente</v>
      </c>
      <c r="C1415" s="90" t="str">
        <v/>
      </c>
      <c r="D1415" s="89" t="str">
        <v>Periódica</v>
      </c>
      <c r="E1415" s="89">
        <v>365</v>
      </c>
      <c r="F1415" s="89" t="str">
        <v/>
      </c>
      <c r="G1415" s="89" t="str">
        <f ca="1"/>
        <v/>
      </c>
    </row>
    <row r="1416" spans="1:7" x14ac:dyDescent="0.3">
      <c r="A1416" s="89" t="str">
        <v/>
      </c>
      <c r="B1416" s="89" t="str">
        <v>Seguridad con la Radiacion</v>
      </c>
      <c r="C1416" s="90" t="str">
        <v/>
      </c>
      <c r="D1416" s="89" t="str">
        <v>Periódica</v>
      </c>
      <c r="E1416" s="89">
        <v>365</v>
      </c>
      <c r="F1416" s="89" t="str">
        <v/>
      </c>
      <c r="G1416" s="89" t="str">
        <f ca="1"/>
        <v/>
      </c>
    </row>
    <row r="1417" spans="1:7" x14ac:dyDescent="0.3">
      <c r="A1417" s="89" t="str">
        <v/>
      </c>
      <c r="B1417" s="89" t="str">
        <v>Equipo de Proteccion Personal (PPE)</v>
      </c>
      <c r="C1417" s="90" t="str">
        <v/>
      </c>
      <c r="D1417" s="89" t="str">
        <v>Periódica</v>
      </c>
      <c r="E1417" s="89">
        <v>365</v>
      </c>
      <c r="F1417" s="89" t="str">
        <v/>
      </c>
      <c r="G1417" s="89" t="str">
        <f ca="1"/>
        <v/>
      </c>
    </row>
    <row r="1418" spans="1:7" x14ac:dyDescent="0.3">
      <c r="A1418" s="89" t="str">
        <v/>
      </c>
      <c r="B1418" s="89" t="str">
        <v>Proteccion Respiratoria</v>
      </c>
      <c r="C1418" s="90" t="str">
        <v/>
      </c>
      <c r="D1418" s="89" t="str">
        <v>Periódica</v>
      </c>
      <c r="E1418" s="89">
        <v>365</v>
      </c>
      <c r="F1418" s="89" t="str">
        <v/>
      </c>
      <c r="G1418" s="89" t="str">
        <f ca="1"/>
        <v/>
      </c>
    </row>
    <row r="1419" spans="1:7" x14ac:dyDescent="0.3">
      <c r="A1419" s="89" t="str">
        <v/>
      </c>
      <c r="B1419" s="89" t="str">
        <v xml:space="preserve">Seguridad con Escaleras </v>
      </c>
      <c r="C1419" s="90" t="str">
        <v/>
      </c>
      <c r="D1419" s="89" t="str">
        <v>Periódica</v>
      </c>
      <c r="E1419" s="89">
        <v>365</v>
      </c>
      <c r="F1419" s="89" t="str">
        <v/>
      </c>
      <c r="G1419" s="89" t="str">
        <f ca="1"/>
        <v/>
      </c>
    </row>
    <row r="1420" spans="1:7" x14ac:dyDescent="0.3">
      <c r="A1420" s="89" t="str">
        <v/>
      </c>
      <c r="B1420" s="89" t="str">
        <v>Seguridad con Escaleras // Estantes de Almacenamiento</v>
      </c>
      <c r="C1420" s="90" t="str">
        <v/>
      </c>
      <c r="D1420" s="89" t="str">
        <v>Periódica</v>
      </c>
      <c r="E1420" s="89">
        <v>365</v>
      </c>
      <c r="F1420" s="89" t="str">
        <v/>
      </c>
      <c r="G1420" s="89" t="str">
        <f ca="1"/>
        <v/>
      </c>
    </row>
    <row r="1421" spans="1:7" x14ac:dyDescent="0.3">
      <c r="A1421" s="89" t="str">
        <v/>
      </c>
      <c r="B1421" s="89" t="str">
        <v>Responsabilidades del Supervisor</v>
      </c>
      <c r="C1421" s="90" t="str">
        <v/>
      </c>
      <c r="D1421" s="89" t="str">
        <v>Periódica</v>
      </c>
      <c r="E1421" s="89">
        <v>365</v>
      </c>
      <c r="F1421" s="89" t="str">
        <v/>
      </c>
      <c r="G1421" s="89" t="str">
        <f ca="1"/>
        <v/>
      </c>
    </row>
    <row r="1422" spans="1:7" x14ac:dyDescent="0.3">
      <c r="A1422" s="89" t="str">
        <v/>
      </c>
      <c r="B1422" s="89" t="str">
        <v>Espacios Confinados (Todos)</v>
      </c>
      <c r="C1422" s="90" t="str">
        <v/>
      </c>
      <c r="D1422" s="89" t="str">
        <v>Periódica</v>
      </c>
      <c r="E1422" s="89">
        <v>365</v>
      </c>
      <c r="F1422" s="89" t="str">
        <v/>
      </c>
      <c r="G1422" s="89" t="str">
        <f ca="1"/>
        <v/>
      </c>
    </row>
    <row r="1423" spans="1:7" x14ac:dyDescent="0.3">
      <c r="A1423" s="89" t="str">
        <v/>
      </c>
      <c r="B1423" s="89" t="str">
        <v>HSMS.017 / Espacios Confinados (Entrantes)</v>
      </c>
      <c r="C1423" s="90" t="str">
        <v/>
      </c>
      <c r="D1423" s="89" t="str">
        <v>Evento</v>
      </c>
      <c r="E1423" s="89">
        <v>0</v>
      </c>
      <c r="F1423" s="89" t="str">
        <v/>
      </c>
      <c r="G1423" s="89" t="str">
        <f ca="1"/>
        <v/>
      </c>
    </row>
    <row r="1424" spans="1:7" x14ac:dyDescent="0.3">
      <c r="A1424" s="89" t="str">
        <v/>
      </c>
      <c r="B1424" s="89" t="str">
        <v>Programa de Agua (Todos)</v>
      </c>
      <c r="C1424" s="90" t="str">
        <v/>
      </c>
      <c r="D1424" s="89" t="str">
        <v>Evento</v>
      </c>
      <c r="E1424" s="89">
        <v>0</v>
      </c>
      <c r="F1424" s="89" t="str">
        <v/>
      </c>
      <c r="G1424" s="89" t="str">
        <f ca="1"/>
        <v/>
      </c>
    </row>
    <row r="1425" spans="1:7" x14ac:dyDescent="0.3">
      <c r="A1425" s="89" t="str">
        <v/>
      </c>
      <c r="B1425" s="89" t="str">
        <v>Programa de Agua (HSE)</v>
      </c>
      <c r="C1425" s="90" t="str">
        <v/>
      </c>
      <c r="D1425" s="89" t="str">
        <v>Evento</v>
      </c>
      <c r="E1425" s="89">
        <v>0</v>
      </c>
      <c r="F1425" s="89" t="str">
        <v/>
      </c>
      <c r="G1425" s="89" t="str">
        <f ca="1"/>
        <v/>
      </c>
    </row>
    <row r="1426" spans="1:7" x14ac:dyDescent="0.3">
      <c r="A1426" s="89" t="str">
        <v/>
      </c>
      <c r="B1426" s="89" t="str">
        <v>HIV/SIDA y otras enfermedades de transmisión sexual (ETS)</v>
      </c>
      <c r="C1426" s="90" t="str">
        <v/>
      </c>
      <c r="D1426" s="89" t="str">
        <v>Periódica</v>
      </c>
      <c r="E1426" s="89">
        <v>365</v>
      </c>
      <c r="F1426" s="89" t="str">
        <v/>
      </c>
      <c r="G1426" s="89" t="str">
        <f ca="1"/>
        <v/>
      </c>
    </row>
    <row r="1427" spans="1:7" x14ac:dyDescent="0.3">
      <c r="A1427" s="89" t="str">
        <v/>
      </c>
      <c r="B1427" s="89" t="str">
        <v>Drogas de abuso (concientización y prevención)</v>
      </c>
      <c r="C1427" s="90" t="str">
        <v/>
      </c>
      <c r="D1427" s="89" t="str">
        <v>Periódica</v>
      </c>
      <c r="E1427" s="89">
        <v>365</v>
      </c>
      <c r="F1427" s="89" t="str">
        <v/>
      </c>
      <c r="G1427" s="89" t="str">
        <f ca="1"/>
        <v/>
      </c>
    </row>
    <row r="1428" spans="1:7" x14ac:dyDescent="0.3">
      <c r="A1428" s="89" t="str">
        <v/>
      </c>
      <c r="B1428" s="89" t="str">
        <v>Vida saludable (hábitos, autocuidado y bienestar)</v>
      </c>
      <c r="C1428" s="90" t="str">
        <v/>
      </c>
      <c r="D1428" s="89" t="str">
        <v>Periódica</v>
      </c>
      <c r="E1428" s="89">
        <v>365</v>
      </c>
      <c r="F1428" s="89" t="str">
        <v/>
      </c>
      <c r="G1428" s="89" t="str">
        <f ca="1"/>
        <v/>
      </c>
    </row>
    <row r="1429" spans="1:7" x14ac:dyDescent="0.3">
      <c r="A1429" s="89" t="str">
        <v/>
      </c>
      <c r="B1429" s="89" t="str">
        <v>Primeros auxilios y Reanimación Cardio Pulmonar (RCP)</v>
      </c>
      <c r="C1429" s="90" t="str">
        <v/>
      </c>
      <c r="D1429" s="89" t="str">
        <v>Periódica</v>
      </c>
      <c r="E1429" s="89">
        <v>365</v>
      </c>
      <c r="F1429" s="89" t="str">
        <v/>
      </c>
      <c r="G1429" s="89" t="str">
        <f ca="1"/>
        <v/>
      </c>
    </row>
    <row r="1430" spans="1:7" x14ac:dyDescent="0.3">
      <c r="A1430" s="89" t="str">
        <v/>
      </c>
      <c r="B1430" s="89" t="str">
        <v>Prevención cardiovascular (factores de riesgo y señales de alarma)</v>
      </c>
      <c r="C1430" s="90" t="str">
        <v/>
      </c>
      <c r="D1430" s="89" t="str">
        <v>Periódica</v>
      </c>
      <c r="E1430" s="89">
        <v>365</v>
      </c>
      <c r="F1430" s="89" t="str">
        <v/>
      </c>
      <c r="G1430" s="89" t="str">
        <f ca="1"/>
        <v/>
      </c>
    </row>
    <row r="1431" spans="1:7" x14ac:dyDescent="0.3">
      <c r="A1431" s="89" t="str">
        <v/>
      </c>
      <c r="B1431" s="89" t="str">
        <v>Efectos del tabaco sobre la salud</v>
      </c>
      <c r="C1431" s="90" t="str">
        <v/>
      </c>
      <c r="D1431" s="89" t="str">
        <v>Periódica</v>
      </c>
      <c r="E1431" s="89">
        <v>365</v>
      </c>
      <c r="F1431" s="89" t="str">
        <v/>
      </c>
      <c r="G1431" s="89" t="str">
        <f ca="1"/>
        <v/>
      </c>
    </row>
    <row r="1432" spans="1:7" x14ac:dyDescent="0.3">
      <c r="A1432" s="89" t="str">
        <v/>
      </c>
      <c r="B1432" s="89" t="str">
        <v>Cargadora (Op. Montacargas)</v>
      </c>
      <c r="C1432" s="90" t="str">
        <v/>
      </c>
      <c r="D1432" s="89" t="str">
        <v>Periódica</v>
      </c>
      <c r="E1432" s="89">
        <v>365</v>
      </c>
      <c r="F1432" s="89" t="str">
        <v/>
      </c>
      <c r="G1432" s="89" t="str">
        <f ca="1"/>
        <v/>
      </c>
    </row>
    <row r="1433" spans="1:7" x14ac:dyDescent="0.3">
      <c r="A1433" s="89" t="str">
        <v/>
      </c>
      <c r="B1433" s="89">
        <v>0</v>
      </c>
      <c r="C1433" s="90" t="str">
        <v/>
      </c>
      <c r="D1433" s="89" t="str">
        <v/>
      </c>
      <c r="E1433" s="89" t="str">
        <v/>
      </c>
      <c r="F1433" s="89" t="str">
        <v/>
      </c>
      <c r="G1433" s="89" t="str">
        <f ca="1"/>
        <v/>
      </c>
    </row>
    <row r="1434" spans="1:7" x14ac:dyDescent="0.3">
      <c r="A1434" s="89" t="str">
        <v/>
      </c>
      <c r="B1434" s="89">
        <v>0</v>
      </c>
      <c r="C1434" s="90" t="str">
        <v/>
      </c>
      <c r="D1434" s="89" t="str">
        <v/>
      </c>
      <c r="E1434" s="89" t="str">
        <v/>
      </c>
      <c r="F1434" s="89" t="str">
        <v/>
      </c>
      <c r="G1434" s="89" t="str">
        <f ca="1"/>
        <v/>
      </c>
    </row>
    <row r="1435" spans="1:7" x14ac:dyDescent="0.3">
      <c r="A1435" s="89" t="str">
        <v/>
      </c>
      <c r="B1435" s="89">
        <v>0</v>
      </c>
      <c r="C1435" s="90" t="str">
        <v/>
      </c>
      <c r="D1435" s="89" t="str">
        <v/>
      </c>
      <c r="E1435" s="89" t="str">
        <v/>
      </c>
      <c r="F1435" s="89" t="str">
        <v/>
      </c>
      <c r="G1435" s="89" t="str">
        <f ca="1"/>
        <v/>
      </c>
    </row>
    <row r="1436" spans="1:7" x14ac:dyDescent="0.3">
      <c r="A1436" s="89" t="str">
        <v/>
      </c>
      <c r="B1436" s="89">
        <v>0</v>
      </c>
      <c r="C1436" s="90" t="str">
        <v/>
      </c>
      <c r="D1436" s="89" t="str">
        <v/>
      </c>
      <c r="E1436" s="89" t="str">
        <v/>
      </c>
      <c r="F1436" s="89" t="str">
        <v/>
      </c>
      <c r="G1436" s="89" t="str">
        <f ca="1"/>
        <v/>
      </c>
    </row>
    <row r="1437" spans="1:7" x14ac:dyDescent="0.3">
      <c r="A1437" s="89" t="str">
        <v/>
      </c>
      <c r="B1437" s="89">
        <v>0</v>
      </c>
      <c r="C1437" s="90" t="str">
        <v/>
      </c>
      <c r="D1437" s="89" t="str">
        <v/>
      </c>
      <c r="E1437" s="89" t="str">
        <v/>
      </c>
      <c r="F1437" s="89" t="str">
        <v/>
      </c>
      <c r="G1437" s="89" t="str">
        <f ca="1"/>
        <v/>
      </c>
    </row>
    <row r="1438" spans="1:7" x14ac:dyDescent="0.3">
      <c r="A1438" s="89" t="str">
        <v/>
      </c>
      <c r="B1438" s="89">
        <v>0</v>
      </c>
      <c r="C1438" s="90" t="str">
        <v/>
      </c>
      <c r="D1438" s="89" t="str">
        <v/>
      </c>
      <c r="E1438" s="89" t="str">
        <v/>
      </c>
      <c r="F1438" s="89" t="str">
        <v/>
      </c>
      <c r="G1438" s="89" t="str">
        <f ca="1"/>
        <v/>
      </c>
    </row>
    <row r="1439" spans="1:7" x14ac:dyDescent="0.3">
      <c r="A1439" s="89" t="str">
        <v/>
      </c>
      <c r="B1439" s="89">
        <v>0</v>
      </c>
      <c r="C1439" s="90" t="str">
        <v/>
      </c>
      <c r="D1439" s="89" t="str">
        <v/>
      </c>
      <c r="E1439" s="89" t="str">
        <v/>
      </c>
      <c r="F1439" s="89" t="str">
        <v/>
      </c>
      <c r="G1439" s="89" t="str">
        <f ca="1"/>
        <v/>
      </c>
    </row>
    <row r="1440" spans="1:7" x14ac:dyDescent="0.3">
      <c r="A1440" s="89" t="str">
        <v/>
      </c>
      <c r="B1440" s="89">
        <v>0</v>
      </c>
      <c r="C1440" s="90" t="str">
        <v/>
      </c>
      <c r="D1440" s="89" t="str">
        <v/>
      </c>
      <c r="E1440" s="89" t="str">
        <v/>
      </c>
      <c r="F1440" s="89" t="str">
        <v/>
      </c>
      <c r="G1440" s="89" t="str">
        <f ca="1"/>
        <v/>
      </c>
    </row>
    <row r="1441" spans="1:7" x14ac:dyDescent="0.3">
      <c r="A1441" s="89" t="str">
        <v/>
      </c>
      <c r="B1441" s="89">
        <v>0</v>
      </c>
      <c r="C1441" s="90" t="str">
        <v/>
      </c>
      <c r="D1441" s="89" t="str">
        <v/>
      </c>
      <c r="E1441" s="89" t="str">
        <v/>
      </c>
      <c r="F1441" s="89" t="str">
        <v/>
      </c>
      <c r="G1441" s="89" t="str">
        <f ca="1"/>
        <v/>
      </c>
    </row>
    <row r="1442" spans="1:7" x14ac:dyDescent="0.3">
      <c r="A1442" s="89" t="str">
        <v/>
      </c>
      <c r="B1442" s="89" t="str">
        <v>Programa de Aire</v>
      </c>
      <c r="C1442" s="90" t="str">
        <v/>
      </c>
      <c r="D1442" s="89" t="str">
        <v>Evento</v>
      </c>
      <c r="E1442" s="89">
        <v>0</v>
      </c>
      <c r="F1442" s="89" t="str">
        <v/>
      </c>
      <c r="G1442" s="89" t="str">
        <f ca="1"/>
        <v/>
      </c>
    </row>
    <row r="1443" spans="1:7" x14ac:dyDescent="0.3">
      <c r="A1443" s="89" t="str">
        <v/>
      </c>
      <c r="B1443" s="89" t="str">
        <v>Conciencia Ambiental</v>
      </c>
      <c r="C1443" s="90" t="str">
        <v/>
      </c>
      <c r="D1443" s="89" t="str">
        <v>Periódica</v>
      </c>
      <c r="E1443" s="89">
        <v>365</v>
      </c>
      <c r="F1443" s="89" t="str">
        <v/>
      </c>
      <c r="G1443" s="89" t="str">
        <f ca="1"/>
        <v/>
      </c>
    </row>
    <row r="1444" spans="1:7" x14ac:dyDescent="0.3">
      <c r="A1444" s="89" t="str">
        <v/>
      </c>
      <c r="B1444" s="89" t="str">
        <v xml:space="preserve">Control de Documentos e Informacion de HSE </v>
      </c>
      <c r="C1444" s="90" t="str">
        <v/>
      </c>
      <c r="D1444" s="89" t="str">
        <v>Evento</v>
      </c>
      <c r="E1444" s="89">
        <v>0</v>
      </c>
      <c r="F1444" s="89" t="str">
        <v/>
      </c>
      <c r="G1444" s="89" t="str">
        <f ca="1"/>
        <v/>
      </c>
    </row>
    <row r="1445" spans="1:7" x14ac:dyDescent="0.3">
      <c r="A1445" s="89" t="str">
        <v/>
      </c>
      <c r="B1445" s="89" t="str">
        <v xml:space="preserve"> Acciones Correctivas y Preventivas (CAPA)</v>
      </c>
      <c r="C1445" s="90" t="str">
        <v/>
      </c>
      <c r="D1445" s="89" t="str">
        <v>Evento</v>
      </c>
      <c r="E1445" s="89">
        <v>0</v>
      </c>
      <c r="F1445" s="89" t="str">
        <v/>
      </c>
      <c r="G1445" s="89" t="str">
        <f ca="1"/>
        <v/>
      </c>
    </row>
    <row r="1446" spans="1:7" x14ac:dyDescent="0.3">
      <c r="A1446" s="89" t="str">
        <v/>
      </c>
      <c r="B1446" s="89" t="str">
        <v>Seguridad Basada en el Comportamiento (Observation Program) // HSMS.043 / Autoridad de Detener el Trabajo</v>
      </c>
      <c r="C1446" s="90" t="str">
        <v/>
      </c>
      <c r="D1446" s="89" t="str">
        <v>Periódica</v>
      </c>
      <c r="E1446" s="89">
        <v>365</v>
      </c>
      <c r="F1446" s="89" t="str">
        <v/>
      </c>
      <c r="G1446" s="89" t="str">
        <f ca="1"/>
        <v/>
      </c>
    </row>
    <row r="1447" spans="1:7" x14ac:dyDescent="0.3">
      <c r="A1447" s="89" t="str">
        <v/>
      </c>
      <c r="B1447" s="89" t="str">
        <v>Identificacion de Peligros y Evaluacion de Riesgos</v>
      </c>
      <c r="C1447" s="90" t="str">
        <v/>
      </c>
      <c r="D1447" s="89" t="str">
        <v>Evento</v>
      </c>
      <c r="E1447" s="89">
        <v>0</v>
      </c>
      <c r="F1447" s="89" t="str">
        <v/>
      </c>
      <c r="G1447" s="89" t="str">
        <f ca="1"/>
        <v/>
      </c>
    </row>
    <row r="1448" spans="1:7" x14ac:dyDescent="0.3">
      <c r="A1448" s="89" t="str">
        <v/>
      </c>
      <c r="B1448" s="89" t="str">
        <v xml:space="preserve"> Plan de Respuesta ante Eemergencias / HSMS.010 /Primeros Axulios &amp; RCP/DEA / HSMSWT-002 / Patogenos Trasnmitidos por la Sangre</v>
      </c>
      <c r="C1448" s="90" t="str">
        <v/>
      </c>
      <c r="D1448" s="89" t="str">
        <v>Periódica</v>
      </c>
      <c r="E1448" s="89">
        <v>365</v>
      </c>
      <c r="F1448" s="89" t="str">
        <v/>
      </c>
      <c r="G1448" s="89" t="str">
        <f ca="1"/>
        <v/>
      </c>
    </row>
    <row r="1449" spans="1:7" x14ac:dyDescent="0.3">
      <c r="A1449" s="89" t="str">
        <v/>
      </c>
      <c r="B1449" s="89" t="str">
        <v>Reporte y Gestion de Incidentes HSE (Todos)</v>
      </c>
      <c r="C1449" s="90" t="str">
        <v/>
      </c>
      <c r="D1449" s="89" t="str">
        <v>Periódica</v>
      </c>
      <c r="E1449" s="89">
        <v>365</v>
      </c>
      <c r="F1449" s="89" t="str">
        <v/>
      </c>
      <c r="G1449" s="89" t="str">
        <f ca="1"/>
        <v/>
      </c>
    </row>
    <row r="1450" spans="1:7" x14ac:dyDescent="0.3">
      <c r="A1450" s="89" t="str">
        <v/>
      </c>
      <c r="B1450" s="89" t="str">
        <v>Reporte, Gestion e Investigacion de Incidentes HSE (supervisores / investigadores (rol))</v>
      </c>
      <c r="C1450" s="90" t="str">
        <v/>
      </c>
      <c r="D1450" s="89" t="str">
        <v>Periódica</v>
      </c>
      <c r="E1450" s="89">
        <v>1095</v>
      </c>
      <c r="F1450" s="89" t="str">
        <v/>
      </c>
      <c r="G1450" s="89" t="str">
        <f ca="1"/>
        <v/>
      </c>
    </row>
    <row r="1451" spans="1:7" x14ac:dyDescent="0.3">
      <c r="A1451" s="89" t="str">
        <v/>
      </c>
      <c r="B1451" s="89" t="str">
        <v>Gruas y Equipos de Izaje (Todos)</v>
      </c>
      <c r="C1451" s="90" t="str">
        <v/>
      </c>
      <c r="D1451" s="89" t="str">
        <v>Periódica</v>
      </c>
      <c r="E1451" s="89">
        <v>365</v>
      </c>
      <c r="F1451" s="89" t="str">
        <v/>
      </c>
      <c r="G1451" s="89" t="str">
        <f ca="1"/>
        <v/>
      </c>
    </row>
    <row r="1452" spans="1:7" x14ac:dyDescent="0.3">
      <c r="A1452" s="89" t="str">
        <v/>
      </c>
      <c r="B1452" s="89" t="str">
        <v>HSMS.007 / Gruas y Equipos de Izaje (Operadores)</v>
      </c>
      <c r="C1452" s="90" t="str">
        <v/>
      </c>
      <c r="D1452" s="89" t="str">
        <v>Periódica</v>
      </c>
      <c r="E1452" s="89">
        <v>365</v>
      </c>
      <c r="F1452" s="89" t="str">
        <v/>
      </c>
      <c r="G1452" s="89" t="str">
        <f ca="1"/>
        <v/>
      </c>
    </row>
    <row r="1453" spans="1:7" x14ac:dyDescent="0.3">
      <c r="A1453" s="89" t="str">
        <v/>
      </c>
      <c r="B1453" s="89" t="str">
        <v>Proteccion Contra Incendios (Todos)</v>
      </c>
      <c r="C1453" s="90" t="str">
        <v/>
      </c>
      <c r="D1453" s="89" t="str">
        <v>Periódica</v>
      </c>
      <c r="E1453" s="89">
        <v>365</v>
      </c>
      <c r="F1453" s="89" t="str">
        <v/>
      </c>
      <c r="G1453" s="89" t="str">
        <f ca="1"/>
        <v/>
      </c>
    </row>
    <row r="1454" spans="1:7" x14ac:dyDescent="0.3">
      <c r="A1454" s="89" t="str">
        <v/>
      </c>
      <c r="B1454" s="89" t="str">
        <v>Proteccion Contra Incendios (Brigadistas)</v>
      </c>
      <c r="C1454" s="90" t="str">
        <v/>
      </c>
      <c r="D1454" s="89" t="str">
        <v>Periódica</v>
      </c>
      <c r="E1454" s="89">
        <v>365</v>
      </c>
      <c r="F1454" s="89" t="str">
        <v/>
      </c>
      <c r="G1454" s="89" t="str">
        <f ca="1"/>
        <v/>
      </c>
    </row>
    <row r="1455" spans="1:7" x14ac:dyDescent="0.3">
      <c r="A1455" s="89" t="str">
        <v/>
      </c>
      <c r="B1455" s="89" t="str">
        <v>Primeros Auxilios (Brigadistas)</v>
      </c>
      <c r="C1455" s="90" t="str">
        <v/>
      </c>
      <c r="D1455" s="89" t="str">
        <v>Periódica</v>
      </c>
      <c r="E1455" s="89">
        <v>365</v>
      </c>
      <c r="F1455" s="89" t="str">
        <v/>
      </c>
      <c r="G1455" s="89" t="str">
        <f ca="1"/>
        <v/>
      </c>
    </row>
    <row r="1456" spans="1:7" x14ac:dyDescent="0.3">
      <c r="A1456" s="89" t="str">
        <v/>
      </c>
      <c r="B1456" s="89" t="str">
        <v>Seguridad Electrica (Todos)</v>
      </c>
      <c r="C1456" s="90" t="str">
        <v/>
      </c>
      <c r="D1456" s="89" t="str">
        <v>Periódica</v>
      </c>
      <c r="E1456" s="89">
        <v>365</v>
      </c>
      <c r="F1456" s="89" t="str">
        <v/>
      </c>
      <c r="G1456" s="89" t="str">
        <f ca="1"/>
        <v/>
      </c>
    </row>
    <row r="1457" spans="1:7" x14ac:dyDescent="0.3">
      <c r="A1457" s="89" t="str">
        <v/>
      </c>
      <c r="B1457" s="89" t="str">
        <v>Seguridad Electrica (Personal Autorizado)</v>
      </c>
      <c r="C1457" s="90" t="str">
        <v/>
      </c>
      <c r="D1457" s="89" t="str">
        <v>Periódica</v>
      </c>
      <c r="E1457" s="89">
        <v>1095</v>
      </c>
      <c r="F1457" s="89" t="str">
        <v/>
      </c>
      <c r="G1457" s="89" t="str">
        <f ca="1"/>
        <v/>
      </c>
    </row>
    <row r="1458" spans="1:7" x14ac:dyDescent="0.3">
      <c r="A1458" s="89" t="str">
        <v/>
      </c>
      <c r="B1458" s="89" t="str">
        <v>Camiones Industriales Motorizados (PIT) (Todos)</v>
      </c>
      <c r="C1458" s="90" t="str">
        <v/>
      </c>
      <c r="D1458" s="89" t="str">
        <v>Periódica</v>
      </c>
      <c r="E1458" s="89">
        <v>365</v>
      </c>
      <c r="F1458" s="89" t="str">
        <v/>
      </c>
      <c r="G1458" s="89" t="str">
        <f ca="1"/>
        <v/>
      </c>
    </row>
    <row r="1459" spans="1:7" x14ac:dyDescent="0.3">
      <c r="A1459" s="89" t="str">
        <v/>
      </c>
      <c r="B1459" s="89" t="str">
        <v>Camiones Industriales Motorizados (PIT) (Op. Montacargas)</v>
      </c>
      <c r="C1459" s="90" t="str">
        <v/>
      </c>
      <c r="D1459" s="89" t="str">
        <v>Periódica</v>
      </c>
      <c r="E1459" s="89">
        <v>365</v>
      </c>
      <c r="F1459" s="89" t="str">
        <v/>
      </c>
      <c r="G1459" s="89" t="str">
        <f ca="1"/>
        <v/>
      </c>
    </row>
    <row r="1460" spans="1:7" x14ac:dyDescent="0.3">
      <c r="A1460" s="89" t="str">
        <v/>
      </c>
      <c r="B1460" s="89" t="str">
        <v>Control de Energias Peligrosas (LOTO) (Todos)</v>
      </c>
      <c r="C1460" s="90" t="str">
        <v/>
      </c>
      <c r="D1460" s="89" t="str">
        <v>Evento</v>
      </c>
      <c r="E1460" s="89">
        <v>0</v>
      </c>
      <c r="F1460" s="89" t="str">
        <v/>
      </c>
      <c r="G1460" s="89" t="str">
        <f ca="1"/>
        <v/>
      </c>
    </row>
    <row r="1461" spans="1:7" x14ac:dyDescent="0.3">
      <c r="A1461" s="89" t="str">
        <v/>
      </c>
      <c r="B1461" s="89" t="str">
        <v>Control de Energias Peligrosas (LOTO) (Empleados Autorizados)</v>
      </c>
      <c r="C1461" s="90" t="str">
        <v/>
      </c>
      <c r="D1461" s="89" t="str">
        <v>Periódica</v>
      </c>
      <c r="E1461" s="89">
        <v>365</v>
      </c>
      <c r="F1461" s="89" t="str">
        <v/>
      </c>
      <c r="G1461" s="89" t="str">
        <f ca="1"/>
        <v/>
      </c>
    </row>
    <row r="1462" spans="1:7" x14ac:dyDescent="0.3">
      <c r="A1462" s="89" t="str">
        <v/>
      </c>
      <c r="B1462" s="89" t="str">
        <v>Seguridad aplicada al Pozo &amp; Yacimiento</v>
      </c>
      <c r="C1462" s="90" t="str">
        <v/>
      </c>
      <c r="D1462" s="89" t="str">
        <v>Periódica</v>
      </c>
      <c r="E1462" s="89">
        <v>365</v>
      </c>
      <c r="F1462" s="89" t="str">
        <v/>
      </c>
      <c r="G1462" s="89" t="str">
        <f ca="1"/>
        <v/>
      </c>
    </row>
    <row r="1463" spans="1:7" x14ac:dyDescent="0.3">
      <c r="A1463" s="89" t="str">
        <v/>
      </c>
      <c r="B1463" s="89" t="str">
        <v>Las Reglas que Salvan Vidas</v>
      </c>
      <c r="C1463" s="90" t="str">
        <v/>
      </c>
      <c r="D1463" s="89" t="str">
        <v>Periódica</v>
      </c>
      <c r="E1463" s="89">
        <v>365</v>
      </c>
      <c r="F1463" s="89" t="str">
        <v/>
      </c>
      <c r="G1463" s="89" t="str">
        <f ca="1"/>
        <v/>
      </c>
    </row>
    <row r="1464" spans="1:7" x14ac:dyDescent="0.3">
      <c r="A1464" s="89" t="str">
        <v/>
      </c>
      <c r="B1464" s="89" t="str">
        <v xml:space="preserve">Resguardo de Maquinas &amp; Equipos </v>
      </c>
      <c r="C1464" s="90" t="str">
        <v/>
      </c>
      <c r="D1464" s="89" t="str">
        <v>Periódica</v>
      </c>
      <c r="E1464" s="89">
        <v>365</v>
      </c>
      <c r="F1464" s="89" t="str">
        <v/>
      </c>
      <c r="G1464" s="89" t="str">
        <f ca="1"/>
        <v/>
      </c>
    </row>
    <row r="1465" spans="1:7" x14ac:dyDescent="0.3">
      <c r="A1465" s="89" t="str">
        <v/>
      </c>
      <c r="B1465" s="89" t="str">
        <v>Conduccion y Gestion de Viajes (Todos)</v>
      </c>
      <c r="C1465" s="90" t="str">
        <v/>
      </c>
      <c r="D1465" s="89" t="str">
        <v>Periódica</v>
      </c>
      <c r="E1465" s="89">
        <v>730</v>
      </c>
      <c r="F1465" s="89" t="str">
        <v/>
      </c>
      <c r="G1465" s="89" t="str">
        <f ca="1"/>
        <v/>
      </c>
    </row>
    <row r="1466" spans="1:7" x14ac:dyDescent="0.3">
      <c r="A1466" s="89" t="str">
        <v/>
      </c>
      <c r="B1466" s="89" t="str">
        <v>Conduccion y Gestion de Viajes (Conductores)</v>
      </c>
      <c r="C1466" s="90" t="str">
        <v/>
      </c>
      <c r="D1466" s="89" t="str">
        <v>Periódica</v>
      </c>
      <c r="E1466" s="89">
        <v>1095</v>
      </c>
      <c r="F1466" s="89" t="str">
        <v/>
      </c>
      <c r="G1466" s="89" t="str">
        <f ca="1"/>
        <v/>
      </c>
    </row>
    <row r="1467" spans="1:7" x14ac:dyDescent="0.3">
      <c r="A1467" s="89" t="str">
        <v/>
      </c>
      <c r="B1467" s="89" t="str">
        <v>Patogenos Transmitidos por la Sangre</v>
      </c>
      <c r="C1467" s="90" t="str">
        <v/>
      </c>
      <c r="D1467" s="89" t="str">
        <v>Periódica</v>
      </c>
      <c r="E1467" s="89">
        <v>365</v>
      </c>
      <c r="F1467" s="89" t="str">
        <v/>
      </c>
      <c r="G1467" s="89" t="str">
        <f ca="1"/>
        <v/>
      </c>
    </row>
    <row r="1468" spans="1:7" x14ac:dyDescent="0.3">
      <c r="A1468" s="89" t="str">
        <v/>
      </c>
      <c r="B1468" s="89" t="str">
        <v>Conservacion Auditiva</v>
      </c>
      <c r="C1468" s="90" t="str">
        <v/>
      </c>
      <c r="D1468" s="89" t="str">
        <v>Periódica</v>
      </c>
      <c r="E1468" s="89">
        <v>365</v>
      </c>
      <c r="F1468" s="89" t="str">
        <v/>
      </c>
      <c r="G1468" s="89" t="str">
        <f ca="1"/>
        <v/>
      </c>
    </row>
    <row r="1469" spans="1:7" x14ac:dyDescent="0.3">
      <c r="A1469" s="89" t="str">
        <v/>
      </c>
      <c r="B1469" s="89" t="str">
        <v xml:space="preserve">Ergonomia //  / Levantamiento &amp; Seguridad en la Espalda </v>
      </c>
      <c r="C1469" s="90" t="str">
        <v/>
      </c>
      <c r="D1469" s="89" t="str">
        <v>Periódica</v>
      </c>
      <c r="E1469" s="89">
        <v>365</v>
      </c>
      <c r="F1469" s="89" t="str">
        <v/>
      </c>
      <c r="G1469" s="89" t="str">
        <f ca="1"/>
        <v/>
      </c>
    </row>
    <row r="1470" spans="1:7" x14ac:dyDescent="0.3">
      <c r="A1470" s="89" t="str">
        <v/>
      </c>
      <c r="B1470" s="89" t="str">
        <v>Superficies Elevadas (Todos)</v>
      </c>
      <c r="C1470" s="90" t="str">
        <v/>
      </c>
      <c r="D1470" s="89" t="str">
        <v>Periódica</v>
      </c>
      <c r="E1470" s="89">
        <v>365</v>
      </c>
      <c r="F1470" s="89" t="str">
        <v/>
      </c>
      <c r="G1470" s="89" t="str">
        <f ca="1"/>
        <v/>
      </c>
    </row>
    <row r="1471" spans="1:7" x14ac:dyDescent="0.3">
      <c r="A1471" s="89" t="str">
        <v/>
      </c>
      <c r="B1471" s="89" t="str">
        <v>Superficies Elevadas (Personal Habilitado)</v>
      </c>
      <c r="C1471" s="90" t="str">
        <v/>
      </c>
      <c r="D1471" s="89" t="str">
        <v>Periódica</v>
      </c>
      <c r="E1471" s="89">
        <v>365</v>
      </c>
      <c r="F1471" s="89" t="str">
        <v/>
      </c>
      <c r="G1471" s="89" t="str">
        <f ca="1"/>
        <v/>
      </c>
    </row>
    <row r="1472" spans="1:7" x14ac:dyDescent="0.3">
      <c r="A1472" s="89" t="str">
        <v/>
      </c>
      <c r="B1472" s="89" t="str">
        <v>Seguridad Quimica (Todos)</v>
      </c>
      <c r="C1472" s="90" t="str">
        <v/>
      </c>
      <c r="D1472" s="89" t="str">
        <v>Periódica</v>
      </c>
      <c r="E1472" s="89">
        <v>730</v>
      </c>
      <c r="F1472" s="89" t="str">
        <v/>
      </c>
      <c r="G1472" s="89" t="str">
        <f ca="1"/>
        <v/>
      </c>
    </row>
    <row r="1473" spans="1:7" x14ac:dyDescent="0.3">
      <c r="A1473" s="89" t="str">
        <v/>
      </c>
      <c r="B1473" s="89" t="str">
        <v>Seguridad Quimica (Mantenimiento)</v>
      </c>
      <c r="C1473" s="90" t="str">
        <v/>
      </c>
      <c r="D1473" s="89" t="str">
        <v>Periódica</v>
      </c>
      <c r="E1473" s="89">
        <v>365</v>
      </c>
      <c r="F1473" s="89" t="str">
        <v/>
      </c>
      <c r="G1473" s="89" t="str">
        <f ca="1"/>
        <v/>
      </c>
    </row>
    <row r="1474" spans="1:7" x14ac:dyDescent="0.3">
      <c r="A1474" s="89" t="str">
        <v/>
      </c>
      <c r="B1474" s="89" t="str">
        <v>Seguridad Quimica (Contratistas)</v>
      </c>
      <c r="C1474" s="90" t="str">
        <v/>
      </c>
      <c r="D1474" s="89" t="str">
        <v>Periódica</v>
      </c>
      <c r="E1474" s="89">
        <v>365</v>
      </c>
      <c r="F1474" s="89" t="str">
        <v/>
      </c>
      <c r="G1474" s="89" t="str">
        <f ca="1"/>
        <v/>
      </c>
    </row>
    <row r="1475" spans="1:7" x14ac:dyDescent="0.3">
      <c r="A1475" s="89" t="str">
        <v/>
      </c>
      <c r="B1475" s="89" t="str">
        <v>Seguridad para Trabajos en Caliente</v>
      </c>
      <c r="C1475" s="90" t="str">
        <v/>
      </c>
      <c r="D1475" s="89" t="str">
        <v>Periódica</v>
      </c>
      <c r="E1475" s="89">
        <v>365</v>
      </c>
      <c r="F1475" s="89" t="str">
        <v/>
      </c>
      <c r="G1475" s="89" t="str">
        <f ca="1"/>
        <v/>
      </c>
    </row>
    <row r="1476" spans="1:7" x14ac:dyDescent="0.3">
      <c r="A1476" s="89" t="str">
        <v/>
      </c>
      <c r="B1476" s="89" t="str">
        <v>Seguridad con la Radiacion</v>
      </c>
      <c r="C1476" s="90" t="str">
        <v/>
      </c>
      <c r="D1476" s="89" t="str">
        <v>Periódica</v>
      </c>
      <c r="E1476" s="89">
        <v>365</v>
      </c>
      <c r="F1476" s="89" t="str">
        <v/>
      </c>
      <c r="G1476" s="89" t="str">
        <f ca="1"/>
        <v/>
      </c>
    </row>
    <row r="1477" spans="1:7" x14ac:dyDescent="0.3">
      <c r="A1477" s="89" t="str">
        <v/>
      </c>
      <c r="B1477" s="89" t="str">
        <v>Equipo de Proteccion Personal (PPE)</v>
      </c>
      <c r="C1477" s="90" t="str">
        <v/>
      </c>
      <c r="D1477" s="89" t="str">
        <v>Periódica</v>
      </c>
      <c r="E1477" s="89">
        <v>365</v>
      </c>
      <c r="F1477" s="89" t="str">
        <v/>
      </c>
      <c r="G1477" s="89" t="str">
        <f ca="1"/>
        <v/>
      </c>
    </row>
    <row r="1478" spans="1:7" x14ac:dyDescent="0.3">
      <c r="A1478" s="89" t="str">
        <v/>
      </c>
      <c r="B1478" s="89" t="str">
        <v>Proteccion Respiratoria</v>
      </c>
      <c r="C1478" s="90" t="str">
        <v/>
      </c>
      <c r="D1478" s="89" t="str">
        <v>Periódica</v>
      </c>
      <c r="E1478" s="89">
        <v>365</v>
      </c>
      <c r="F1478" s="89" t="str">
        <v/>
      </c>
      <c r="G1478" s="89" t="str">
        <f ca="1"/>
        <v/>
      </c>
    </row>
    <row r="1479" spans="1:7" x14ac:dyDescent="0.3">
      <c r="A1479" s="89" t="str">
        <v/>
      </c>
      <c r="B1479" s="89" t="str">
        <v xml:space="preserve">Seguridad con Escaleras </v>
      </c>
      <c r="C1479" s="90" t="str">
        <v/>
      </c>
      <c r="D1479" s="89" t="str">
        <v>Periódica</v>
      </c>
      <c r="E1479" s="89">
        <v>365</v>
      </c>
      <c r="F1479" s="89" t="str">
        <v/>
      </c>
      <c r="G1479" s="89" t="str">
        <f ca="1"/>
        <v/>
      </c>
    </row>
    <row r="1480" spans="1:7" x14ac:dyDescent="0.3">
      <c r="A1480" s="89" t="str">
        <v/>
      </c>
      <c r="B1480" s="89" t="str">
        <v>Seguridad con Escaleras // Estantes de Almacenamiento</v>
      </c>
      <c r="C1480" s="90" t="str">
        <v/>
      </c>
      <c r="D1480" s="89" t="str">
        <v>Periódica</v>
      </c>
      <c r="E1480" s="89">
        <v>365</v>
      </c>
      <c r="F1480" s="89" t="str">
        <v/>
      </c>
      <c r="G1480" s="89" t="str">
        <f ca="1"/>
        <v/>
      </c>
    </row>
    <row r="1481" spans="1:7" x14ac:dyDescent="0.3">
      <c r="A1481" s="89" t="str">
        <v/>
      </c>
      <c r="B1481" s="89" t="str">
        <v>Responsabilidades del Supervisor</v>
      </c>
      <c r="C1481" s="90" t="str">
        <v/>
      </c>
      <c r="D1481" s="89" t="str">
        <v>Periódica</v>
      </c>
      <c r="E1481" s="89">
        <v>365</v>
      </c>
      <c r="F1481" s="89" t="str">
        <v/>
      </c>
      <c r="G1481" s="89" t="str">
        <f ca="1"/>
        <v/>
      </c>
    </row>
    <row r="1482" spans="1:7" x14ac:dyDescent="0.3">
      <c r="A1482" s="89" t="str">
        <v/>
      </c>
      <c r="B1482" s="89" t="str">
        <v>Espacios Confinados (Todos)</v>
      </c>
      <c r="C1482" s="90" t="str">
        <v/>
      </c>
      <c r="D1482" s="89" t="str">
        <v>Periódica</v>
      </c>
      <c r="E1482" s="89">
        <v>365</v>
      </c>
      <c r="F1482" s="89" t="str">
        <v/>
      </c>
      <c r="G1482" s="89" t="str">
        <f ca="1"/>
        <v/>
      </c>
    </row>
    <row r="1483" spans="1:7" x14ac:dyDescent="0.3">
      <c r="A1483" s="89" t="str">
        <v/>
      </c>
      <c r="B1483" s="89" t="str">
        <v>HSMS.017 / Espacios Confinados (Entrantes)</v>
      </c>
      <c r="C1483" s="90" t="str">
        <v/>
      </c>
      <c r="D1483" s="89" t="str">
        <v>Evento</v>
      </c>
      <c r="E1483" s="89">
        <v>0</v>
      </c>
      <c r="F1483" s="89" t="str">
        <v/>
      </c>
      <c r="G1483" s="89" t="str">
        <f ca="1"/>
        <v/>
      </c>
    </row>
    <row r="1484" spans="1:7" x14ac:dyDescent="0.3">
      <c r="A1484" s="89" t="str">
        <v/>
      </c>
      <c r="B1484" s="89" t="str">
        <v>Programa de Agua (Todos)</v>
      </c>
      <c r="C1484" s="90" t="str">
        <v/>
      </c>
      <c r="D1484" s="89" t="str">
        <v>Evento</v>
      </c>
      <c r="E1484" s="89">
        <v>0</v>
      </c>
      <c r="F1484" s="89" t="str">
        <v/>
      </c>
      <c r="G1484" s="89" t="str">
        <f ca="1"/>
        <v/>
      </c>
    </row>
    <row r="1485" spans="1:7" x14ac:dyDescent="0.3">
      <c r="A1485" s="89" t="str">
        <v/>
      </c>
      <c r="B1485" s="89" t="str">
        <v>Programa de Agua (HSE)</v>
      </c>
      <c r="C1485" s="90" t="str">
        <v/>
      </c>
      <c r="D1485" s="89" t="str">
        <v>Evento</v>
      </c>
      <c r="E1485" s="89">
        <v>0</v>
      </c>
      <c r="F1485" s="89" t="str">
        <v/>
      </c>
      <c r="G1485" s="89" t="str">
        <f ca="1"/>
        <v/>
      </c>
    </row>
    <row r="1486" spans="1:7" x14ac:dyDescent="0.3">
      <c r="A1486" s="89" t="str">
        <v/>
      </c>
      <c r="B1486" s="89" t="str">
        <v>HIV/SIDA y otras enfermedades de transmisión sexual (ETS)</v>
      </c>
      <c r="C1486" s="90" t="str">
        <v/>
      </c>
      <c r="D1486" s="89" t="str">
        <v>Periódica</v>
      </c>
      <c r="E1486" s="89">
        <v>365</v>
      </c>
      <c r="F1486" s="89" t="str">
        <v/>
      </c>
      <c r="G1486" s="89" t="str">
        <f ca="1"/>
        <v/>
      </c>
    </row>
    <row r="1487" spans="1:7" x14ac:dyDescent="0.3">
      <c r="A1487" s="89" t="str">
        <v/>
      </c>
      <c r="B1487" s="89" t="str">
        <v>Drogas de abuso (concientización y prevención)</v>
      </c>
      <c r="C1487" s="90" t="str">
        <v/>
      </c>
      <c r="D1487" s="89" t="str">
        <v>Periódica</v>
      </c>
      <c r="E1487" s="89">
        <v>365</v>
      </c>
      <c r="F1487" s="89" t="str">
        <v/>
      </c>
      <c r="G1487" s="89" t="str">
        <f ca="1"/>
        <v/>
      </c>
    </row>
    <row r="1488" spans="1:7" x14ac:dyDescent="0.3">
      <c r="A1488" s="89" t="str">
        <v/>
      </c>
      <c r="B1488" s="89" t="str">
        <v>Vida saludable (hábitos, autocuidado y bienestar)</v>
      </c>
      <c r="C1488" s="90" t="str">
        <v/>
      </c>
      <c r="D1488" s="89" t="str">
        <v>Periódica</v>
      </c>
      <c r="E1488" s="89">
        <v>365</v>
      </c>
      <c r="F1488" s="89" t="str">
        <v/>
      </c>
      <c r="G1488" s="89" t="str">
        <f ca="1"/>
        <v/>
      </c>
    </row>
    <row r="1489" spans="1:7" x14ac:dyDescent="0.3">
      <c r="A1489" s="89" t="str">
        <v/>
      </c>
      <c r="B1489" s="89" t="str">
        <v>Primeros auxilios y Reanimación Cardio Pulmonar (RCP)</v>
      </c>
      <c r="C1489" s="90" t="str">
        <v/>
      </c>
      <c r="D1489" s="89" t="str">
        <v>Periódica</v>
      </c>
      <c r="E1489" s="89">
        <v>365</v>
      </c>
      <c r="F1489" s="89" t="str">
        <v/>
      </c>
      <c r="G1489" s="89" t="str">
        <f ca="1"/>
        <v/>
      </c>
    </row>
    <row r="1490" spans="1:7" x14ac:dyDescent="0.3">
      <c r="A1490" s="89" t="str">
        <v/>
      </c>
      <c r="B1490" s="89" t="str">
        <v>Prevención cardiovascular (factores de riesgo y señales de alarma)</v>
      </c>
      <c r="C1490" s="90" t="str">
        <v/>
      </c>
      <c r="D1490" s="89" t="str">
        <v>Periódica</v>
      </c>
      <c r="E1490" s="89">
        <v>365</v>
      </c>
      <c r="F1490" s="89" t="str">
        <v/>
      </c>
      <c r="G1490" s="89" t="str">
        <f ca="1"/>
        <v/>
      </c>
    </row>
    <row r="1491" spans="1:7" x14ac:dyDescent="0.3">
      <c r="A1491" s="89" t="str">
        <v/>
      </c>
      <c r="B1491" s="89" t="str">
        <v>Efectos del tabaco sobre la salud</v>
      </c>
      <c r="C1491" s="90" t="str">
        <v/>
      </c>
      <c r="D1491" s="89" t="str">
        <v>Periódica</v>
      </c>
      <c r="E1491" s="89">
        <v>365</v>
      </c>
      <c r="F1491" s="89" t="str">
        <v/>
      </c>
      <c r="G1491" s="89" t="str">
        <f ca="1"/>
        <v/>
      </c>
    </row>
    <row r="1492" spans="1:7" x14ac:dyDescent="0.3">
      <c r="A1492" s="89" t="str">
        <v/>
      </c>
      <c r="B1492" s="89" t="str">
        <v>Cargadora (Op. Montacargas)</v>
      </c>
      <c r="C1492" s="90" t="str">
        <v/>
      </c>
      <c r="D1492" s="89" t="str">
        <v>Periódica</v>
      </c>
      <c r="E1492" s="89">
        <v>365</v>
      </c>
      <c r="F1492" s="89" t="str">
        <v/>
      </c>
      <c r="G1492" s="89" t="str">
        <f ca="1"/>
        <v/>
      </c>
    </row>
    <row r="1493" spans="1:7" x14ac:dyDescent="0.3">
      <c r="A1493" s="89" t="str">
        <v/>
      </c>
      <c r="B1493" s="89">
        <v>0</v>
      </c>
      <c r="C1493" s="90" t="str">
        <v/>
      </c>
      <c r="D1493" s="89" t="str">
        <v/>
      </c>
      <c r="E1493" s="89" t="str">
        <v/>
      </c>
      <c r="F1493" s="89" t="str">
        <v/>
      </c>
      <c r="G1493" s="89" t="str">
        <f ca="1"/>
        <v/>
      </c>
    </row>
    <row r="1494" spans="1:7" x14ac:dyDescent="0.3">
      <c r="A1494" s="89" t="str">
        <v/>
      </c>
      <c r="B1494" s="89">
        <v>0</v>
      </c>
      <c r="C1494" s="90" t="str">
        <v/>
      </c>
      <c r="D1494" s="89" t="str">
        <v/>
      </c>
      <c r="E1494" s="89" t="str">
        <v/>
      </c>
      <c r="F1494" s="89" t="str">
        <v/>
      </c>
      <c r="G1494" s="89" t="str">
        <f ca="1"/>
        <v/>
      </c>
    </row>
    <row r="1495" spans="1:7" x14ac:dyDescent="0.3">
      <c r="A1495" s="89" t="str">
        <v/>
      </c>
      <c r="B1495" s="89">
        <v>0</v>
      </c>
      <c r="C1495" s="90" t="str">
        <v/>
      </c>
      <c r="D1495" s="89" t="str">
        <v/>
      </c>
      <c r="E1495" s="89" t="str">
        <v/>
      </c>
      <c r="F1495" s="89" t="str">
        <v/>
      </c>
      <c r="G1495" s="89" t="str">
        <f ca="1"/>
        <v/>
      </c>
    </row>
    <row r="1496" spans="1:7" x14ac:dyDescent="0.3">
      <c r="A1496" s="89" t="str">
        <v/>
      </c>
      <c r="B1496" s="89">
        <v>0</v>
      </c>
      <c r="C1496" s="90" t="str">
        <v/>
      </c>
      <c r="D1496" s="89" t="str">
        <v/>
      </c>
      <c r="E1496" s="89" t="str">
        <v/>
      </c>
      <c r="F1496" s="89" t="str">
        <v/>
      </c>
      <c r="G1496" s="89" t="str">
        <f ca="1"/>
        <v/>
      </c>
    </row>
    <row r="1497" spans="1:7" x14ac:dyDescent="0.3">
      <c r="A1497" s="89" t="str">
        <v/>
      </c>
      <c r="B1497" s="89">
        <v>0</v>
      </c>
      <c r="C1497" s="90" t="str">
        <v/>
      </c>
      <c r="D1497" s="89" t="str">
        <v/>
      </c>
      <c r="E1497" s="89" t="str">
        <v/>
      </c>
      <c r="F1497" s="89" t="str">
        <v/>
      </c>
      <c r="G1497" s="89" t="str">
        <f ca="1"/>
        <v/>
      </c>
    </row>
    <row r="1498" spans="1:7" x14ac:dyDescent="0.3">
      <c r="A1498" s="89" t="str">
        <v/>
      </c>
      <c r="B1498" s="89">
        <v>0</v>
      </c>
      <c r="C1498" s="90" t="str">
        <v/>
      </c>
      <c r="D1498" s="89" t="str">
        <v/>
      </c>
      <c r="E1498" s="89" t="str">
        <v/>
      </c>
      <c r="F1498" s="89" t="str">
        <v/>
      </c>
      <c r="G1498" s="89" t="str">
        <f ca="1"/>
        <v/>
      </c>
    </row>
    <row r="1499" spans="1:7" x14ac:dyDescent="0.3">
      <c r="A1499" s="89" t="str">
        <v/>
      </c>
      <c r="B1499" s="89">
        <v>0</v>
      </c>
      <c r="C1499" s="90" t="str">
        <v/>
      </c>
      <c r="D1499" s="89" t="str">
        <v/>
      </c>
      <c r="E1499" s="89" t="str">
        <v/>
      </c>
      <c r="F1499" s="89" t="str">
        <v/>
      </c>
      <c r="G1499" s="89" t="str">
        <f ca="1"/>
        <v/>
      </c>
    </row>
    <row r="1500" spans="1:7" x14ac:dyDescent="0.3">
      <c r="A1500" s="89" t="str">
        <v/>
      </c>
      <c r="B1500" s="89">
        <v>0</v>
      </c>
      <c r="C1500" s="90" t="str">
        <v/>
      </c>
      <c r="D1500" s="89" t="str">
        <v/>
      </c>
      <c r="E1500" s="89" t="str">
        <v/>
      </c>
      <c r="F1500" s="89" t="str">
        <v/>
      </c>
      <c r="G1500" s="89" t="str">
        <f ca="1"/>
        <v/>
      </c>
    </row>
    <row r="1501" spans="1:7" x14ac:dyDescent="0.3">
      <c r="A1501" s="89" t="str">
        <v/>
      </c>
      <c r="B1501" s="89">
        <v>0</v>
      </c>
      <c r="C1501" s="90" t="str">
        <v/>
      </c>
      <c r="D1501" s="89" t="str">
        <v/>
      </c>
      <c r="E1501" s="89" t="str">
        <v/>
      </c>
      <c r="F1501" s="89" t="str">
        <v/>
      </c>
      <c r="G1501" s="89" t="str">
        <f ca="1"/>
        <v/>
      </c>
    </row>
    <row r="1502" spans="1:7" x14ac:dyDescent="0.3">
      <c r="A1502" s="89" t="str">
        <v/>
      </c>
      <c r="B1502" s="89" t="str">
        <v>Programa de Aire</v>
      </c>
      <c r="C1502" s="90" t="str">
        <v/>
      </c>
      <c r="D1502" s="89" t="str">
        <v>Evento</v>
      </c>
      <c r="E1502" s="89">
        <v>0</v>
      </c>
      <c r="F1502" s="89" t="str">
        <v/>
      </c>
      <c r="G1502" s="89" t="str">
        <f ca="1"/>
        <v/>
      </c>
    </row>
    <row r="1503" spans="1:7" x14ac:dyDescent="0.3">
      <c r="A1503" s="89" t="str">
        <v/>
      </c>
      <c r="B1503" s="89" t="str">
        <v>Conciencia Ambiental</v>
      </c>
      <c r="C1503" s="90" t="str">
        <v/>
      </c>
      <c r="D1503" s="89" t="str">
        <v>Periódica</v>
      </c>
      <c r="E1503" s="89">
        <v>365</v>
      </c>
      <c r="F1503" s="89" t="str">
        <v/>
      </c>
      <c r="G1503" s="89" t="str">
        <f ca="1"/>
        <v/>
      </c>
    </row>
    <row r="1504" spans="1:7" x14ac:dyDescent="0.3">
      <c r="A1504" s="89" t="str">
        <v/>
      </c>
      <c r="B1504" s="89" t="str">
        <v xml:space="preserve">Control de Documentos e Informacion de HSE </v>
      </c>
      <c r="C1504" s="90" t="str">
        <v/>
      </c>
      <c r="D1504" s="89" t="str">
        <v>Evento</v>
      </c>
      <c r="E1504" s="89">
        <v>0</v>
      </c>
      <c r="F1504" s="89" t="str">
        <v/>
      </c>
      <c r="G1504" s="89" t="str">
        <f ca="1"/>
        <v/>
      </c>
    </row>
    <row r="1505" spans="1:7" x14ac:dyDescent="0.3">
      <c r="A1505" s="89" t="str">
        <v/>
      </c>
      <c r="B1505" s="89" t="str">
        <v xml:space="preserve"> Acciones Correctivas y Preventivas (CAPA)</v>
      </c>
      <c r="C1505" s="90" t="str">
        <v/>
      </c>
      <c r="D1505" s="89" t="str">
        <v>Evento</v>
      </c>
      <c r="E1505" s="89">
        <v>0</v>
      </c>
      <c r="F1505" s="89" t="str">
        <v/>
      </c>
      <c r="G1505" s="89" t="str">
        <f ca="1"/>
        <v/>
      </c>
    </row>
    <row r="1506" spans="1:7" x14ac:dyDescent="0.3">
      <c r="A1506" s="89" t="str">
        <v/>
      </c>
      <c r="B1506" s="89" t="str">
        <v>Seguridad Basada en el Comportamiento (Observation Program) // HSMS.043 / Autoridad de Detener el Trabajo</v>
      </c>
      <c r="C1506" s="90" t="str">
        <v/>
      </c>
      <c r="D1506" s="89" t="str">
        <v>Periódica</v>
      </c>
      <c r="E1506" s="89">
        <v>365</v>
      </c>
      <c r="F1506" s="89" t="str">
        <v/>
      </c>
      <c r="G1506" s="89" t="str">
        <f ca="1"/>
        <v/>
      </c>
    </row>
    <row r="1507" spans="1:7" x14ac:dyDescent="0.3">
      <c r="A1507" s="89" t="str">
        <v/>
      </c>
      <c r="B1507" s="89" t="str">
        <v>Identificacion de Peligros y Evaluacion de Riesgos</v>
      </c>
      <c r="C1507" s="90" t="str">
        <v/>
      </c>
      <c r="D1507" s="89" t="str">
        <v>Evento</v>
      </c>
      <c r="E1507" s="89">
        <v>0</v>
      </c>
      <c r="F1507" s="89" t="str">
        <v/>
      </c>
      <c r="G1507" s="89" t="str">
        <f ca="1"/>
        <v/>
      </c>
    </row>
    <row r="1508" spans="1:7" x14ac:dyDescent="0.3">
      <c r="A1508" s="89" t="str">
        <v/>
      </c>
      <c r="B1508" s="89" t="str">
        <v xml:space="preserve"> Plan de Respuesta ante Eemergencias / HSMS.010 /Primeros Axulios &amp; RCP/DEA / HSMSWT-002 / Patogenos Trasnmitidos por la Sangre</v>
      </c>
      <c r="C1508" s="90" t="str">
        <v/>
      </c>
      <c r="D1508" s="89" t="str">
        <v>Periódica</v>
      </c>
      <c r="E1508" s="89">
        <v>365</v>
      </c>
      <c r="F1508" s="89" t="str">
        <v/>
      </c>
      <c r="G1508" s="89" t="str">
        <f ca="1"/>
        <v/>
      </c>
    </row>
    <row r="1509" spans="1:7" x14ac:dyDescent="0.3">
      <c r="A1509" s="89" t="str">
        <v/>
      </c>
      <c r="B1509" s="89" t="str">
        <v>Reporte y Gestion de Incidentes HSE (Todos)</v>
      </c>
      <c r="C1509" s="90" t="str">
        <v/>
      </c>
      <c r="D1509" s="89" t="str">
        <v>Periódica</v>
      </c>
      <c r="E1509" s="89">
        <v>365</v>
      </c>
      <c r="F1509" s="89" t="str">
        <v/>
      </c>
      <c r="G1509" s="89" t="str">
        <f ca="1"/>
        <v/>
      </c>
    </row>
    <row r="1510" spans="1:7" x14ac:dyDescent="0.3">
      <c r="A1510" s="89" t="str">
        <v/>
      </c>
      <c r="B1510" s="89" t="str">
        <v>Reporte, Gestion e Investigacion de Incidentes HSE (supervisores / investigadores (rol))</v>
      </c>
      <c r="C1510" s="90" t="str">
        <v/>
      </c>
      <c r="D1510" s="89" t="str">
        <v>Periódica</v>
      </c>
      <c r="E1510" s="89">
        <v>1095</v>
      </c>
      <c r="F1510" s="89" t="str">
        <v/>
      </c>
      <c r="G1510" s="89" t="str">
        <f ca="1"/>
        <v/>
      </c>
    </row>
    <row r="1511" spans="1:7" x14ac:dyDescent="0.3">
      <c r="A1511" s="89" t="str">
        <v/>
      </c>
      <c r="B1511" s="89" t="str">
        <v>Gruas y Equipos de Izaje (Todos)</v>
      </c>
      <c r="C1511" s="90" t="str">
        <v/>
      </c>
      <c r="D1511" s="89" t="str">
        <v>Periódica</v>
      </c>
      <c r="E1511" s="89">
        <v>365</v>
      </c>
      <c r="F1511" s="89" t="str">
        <v/>
      </c>
      <c r="G1511" s="89" t="str">
        <f ca="1"/>
        <v/>
      </c>
    </row>
    <row r="1512" spans="1:7" x14ac:dyDescent="0.3">
      <c r="A1512" s="89" t="str">
        <v/>
      </c>
      <c r="B1512" s="89" t="str">
        <v>HSMS.007 / Gruas y Equipos de Izaje (Operadores)</v>
      </c>
      <c r="C1512" s="90" t="str">
        <v/>
      </c>
      <c r="D1512" s="89" t="str">
        <v>Periódica</v>
      </c>
      <c r="E1512" s="89">
        <v>365</v>
      </c>
      <c r="F1512" s="89" t="str">
        <v/>
      </c>
      <c r="G1512" s="89" t="str">
        <f ca="1"/>
        <v/>
      </c>
    </row>
    <row r="1513" spans="1:7" x14ac:dyDescent="0.3">
      <c r="A1513" s="89" t="str">
        <v/>
      </c>
      <c r="B1513" s="89" t="str">
        <v>Proteccion Contra Incendios (Todos)</v>
      </c>
      <c r="C1513" s="90" t="str">
        <v/>
      </c>
      <c r="D1513" s="89" t="str">
        <v>Periódica</v>
      </c>
      <c r="E1513" s="89">
        <v>365</v>
      </c>
      <c r="F1513" s="89" t="str">
        <v/>
      </c>
      <c r="G1513" s="89" t="str">
        <f ca="1"/>
        <v/>
      </c>
    </row>
    <row r="1514" spans="1:7" x14ac:dyDescent="0.3">
      <c r="A1514" s="89" t="str">
        <v/>
      </c>
      <c r="B1514" s="89" t="str">
        <v>Proteccion Contra Incendios (Brigadistas)</v>
      </c>
      <c r="C1514" s="90" t="str">
        <v/>
      </c>
      <c r="D1514" s="89" t="str">
        <v>Periódica</v>
      </c>
      <c r="E1514" s="89">
        <v>365</v>
      </c>
      <c r="F1514" s="89" t="str">
        <v/>
      </c>
      <c r="G1514" s="89" t="str">
        <f ca="1"/>
        <v/>
      </c>
    </row>
    <row r="1515" spans="1:7" x14ac:dyDescent="0.3">
      <c r="A1515" s="89" t="str">
        <v/>
      </c>
      <c r="B1515" s="89" t="str">
        <v>Primeros Auxilios (Brigadistas)</v>
      </c>
      <c r="C1515" s="90" t="str">
        <v/>
      </c>
      <c r="D1515" s="89" t="str">
        <v>Periódica</v>
      </c>
      <c r="E1515" s="89">
        <v>365</v>
      </c>
      <c r="F1515" s="89" t="str">
        <v/>
      </c>
      <c r="G1515" s="89" t="str">
        <f ca="1"/>
        <v/>
      </c>
    </row>
    <row r="1516" spans="1:7" x14ac:dyDescent="0.3">
      <c r="A1516" s="89" t="str">
        <v/>
      </c>
      <c r="B1516" s="89" t="str">
        <v>Seguridad Electrica (Todos)</v>
      </c>
      <c r="C1516" s="90" t="str">
        <v/>
      </c>
      <c r="D1516" s="89" t="str">
        <v>Periódica</v>
      </c>
      <c r="E1516" s="89">
        <v>365</v>
      </c>
      <c r="F1516" s="89" t="str">
        <v/>
      </c>
      <c r="G1516" s="89" t="str">
        <f ca="1"/>
        <v/>
      </c>
    </row>
    <row r="1517" spans="1:7" x14ac:dyDescent="0.3">
      <c r="A1517" s="89" t="str">
        <v/>
      </c>
      <c r="B1517" s="89" t="str">
        <v>Seguridad Electrica (Personal Autorizado)</v>
      </c>
      <c r="C1517" s="90" t="str">
        <v/>
      </c>
      <c r="D1517" s="89" t="str">
        <v>Periódica</v>
      </c>
      <c r="E1517" s="89">
        <v>1095</v>
      </c>
      <c r="F1517" s="89" t="str">
        <v/>
      </c>
      <c r="G1517" s="89" t="str">
        <f ca="1"/>
        <v/>
      </c>
    </row>
    <row r="1518" spans="1:7" x14ac:dyDescent="0.3">
      <c r="A1518" s="89" t="str">
        <v/>
      </c>
      <c r="B1518" s="89" t="str">
        <v>Camiones Industriales Motorizados (PIT) (Todos)</v>
      </c>
      <c r="C1518" s="90" t="str">
        <v/>
      </c>
      <c r="D1518" s="89" t="str">
        <v>Periódica</v>
      </c>
      <c r="E1518" s="89">
        <v>365</v>
      </c>
      <c r="F1518" s="89" t="str">
        <v/>
      </c>
      <c r="G1518" s="89" t="str">
        <f ca="1"/>
        <v/>
      </c>
    </row>
    <row r="1519" spans="1:7" x14ac:dyDescent="0.3">
      <c r="A1519" s="89" t="str">
        <v/>
      </c>
      <c r="B1519" s="89" t="str">
        <v>Camiones Industriales Motorizados (PIT) (Op. Montacargas)</v>
      </c>
      <c r="C1519" s="90" t="str">
        <v/>
      </c>
      <c r="D1519" s="89" t="str">
        <v>Periódica</v>
      </c>
      <c r="E1519" s="89">
        <v>365</v>
      </c>
      <c r="F1519" s="89" t="str">
        <v/>
      </c>
      <c r="G1519" s="89" t="str">
        <f ca="1"/>
        <v/>
      </c>
    </row>
    <row r="1520" spans="1:7" x14ac:dyDescent="0.3">
      <c r="A1520" s="89" t="str">
        <v/>
      </c>
      <c r="B1520" s="89" t="str">
        <v>Control de Energias Peligrosas (LOTO) (Todos)</v>
      </c>
      <c r="C1520" s="90" t="str">
        <v/>
      </c>
      <c r="D1520" s="89" t="str">
        <v>Evento</v>
      </c>
      <c r="E1520" s="89">
        <v>0</v>
      </c>
      <c r="F1520" s="89" t="str">
        <v/>
      </c>
      <c r="G1520" s="89" t="str">
        <f ca="1"/>
        <v/>
      </c>
    </row>
    <row r="1521" spans="1:7" x14ac:dyDescent="0.3">
      <c r="A1521" s="89" t="str">
        <v/>
      </c>
      <c r="B1521" s="89" t="str">
        <v>Control de Energias Peligrosas (LOTO) (Empleados Autorizados)</v>
      </c>
      <c r="C1521" s="90" t="str">
        <v/>
      </c>
      <c r="D1521" s="89" t="str">
        <v>Periódica</v>
      </c>
      <c r="E1521" s="89">
        <v>365</v>
      </c>
      <c r="F1521" s="89" t="str">
        <v/>
      </c>
      <c r="G1521" s="89" t="str">
        <f ca="1"/>
        <v/>
      </c>
    </row>
    <row r="1522" spans="1:7" x14ac:dyDescent="0.3">
      <c r="A1522" s="89" t="str">
        <v/>
      </c>
      <c r="B1522" s="89" t="str">
        <v>Seguridad aplicada al Pozo &amp; Yacimiento</v>
      </c>
      <c r="C1522" s="90" t="str">
        <v/>
      </c>
      <c r="D1522" s="89" t="str">
        <v>Periódica</v>
      </c>
      <c r="E1522" s="89">
        <v>365</v>
      </c>
      <c r="F1522" s="89" t="str">
        <v/>
      </c>
      <c r="G1522" s="89" t="str">
        <f ca="1"/>
        <v/>
      </c>
    </row>
    <row r="1523" spans="1:7" x14ac:dyDescent="0.3">
      <c r="A1523" s="89" t="str">
        <v/>
      </c>
      <c r="B1523" s="89" t="str">
        <v>Las Reglas que Salvan Vidas</v>
      </c>
      <c r="C1523" s="90" t="str">
        <v/>
      </c>
      <c r="D1523" s="89" t="str">
        <v>Periódica</v>
      </c>
      <c r="E1523" s="89">
        <v>365</v>
      </c>
      <c r="F1523" s="89" t="str">
        <v/>
      </c>
      <c r="G1523" s="89" t="str">
        <f ca="1"/>
        <v/>
      </c>
    </row>
    <row r="1524" spans="1:7" x14ac:dyDescent="0.3">
      <c r="A1524" s="89" t="str">
        <v/>
      </c>
      <c r="B1524" s="89" t="str">
        <v xml:space="preserve">Resguardo de Maquinas &amp; Equipos </v>
      </c>
      <c r="C1524" s="90" t="str">
        <v/>
      </c>
      <c r="D1524" s="89" t="str">
        <v>Periódica</v>
      </c>
      <c r="E1524" s="89">
        <v>365</v>
      </c>
      <c r="F1524" s="89" t="str">
        <v/>
      </c>
      <c r="G1524" s="89" t="str">
        <f ca="1"/>
        <v/>
      </c>
    </row>
    <row r="1525" spans="1:7" x14ac:dyDescent="0.3">
      <c r="A1525" s="89" t="str">
        <v/>
      </c>
      <c r="B1525" s="89" t="str">
        <v>Conduccion y Gestion de Viajes (Todos)</v>
      </c>
      <c r="C1525" s="90" t="str">
        <v/>
      </c>
      <c r="D1525" s="89" t="str">
        <v>Periódica</v>
      </c>
      <c r="E1525" s="89">
        <v>730</v>
      </c>
      <c r="F1525" s="89" t="str">
        <v/>
      </c>
      <c r="G1525" s="89" t="str">
        <f ca="1"/>
        <v/>
      </c>
    </row>
    <row r="1526" spans="1:7" x14ac:dyDescent="0.3">
      <c r="A1526" s="89" t="str">
        <v/>
      </c>
      <c r="B1526" s="89" t="str">
        <v>Conduccion y Gestion de Viajes (Conductores)</v>
      </c>
      <c r="C1526" s="90" t="str">
        <v/>
      </c>
      <c r="D1526" s="89" t="str">
        <v>Periódica</v>
      </c>
      <c r="E1526" s="89">
        <v>1095</v>
      </c>
      <c r="F1526" s="89" t="str">
        <v/>
      </c>
      <c r="G1526" s="89" t="str">
        <f ca="1"/>
        <v/>
      </c>
    </row>
    <row r="1527" spans="1:7" x14ac:dyDescent="0.3">
      <c r="A1527" s="89" t="str">
        <v/>
      </c>
      <c r="B1527" s="89" t="str">
        <v>Patogenos Transmitidos por la Sangre</v>
      </c>
      <c r="C1527" s="90" t="str">
        <v/>
      </c>
      <c r="D1527" s="89" t="str">
        <v>Periódica</v>
      </c>
      <c r="E1527" s="89">
        <v>365</v>
      </c>
      <c r="F1527" s="89" t="str">
        <v/>
      </c>
      <c r="G1527" s="89" t="str">
        <f ca="1"/>
        <v/>
      </c>
    </row>
    <row r="1528" spans="1:7" x14ac:dyDescent="0.3">
      <c r="A1528" s="89" t="str">
        <v/>
      </c>
      <c r="B1528" s="89" t="str">
        <v>Conservacion Auditiva</v>
      </c>
      <c r="C1528" s="90" t="str">
        <v/>
      </c>
      <c r="D1528" s="89" t="str">
        <v>Periódica</v>
      </c>
      <c r="E1528" s="89">
        <v>365</v>
      </c>
      <c r="F1528" s="89" t="str">
        <v/>
      </c>
      <c r="G1528" s="89" t="str">
        <f ca="1"/>
        <v/>
      </c>
    </row>
    <row r="1529" spans="1:7" x14ac:dyDescent="0.3">
      <c r="A1529" s="89" t="str">
        <v/>
      </c>
      <c r="B1529" s="89" t="str">
        <v xml:space="preserve">Ergonomia //  / Levantamiento &amp; Seguridad en la Espalda </v>
      </c>
      <c r="C1529" s="90" t="str">
        <v/>
      </c>
      <c r="D1529" s="89" t="str">
        <v>Periódica</v>
      </c>
      <c r="E1529" s="89">
        <v>365</v>
      </c>
      <c r="F1529" s="89" t="str">
        <v/>
      </c>
      <c r="G1529" s="89" t="str">
        <f ca="1"/>
        <v/>
      </c>
    </row>
    <row r="1530" spans="1:7" x14ac:dyDescent="0.3">
      <c r="A1530" s="89" t="str">
        <v/>
      </c>
      <c r="B1530" s="89" t="str">
        <v>Superficies Elevadas (Todos)</v>
      </c>
      <c r="C1530" s="90" t="str">
        <v/>
      </c>
      <c r="D1530" s="89" t="str">
        <v>Periódica</v>
      </c>
      <c r="E1530" s="89">
        <v>365</v>
      </c>
      <c r="F1530" s="89" t="str">
        <v/>
      </c>
      <c r="G1530" s="89" t="str">
        <f ca="1"/>
        <v/>
      </c>
    </row>
    <row r="1531" spans="1:7" x14ac:dyDescent="0.3">
      <c r="A1531" s="89" t="str">
        <v/>
      </c>
      <c r="B1531" s="89" t="str">
        <v>Superficies Elevadas (Personal Habilitado)</v>
      </c>
      <c r="C1531" s="90" t="str">
        <v/>
      </c>
      <c r="D1531" s="89" t="str">
        <v>Periódica</v>
      </c>
      <c r="E1531" s="89">
        <v>365</v>
      </c>
      <c r="F1531" s="89" t="str">
        <v/>
      </c>
      <c r="G1531" s="89" t="str">
        <f ca="1"/>
        <v/>
      </c>
    </row>
    <row r="1532" spans="1:7" x14ac:dyDescent="0.3">
      <c r="A1532" s="89" t="str">
        <v/>
      </c>
      <c r="B1532" s="89" t="str">
        <v>Seguridad Quimica (Todos)</v>
      </c>
      <c r="C1532" s="90" t="str">
        <v/>
      </c>
      <c r="D1532" s="89" t="str">
        <v>Periódica</v>
      </c>
      <c r="E1532" s="89">
        <v>730</v>
      </c>
      <c r="F1532" s="89" t="str">
        <v/>
      </c>
      <c r="G1532" s="89" t="str">
        <f ca="1"/>
        <v/>
      </c>
    </row>
    <row r="1533" spans="1:7" x14ac:dyDescent="0.3">
      <c r="A1533" s="89" t="str">
        <v/>
      </c>
      <c r="B1533" s="89" t="str">
        <v>Seguridad Quimica (Mantenimiento)</v>
      </c>
      <c r="C1533" s="90" t="str">
        <v/>
      </c>
      <c r="D1533" s="89" t="str">
        <v>Periódica</v>
      </c>
      <c r="E1533" s="89">
        <v>365</v>
      </c>
      <c r="F1533" s="89" t="str">
        <v/>
      </c>
      <c r="G1533" s="89" t="str">
        <f ca="1"/>
        <v/>
      </c>
    </row>
    <row r="1534" spans="1:7" x14ac:dyDescent="0.3">
      <c r="A1534" s="89" t="str">
        <v/>
      </c>
      <c r="B1534" s="89" t="str">
        <v>Seguridad Quimica (Contratistas)</v>
      </c>
      <c r="C1534" s="90" t="str">
        <v/>
      </c>
      <c r="D1534" s="89" t="str">
        <v>Periódica</v>
      </c>
      <c r="E1534" s="89">
        <v>365</v>
      </c>
      <c r="F1534" s="89" t="str">
        <v/>
      </c>
      <c r="G1534" s="89" t="str">
        <f ca="1"/>
        <v/>
      </c>
    </row>
    <row r="1535" spans="1:7" x14ac:dyDescent="0.3">
      <c r="A1535" s="89" t="str">
        <v/>
      </c>
      <c r="B1535" s="89" t="str">
        <v>Seguridad para Trabajos en Caliente</v>
      </c>
      <c r="C1535" s="90" t="str">
        <v/>
      </c>
      <c r="D1535" s="89" t="str">
        <v>Periódica</v>
      </c>
      <c r="E1535" s="89">
        <v>365</v>
      </c>
      <c r="F1535" s="89" t="str">
        <v/>
      </c>
      <c r="G1535" s="89" t="str">
        <f ca="1"/>
        <v/>
      </c>
    </row>
    <row r="1536" spans="1:7" x14ac:dyDescent="0.3">
      <c r="A1536" s="89" t="str">
        <v/>
      </c>
      <c r="B1536" s="89" t="str">
        <v>Seguridad con la Radiacion</v>
      </c>
      <c r="C1536" s="90" t="str">
        <v/>
      </c>
      <c r="D1536" s="89" t="str">
        <v>Periódica</v>
      </c>
      <c r="E1536" s="89">
        <v>365</v>
      </c>
      <c r="F1536" s="89" t="str">
        <v/>
      </c>
      <c r="G1536" s="89" t="str">
        <f ca="1"/>
        <v/>
      </c>
    </row>
    <row r="1537" spans="1:7" x14ac:dyDescent="0.3">
      <c r="A1537" s="89" t="str">
        <v/>
      </c>
      <c r="B1537" s="89" t="str">
        <v>Equipo de Proteccion Personal (PPE)</v>
      </c>
      <c r="C1537" s="90" t="str">
        <v/>
      </c>
      <c r="D1537" s="89" t="str">
        <v>Periódica</v>
      </c>
      <c r="E1537" s="89">
        <v>365</v>
      </c>
      <c r="F1537" s="89" t="str">
        <v/>
      </c>
      <c r="G1537" s="89" t="str">
        <f ca="1"/>
        <v/>
      </c>
    </row>
    <row r="1538" spans="1:7" x14ac:dyDescent="0.3">
      <c r="A1538" s="89" t="str">
        <v/>
      </c>
      <c r="B1538" s="89" t="str">
        <v>Proteccion Respiratoria</v>
      </c>
      <c r="C1538" s="90" t="str">
        <v/>
      </c>
      <c r="D1538" s="89" t="str">
        <v>Periódica</v>
      </c>
      <c r="E1538" s="89">
        <v>365</v>
      </c>
      <c r="F1538" s="89" t="str">
        <v/>
      </c>
      <c r="G1538" s="89" t="str">
        <f ca="1"/>
        <v/>
      </c>
    </row>
    <row r="1539" spans="1:7" x14ac:dyDescent="0.3">
      <c r="A1539" s="89" t="str">
        <v/>
      </c>
      <c r="B1539" s="89" t="str">
        <v xml:space="preserve">Seguridad con Escaleras </v>
      </c>
      <c r="C1539" s="90" t="str">
        <v/>
      </c>
      <c r="D1539" s="89" t="str">
        <v>Periódica</v>
      </c>
      <c r="E1539" s="89">
        <v>365</v>
      </c>
      <c r="F1539" s="89" t="str">
        <v/>
      </c>
      <c r="G1539" s="89" t="str">
        <f ca="1"/>
        <v/>
      </c>
    </row>
    <row r="1540" spans="1:7" x14ac:dyDescent="0.3">
      <c r="A1540" s="89" t="str">
        <v/>
      </c>
      <c r="B1540" s="89" t="str">
        <v>Seguridad con Escaleras // Estantes de Almacenamiento</v>
      </c>
      <c r="C1540" s="90" t="str">
        <v/>
      </c>
      <c r="D1540" s="89" t="str">
        <v>Periódica</v>
      </c>
      <c r="E1540" s="89">
        <v>365</v>
      </c>
      <c r="F1540" s="89" t="str">
        <v/>
      </c>
      <c r="G1540" s="89" t="str">
        <f ca="1"/>
        <v/>
      </c>
    </row>
    <row r="1541" spans="1:7" x14ac:dyDescent="0.3">
      <c r="A1541" s="89" t="str">
        <v/>
      </c>
      <c r="B1541" s="89" t="str">
        <v>Responsabilidades del Supervisor</v>
      </c>
      <c r="C1541" s="90" t="str">
        <v/>
      </c>
      <c r="D1541" s="89" t="str">
        <v>Periódica</v>
      </c>
      <c r="E1541" s="89">
        <v>365</v>
      </c>
      <c r="F1541" s="89" t="str">
        <v/>
      </c>
      <c r="G1541" s="89" t="str">
        <f ca="1"/>
        <v/>
      </c>
    </row>
    <row r="1542" spans="1:7" x14ac:dyDescent="0.3">
      <c r="A1542" s="89" t="str">
        <v/>
      </c>
      <c r="B1542" s="89" t="str">
        <v>Espacios Confinados (Todos)</v>
      </c>
      <c r="C1542" s="90" t="str">
        <v/>
      </c>
      <c r="D1542" s="89" t="str">
        <v>Periódica</v>
      </c>
      <c r="E1542" s="89">
        <v>365</v>
      </c>
      <c r="F1542" s="89" t="str">
        <v/>
      </c>
      <c r="G1542" s="89" t="str">
        <f ca="1"/>
        <v/>
      </c>
    </row>
    <row r="1543" spans="1:7" x14ac:dyDescent="0.3">
      <c r="A1543" s="89" t="str">
        <v/>
      </c>
      <c r="B1543" s="89" t="str">
        <v>HSMS.017 / Espacios Confinados (Entrantes)</v>
      </c>
      <c r="C1543" s="90" t="str">
        <v/>
      </c>
      <c r="D1543" s="89" t="str">
        <v>Evento</v>
      </c>
      <c r="E1543" s="89">
        <v>0</v>
      </c>
      <c r="F1543" s="89" t="str">
        <v/>
      </c>
      <c r="G1543" s="89" t="str">
        <f ca="1"/>
        <v/>
      </c>
    </row>
    <row r="1544" spans="1:7" x14ac:dyDescent="0.3">
      <c r="A1544" s="89" t="str">
        <v/>
      </c>
      <c r="B1544" s="89" t="str">
        <v>Programa de Agua (Todos)</v>
      </c>
      <c r="C1544" s="90" t="str">
        <v/>
      </c>
      <c r="D1544" s="89" t="str">
        <v>Evento</v>
      </c>
      <c r="E1544" s="89">
        <v>0</v>
      </c>
      <c r="F1544" s="89" t="str">
        <v/>
      </c>
      <c r="G1544" s="89" t="str">
        <f ca="1"/>
        <v/>
      </c>
    </row>
    <row r="1545" spans="1:7" x14ac:dyDescent="0.3">
      <c r="A1545" s="89" t="str">
        <v/>
      </c>
      <c r="B1545" s="89" t="str">
        <v>Programa de Agua (HSE)</v>
      </c>
      <c r="C1545" s="90" t="str">
        <v/>
      </c>
      <c r="D1545" s="89" t="str">
        <v>Evento</v>
      </c>
      <c r="E1545" s="89">
        <v>0</v>
      </c>
      <c r="F1545" s="89" t="str">
        <v/>
      </c>
      <c r="G1545" s="89" t="str">
        <f ca="1"/>
        <v/>
      </c>
    </row>
    <row r="1546" spans="1:7" x14ac:dyDescent="0.3">
      <c r="A1546" s="89" t="str">
        <v/>
      </c>
      <c r="B1546" s="89" t="str">
        <v>HIV/SIDA y otras enfermedades de transmisión sexual (ETS)</v>
      </c>
      <c r="C1546" s="90" t="str">
        <v/>
      </c>
      <c r="D1546" s="89" t="str">
        <v>Periódica</v>
      </c>
      <c r="E1546" s="89">
        <v>365</v>
      </c>
      <c r="F1546" s="89" t="str">
        <v/>
      </c>
      <c r="G1546" s="89" t="str">
        <f ca="1"/>
        <v/>
      </c>
    </row>
    <row r="1547" spans="1:7" x14ac:dyDescent="0.3">
      <c r="A1547" s="89" t="str">
        <v/>
      </c>
      <c r="B1547" s="89" t="str">
        <v>Drogas de abuso (concientización y prevención)</v>
      </c>
      <c r="C1547" s="90" t="str">
        <v/>
      </c>
      <c r="D1547" s="89" t="str">
        <v>Periódica</v>
      </c>
      <c r="E1547" s="89">
        <v>365</v>
      </c>
      <c r="F1547" s="89" t="str">
        <v/>
      </c>
      <c r="G1547" s="89" t="str">
        <f ca="1"/>
        <v/>
      </c>
    </row>
    <row r="1548" spans="1:7" x14ac:dyDescent="0.3">
      <c r="A1548" s="89" t="str">
        <v/>
      </c>
      <c r="B1548" s="89" t="str">
        <v>Vida saludable (hábitos, autocuidado y bienestar)</v>
      </c>
      <c r="C1548" s="90" t="str">
        <v/>
      </c>
      <c r="D1548" s="89" t="str">
        <v>Periódica</v>
      </c>
      <c r="E1548" s="89">
        <v>365</v>
      </c>
      <c r="F1548" s="89" t="str">
        <v/>
      </c>
      <c r="G1548" s="89" t="str">
        <f ca="1"/>
        <v/>
      </c>
    </row>
    <row r="1549" spans="1:7" x14ac:dyDescent="0.3">
      <c r="A1549" s="89" t="str">
        <v/>
      </c>
      <c r="B1549" s="89" t="str">
        <v>Primeros auxilios y Reanimación Cardio Pulmonar (RCP)</v>
      </c>
      <c r="C1549" s="90" t="str">
        <v/>
      </c>
      <c r="D1549" s="89" t="str">
        <v>Periódica</v>
      </c>
      <c r="E1549" s="89">
        <v>365</v>
      </c>
      <c r="F1549" s="89" t="str">
        <v/>
      </c>
      <c r="G1549" s="89" t="str">
        <f ca="1"/>
        <v/>
      </c>
    </row>
    <row r="1550" spans="1:7" x14ac:dyDescent="0.3">
      <c r="A1550" s="89" t="str">
        <v/>
      </c>
      <c r="B1550" s="89" t="str">
        <v>Prevención cardiovascular (factores de riesgo y señales de alarma)</v>
      </c>
      <c r="C1550" s="90" t="str">
        <v/>
      </c>
      <c r="D1550" s="89" t="str">
        <v>Periódica</v>
      </c>
      <c r="E1550" s="89">
        <v>365</v>
      </c>
      <c r="F1550" s="89" t="str">
        <v/>
      </c>
      <c r="G1550" s="89" t="str">
        <f ca="1"/>
        <v/>
      </c>
    </row>
    <row r="1551" spans="1:7" x14ac:dyDescent="0.3">
      <c r="A1551" s="89" t="str">
        <v/>
      </c>
      <c r="B1551" s="89" t="str">
        <v>Efectos del tabaco sobre la salud</v>
      </c>
      <c r="C1551" s="90" t="str">
        <v/>
      </c>
      <c r="D1551" s="89" t="str">
        <v>Periódica</v>
      </c>
      <c r="E1551" s="89">
        <v>365</v>
      </c>
      <c r="F1551" s="89" t="str">
        <v/>
      </c>
      <c r="G1551" s="89" t="str">
        <f ca="1"/>
        <v/>
      </c>
    </row>
    <row r="1552" spans="1:7" x14ac:dyDescent="0.3">
      <c r="A1552" s="89" t="str">
        <v/>
      </c>
      <c r="B1552" s="89" t="str">
        <v>Cargadora (Op. Montacargas)</v>
      </c>
      <c r="C1552" s="90" t="str">
        <v/>
      </c>
      <c r="D1552" s="89" t="str">
        <v>Periódica</v>
      </c>
      <c r="E1552" s="89">
        <v>365</v>
      </c>
      <c r="F1552" s="89" t="str">
        <v/>
      </c>
      <c r="G1552" s="89" t="str">
        <f ca="1"/>
        <v/>
      </c>
    </row>
    <row r="1553" spans="1:7" x14ac:dyDescent="0.3">
      <c r="A1553" s="89" t="str">
        <v/>
      </c>
      <c r="B1553" s="89">
        <v>0</v>
      </c>
      <c r="C1553" s="90" t="str">
        <v/>
      </c>
      <c r="D1553" s="89" t="str">
        <v/>
      </c>
      <c r="E1553" s="89" t="str">
        <v/>
      </c>
      <c r="F1553" s="89" t="str">
        <v/>
      </c>
      <c r="G1553" s="89" t="str">
        <f ca="1"/>
        <v/>
      </c>
    </row>
    <row r="1554" spans="1:7" x14ac:dyDescent="0.3">
      <c r="A1554" s="89" t="str">
        <v/>
      </c>
      <c r="B1554" s="89">
        <v>0</v>
      </c>
      <c r="C1554" s="90" t="str">
        <v/>
      </c>
      <c r="D1554" s="89" t="str">
        <v/>
      </c>
      <c r="E1554" s="89" t="str">
        <v/>
      </c>
      <c r="F1554" s="89" t="str">
        <v/>
      </c>
      <c r="G1554" s="89" t="str">
        <f ca="1"/>
        <v/>
      </c>
    </row>
    <row r="1555" spans="1:7" x14ac:dyDescent="0.3">
      <c r="A1555" s="89" t="str">
        <v/>
      </c>
      <c r="B1555" s="89">
        <v>0</v>
      </c>
      <c r="C1555" s="90" t="str">
        <v/>
      </c>
      <c r="D1555" s="89" t="str">
        <v/>
      </c>
      <c r="E1555" s="89" t="str">
        <v/>
      </c>
      <c r="F1555" s="89" t="str">
        <v/>
      </c>
      <c r="G1555" s="89" t="str">
        <f ca="1"/>
        <v/>
      </c>
    </row>
    <row r="1556" spans="1:7" x14ac:dyDescent="0.3">
      <c r="A1556" s="89" t="str">
        <v/>
      </c>
      <c r="B1556" s="89">
        <v>0</v>
      </c>
      <c r="C1556" s="90" t="str">
        <v/>
      </c>
      <c r="D1556" s="89" t="str">
        <v/>
      </c>
      <c r="E1556" s="89" t="str">
        <v/>
      </c>
      <c r="F1556" s="89" t="str">
        <v/>
      </c>
      <c r="G1556" s="89" t="str">
        <f ca="1"/>
        <v/>
      </c>
    </row>
    <row r="1557" spans="1:7" x14ac:dyDescent="0.3">
      <c r="A1557" s="89" t="str">
        <v/>
      </c>
      <c r="B1557" s="89">
        <v>0</v>
      </c>
      <c r="C1557" s="90" t="str">
        <v/>
      </c>
      <c r="D1557" s="89" t="str">
        <v/>
      </c>
      <c r="E1557" s="89" t="str">
        <v/>
      </c>
      <c r="F1557" s="89" t="str">
        <v/>
      </c>
      <c r="G1557" s="89" t="str">
        <f ca="1"/>
        <v/>
      </c>
    </row>
    <row r="1558" spans="1:7" x14ac:dyDescent="0.3">
      <c r="A1558" s="89" t="str">
        <v/>
      </c>
      <c r="B1558" s="89">
        <v>0</v>
      </c>
      <c r="C1558" s="90" t="str">
        <v/>
      </c>
      <c r="D1558" s="89" t="str">
        <v/>
      </c>
      <c r="E1558" s="89" t="str">
        <v/>
      </c>
      <c r="F1558" s="89" t="str">
        <v/>
      </c>
      <c r="G1558" s="89" t="str">
        <f ca="1"/>
        <v/>
      </c>
    </row>
    <row r="1559" spans="1:7" x14ac:dyDescent="0.3">
      <c r="A1559" s="89" t="str">
        <v/>
      </c>
      <c r="B1559" s="89">
        <v>0</v>
      </c>
      <c r="C1559" s="90" t="str">
        <v/>
      </c>
      <c r="D1559" s="89" t="str">
        <v/>
      </c>
      <c r="E1559" s="89" t="str">
        <v/>
      </c>
      <c r="F1559" s="89" t="str">
        <v/>
      </c>
      <c r="G1559" s="89" t="str">
        <f ca="1"/>
        <v/>
      </c>
    </row>
    <row r="1560" spans="1:7" x14ac:dyDescent="0.3">
      <c r="A1560" s="89" t="str">
        <v/>
      </c>
      <c r="B1560" s="89">
        <v>0</v>
      </c>
      <c r="C1560" s="90" t="str">
        <v/>
      </c>
      <c r="D1560" s="89" t="str">
        <v/>
      </c>
      <c r="E1560" s="89" t="str">
        <v/>
      </c>
      <c r="F1560" s="89" t="str">
        <v/>
      </c>
      <c r="G1560" s="89" t="str">
        <f ca="1"/>
        <v/>
      </c>
    </row>
    <row r="1561" spans="1:7" x14ac:dyDescent="0.3">
      <c r="A1561" s="89" t="str">
        <v/>
      </c>
      <c r="B1561" s="89">
        <v>0</v>
      </c>
      <c r="C1561" s="90" t="str">
        <v/>
      </c>
      <c r="D1561" s="89" t="str">
        <v/>
      </c>
      <c r="E1561" s="89" t="str">
        <v/>
      </c>
      <c r="F1561" s="89" t="str">
        <v/>
      </c>
      <c r="G1561" s="89" t="str">
        <f ca="1"/>
        <v/>
      </c>
    </row>
    <row r="1562" spans="1:7" x14ac:dyDescent="0.3">
      <c r="A1562" s="89" t="str">
        <v/>
      </c>
      <c r="B1562" s="89" t="str">
        <v>Programa de Aire</v>
      </c>
      <c r="C1562" s="90" t="str">
        <v/>
      </c>
      <c r="D1562" s="89" t="str">
        <v>Evento</v>
      </c>
      <c r="E1562" s="89">
        <v>0</v>
      </c>
      <c r="F1562" s="89" t="str">
        <v/>
      </c>
      <c r="G1562" s="89" t="str">
        <f ca="1"/>
        <v/>
      </c>
    </row>
    <row r="1563" spans="1:7" x14ac:dyDescent="0.3">
      <c r="A1563" s="89" t="str">
        <v/>
      </c>
      <c r="B1563" s="89" t="str">
        <v>Conciencia Ambiental</v>
      </c>
      <c r="C1563" s="90" t="str">
        <v/>
      </c>
      <c r="D1563" s="89" t="str">
        <v>Periódica</v>
      </c>
      <c r="E1563" s="89">
        <v>365</v>
      </c>
      <c r="F1563" s="89" t="str">
        <v/>
      </c>
      <c r="G1563" s="89" t="str">
        <f ca="1"/>
        <v/>
      </c>
    </row>
    <row r="1564" spans="1:7" x14ac:dyDescent="0.3">
      <c r="A1564" s="89" t="str">
        <v/>
      </c>
      <c r="B1564" s="89" t="str">
        <v xml:space="preserve">Control de Documentos e Informacion de HSE </v>
      </c>
      <c r="C1564" s="90" t="str">
        <v/>
      </c>
      <c r="D1564" s="89" t="str">
        <v>Evento</v>
      </c>
      <c r="E1564" s="89">
        <v>0</v>
      </c>
      <c r="F1564" s="89" t="str">
        <v/>
      </c>
      <c r="G1564" s="89" t="str">
        <f ca="1"/>
        <v/>
      </c>
    </row>
    <row r="1565" spans="1:7" x14ac:dyDescent="0.3">
      <c r="A1565" s="89" t="str">
        <v/>
      </c>
      <c r="B1565" s="89" t="str">
        <v xml:space="preserve"> Acciones Correctivas y Preventivas (CAPA)</v>
      </c>
      <c r="C1565" s="90" t="str">
        <v/>
      </c>
      <c r="D1565" s="89" t="str">
        <v>Evento</v>
      </c>
      <c r="E1565" s="89">
        <v>0</v>
      </c>
      <c r="F1565" s="89" t="str">
        <v/>
      </c>
      <c r="G1565" s="89" t="str">
        <f ca="1"/>
        <v/>
      </c>
    </row>
    <row r="1566" spans="1:7" x14ac:dyDescent="0.3">
      <c r="A1566" s="89" t="str">
        <v/>
      </c>
      <c r="B1566" s="89" t="str">
        <v>Seguridad Basada en el Comportamiento (Observation Program) // HSMS.043 / Autoridad de Detener el Trabajo</v>
      </c>
      <c r="C1566" s="90" t="str">
        <v/>
      </c>
      <c r="D1566" s="89" t="str">
        <v>Periódica</v>
      </c>
      <c r="E1566" s="89">
        <v>365</v>
      </c>
      <c r="F1566" s="89" t="str">
        <v/>
      </c>
      <c r="G1566" s="89" t="str">
        <f ca="1"/>
        <v/>
      </c>
    </row>
    <row r="1567" spans="1:7" x14ac:dyDescent="0.3">
      <c r="A1567" s="89" t="str">
        <v/>
      </c>
      <c r="B1567" s="89" t="str">
        <v>Identificacion de Peligros y Evaluacion de Riesgos</v>
      </c>
      <c r="C1567" s="90" t="str">
        <v/>
      </c>
      <c r="D1567" s="89" t="str">
        <v>Evento</v>
      </c>
      <c r="E1567" s="89">
        <v>0</v>
      </c>
      <c r="F1567" s="89" t="str">
        <v/>
      </c>
      <c r="G1567" s="89" t="str">
        <f ca="1"/>
        <v/>
      </c>
    </row>
    <row r="1568" spans="1:7" x14ac:dyDescent="0.3">
      <c r="A1568" s="89" t="str">
        <v/>
      </c>
      <c r="B1568" s="89" t="str">
        <v xml:space="preserve"> Plan de Respuesta ante Eemergencias / HSMS.010 /Primeros Axulios &amp; RCP/DEA / HSMSWT-002 / Patogenos Trasnmitidos por la Sangre</v>
      </c>
      <c r="C1568" s="90" t="str">
        <v/>
      </c>
      <c r="D1568" s="89" t="str">
        <v>Periódica</v>
      </c>
      <c r="E1568" s="89">
        <v>365</v>
      </c>
      <c r="F1568" s="89" t="str">
        <v/>
      </c>
      <c r="G1568" s="89" t="str">
        <f ca="1"/>
        <v/>
      </c>
    </row>
    <row r="1569" spans="1:7" x14ac:dyDescent="0.3">
      <c r="A1569" s="89" t="str">
        <v/>
      </c>
      <c r="B1569" s="89" t="str">
        <v>Reporte y Gestion de Incidentes HSE (Todos)</v>
      </c>
      <c r="C1569" s="90" t="str">
        <v/>
      </c>
      <c r="D1569" s="89" t="str">
        <v>Periódica</v>
      </c>
      <c r="E1569" s="89">
        <v>365</v>
      </c>
      <c r="F1569" s="89" t="str">
        <v/>
      </c>
      <c r="G1569" s="89" t="str">
        <f ca="1"/>
        <v/>
      </c>
    </row>
    <row r="1570" spans="1:7" x14ac:dyDescent="0.3">
      <c r="A1570" s="89" t="str">
        <v/>
      </c>
      <c r="B1570" s="89" t="str">
        <v>Reporte, Gestion e Investigacion de Incidentes HSE (supervisores / investigadores (rol))</v>
      </c>
      <c r="C1570" s="90" t="str">
        <v/>
      </c>
      <c r="D1570" s="89" t="str">
        <v>Periódica</v>
      </c>
      <c r="E1570" s="89">
        <v>1095</v>
      </c>
      <c r="F1570" s="89" t="str">
        <v/>
      </c>
      <c r="G1570" s="89" t="str">
        <f ca="1"/>
        <v/>
      </c>
    </row>
    <row r="1571" spans="1:7" x14ac:dyDescent="0.3">
      <c r="A1571" s="89" t="str">
        <v/>
      </c>
      <c r="B1571" s="89" t="str">
        <v>Gruas y Equipos de Izaje (Todos)</v>
      </c>
      <c r="C1571" s="90" t="str">
        <v/>
      </c>
      <c r="D1571" s="89" t="str">
        <v>Periódica</v>
      </c>
      <c r="E1571" s="89">
        <v>365</v>
      </c>
      <c r="F1571" s="89" t="str">
        <v/>
      </c>
      <c r="G1571" s="89" t="str">
        <f ca="1"/>
        <v/>
      </c>
    </row>
    <row r="1572" spans="1:7" x14ac:dyDescent="0.3">
      <c r="A1572" s="89" t="str">
        <v/>
      </c>
      <c r="B1572" s="89" t="str">
        <v>HSMS.007 / Gruas y Equipos de Izaje (Operadores)</v>
      </c>
      <c r="C1572" s="90" t="str">
        <v/>
      </c>
      <c r="D1572" s="89" t="str">
        <v>Periódica</v>
      </c>
      <c r="E1572" s="89">
        <v>365</v>
      </c>
      <c r="F1572" s="89" t="str">
        <v/>
      </c>
      <c r="G1572" s="89" t="str">
        <f ca="1"/>
        <v/>
      </c>
    </row>
    <row r="1573" spans="1:7" x14ac:dyDescent="0.3">
      <c r="A1573" s="89" t="str">
        <v/>
      </c>
      <c r="B1573" s="89" t="str">
        <v>Proteccion Contra Incendios (Todos)</v>
      </c>
      <c r="C1573" s="90" t="str">
        <v/>
      </c>
      <c r="D1573" s="89" t="str">
        <v>Periódica</v>
      </c>
      <c r="E1573" s="89">
        <v>365</v>
      </c>
      <c r="F1573" s="89" t="str">
        <v/>
      </c>
      <c r="G1573" s="89" t="str">
        <f ca="1"/>
        <v/>
      </c>
    </row>
    <row r="1574" spans="1:7" x14ac:dyDescent="0.3">
      <c r="A1574" s="89" t="str">
        <v/>
      </c>
      <c r="B1574" s="89" t="str">
        <v>Proteccion Contra Incendios (Brigadistas)</v>
      </c>
      <c r="C1574" s="90" t="str">
        <v/>
      </c>
      <c r="D1574" s="89" t="str">
        <v>Periódica</v>
      </c>
      <c r="E1574" s="89">
        <v>365</v>
      </c>
      <c r="F1574" s="89" t="str">
        <v/>
      </c>
      <c r="G1574" s="89" t="str">
        <f ca="1"/>
        <v/>
      </c>
    </row>
    <row r="1575" spans="1:7" x14ac:dyDescent="0.3">
      <c r="A1575" s="89" t="str">
        <v/>
      </c>
      <c r="B1575" s="89" t="str">
        <v>Primeros Auxilios (Brigadistas)</v>
      </c>
      <c r="C1575" s="90" t="str">
        <v/>
      </c>
      <c r="D1575" s="89" t="str">
        <v>Periódica</v>
      </c>
      <c r="E1575" s="89">
        <v>365</v>
      </c>
      <c r="F1575" s="89" t="str">
        <v/>
      </c>
      <c r="G1575" s="89" t="str">
        <f ca="1"/>
        <v/>
      </c>
    </row>
    <row r="1576" spans="1:7" x14ac:dyDescent="0.3">
      <c r="A1576" s="89" t="str">
        <v/>
      </c>
      <c r="B1576" s="89" t="str">
        <v>Seguridad Electrica (Todos)</v>
      </c>
      <c r="C1576" s="90" t="str">
        <v/>
      </c>
      <c r="D1576" s="89" t="str">
        <v>Periódica</v>
      </c>
      <c r="E1576" s="89">
        <v>365</v>
      </c>
      <c r="F1576" s="89" t="str">
        <v/>
      </c>
      <c r="G1576" s="89" t="str">
        <f ca="1"/>
        <v/>
      </c>
    </row>
    <row r="1577" spans="1:7" x14ac:dyDescent="0.3">
      <c r="A1577" s="89" t="str">
        <v/>
      </c>
      <c r="B1577" s="89" t="str">
        <v>Seguridad Electrica (Personal Autorizado)</v>
      </c>
      <c r="C1577" s="90" t="str">
        <v/>
      </c>
      <c r="D1577" s="89" t="str">
        <v>Periódica</v>
      </c>
      <c r="E1577" s="89">
        <v>1095</v>
      </c>
      <c r="F1577" s="89" t="str">
        <v/>
      </c>
      <c r="G1577" s="89" t="str">
        <f ca="1"/>
        <v/>
      </c>
    </row>
    <row r="1578" spans="1:7" x14ac:dyDescent="0.3">
      <c r="A1578" s="89" t="str">
        <v/>
      </c>
      <c r="B1578" s="89" t="str">
        <v>Camiones Industriales Motorizados (PIT) (Todos)</v>
      </c>
      <c r="C1578" s="90" t="str">
        <v/>
      </c>
      <c r="D1578" s="89" t="str">
        <v>Periódica</v>
      </c>
      <c r="E1578" s="89">
        <v>365</v>
      </c>
      <c r="F1578" s="89" t="str">
        <v/>
      </c>
      <c r="G1578" s="89" t="str">
        <f ca="1"/>
        <v/>
      </c>
    </row>
    <row r="1579" spans="1:7" x14ac:dyDescent="0.3">
      <c r="A1579" s="89" t="str">
        <v/>
      </c>
      <c r="B1579" s="89" t="str">
        <v>Camiones Industriales Motorizados (PIT) (Op. Montacargas)</v>
      </c>
      <c r="C1579" s="90" t="str">
        <v/>
      </c>
      <c r="D1579" s="89" t="str">
        <v>Periódica</v>
      </c>
      <c r="E1579" s="89">
        <v>365</v>
      </c>
      <c r="F1579" s="89" t="str">
        <v/>
      </c>
      <c r="G1579" s="89" t="str">
        <f ca="1"/>
        <v/>
      </c>
    </row>
    <row r="1580" spans="1:7" x14ac:dyDescent="0.3">
      <c r="A1580" s="89" t="str">
        <v/>
      </c>
      <c r="B1580" s="89" t="str">
        <v>Control de Energias Peligrosas (LOTO) (Todos)</v>
      </c>
      <c r="C1580" s="90" t="str">
        <v/>
      </c>
      <c r="D1580" s="89" t="str">
        <v>Evento</v>
      </c>
      <c r="E1580" s="89">
        <v>0</v>
      </c>
      <c r="F1580" s="89" t="str">
        <v/>
      </c>
      <c r="G1580" s="89" t="str">
        <f ca="1"/>
        <v/>
      </c>
    </row>
    <row r="1581" spans="1:7" x14ac:dyDescent="0.3">
      <c r="A1581" s="89" t="str">
        <v/>
      </c>
      <c r="B1581" s="89" t="str">
        <v>Control de Energias Peligrosas (LOTO) (Empleados Autorizados)</v>
      </c>
      <c r="C1581" s="90" t="str">
        <v/>
      </c>
      <c r="D1581" s="89" t="str">
        <v>Periódica</v>
      </c>
      <c r="E1581" s="89">
        <v>365</v>
      </c>
      <c r="F1581" s="89" t="str">
        <v/>
      </c>
      <c r="G1581" s="89" t="str">
        <f ca="1"/>
        <v/>
      </c>
    </row>
    <row r="1582" spans="1:7" x14ac:dyDescent="0.3">
      <c r="A1582" s="89" t="str">
        <v/>
      </c>
      <c r="B1582" s="89" t="str">
        <v>Seguridad aplicada al Pozo &amp; Yacimiento</v>
      </c>
      <c r="C1582" s="90" t="str">
        <v/>
      </c>
      <c r="D1582" s="89" t="str">
        <v>Periódica</v>
      </c>
      <c r="E1582" s="89">
        <v>365</v>
      </c>
      <c r="F1582" s="89" t="str">
        <v/>
      </c>
      <c r="G1582" s="89" t="str">
        <f ca="1"/>
        <v/>
      </c>
    </row>
    <row r="1583" spans="1:7" x14ac:dyDescent="0.3">
      <c r="A1583" s="89" t="str">
        <v/>
      </c>
      <c r="B1583" s="89" t="str">
        <v>Las Reglas que Salvan Vidas</v>
      </c>
      <c r="C1583" s="90" t="str">
        <v/>
      </c>
      <c r="D1583" s="89" t="str">
        <v>Periódica</v>
      </c>
      <c r="E1583" s="89">
        <v>365</v>
      </c>
      <c r="F1583" s="89" t="str">
        <v/>
      </c>
      <c r="G1583" s="89" t="str">
        <f ca="1"/>
        <v/>
      </c>
    </row>
    <row r="1584" spans="1:7" x14ac:dyDescent="0.3">
      <c r="A1584" s="89" t="str">
        <v/>
      </c>
      <c r="B1584" s="89" t="str">
        <v xml:space="preserve">Resguardo de Maquinas &amp; Equipos </v>
      </c>
      <c r="C1584" s="90" t="str">
        <v/>
      </c>
      <c r="D1584" s="89" t="str">
        <v>Periódica</v>
      </c>
      <c r="E1584" s="89">
        <v>365</v>
      </c>
      <c r="F1584" s="89" t="str">
        <v/>
      </c>
      <c r="G1584" s="89" t="str">
        <f ca="1"/>
        <v/>
      </c>
    </row>
    <row r="1585" spans="1:7" x14ac:dyDescent="0.3">
      <c r="A1585" s="89" t="str">
        <v/>
      </c>
      <c r="B1585" s="89" t="str">
        <v>Conduccion y Gestion de Viajes (Todos)</v>
      </c>
      <c r="C1585" s="90" t="str">
        <v/>
      </c>
      <c r="D1585" s="89" t="str">
        <v>Periódica</v>
      </c>
      <c r="E1585" s="89">
        <v>730</v>
      </c>
      <c r="F1585" s="89" t="str">
        <v/>
      </c>
      <c r="G1585" s="89" t="str">
        <f ca="1"/>
        <v/>
      </c>
    </row>
    <row r="1586" spans="1:7" x14ac:dyDescent="0.3">
      <c r="A1586" s="89" t="str">
        <v/>
      </c>
      <c r="B1586" s="89" t="str">
        <v>Conduccion y Gestion de Viajes (Conductores)</v>
      </c>
      <c r="C1586" s="90" t="str">
        <v/>
      </c>
      <c r="D1586" s="89" t="str">
        <v>Periódica</v>
      </c>
      <c r="E1586" s="89">
        <v>1095</v>
      </c>
      <c r="F1586" s="89" t="str">
        <v/>
      </c>
      <c r="G1586" s="89" t="str">
        <f ca="1"/>
        <v/>
      </c>
    </row>
    <row r="1587" spans="1:7" x14ac:dyDescent="0.3">
      <c r="A1587" s="89" t="str">
        <v/>
      </c>
      <c r="B1587" s="89" t="str">
        <v>Patogenos Transmitidos por la Sangre</v>
      </c>
      <c r="C1587" s="90" t="str">
        <v/>
      </c>
      <c r="D1587" s="89" t="str">
        <v>Periódica</v>
      </c>
      <c r="E1587" s="89">
        <v>365</v>
      </c>
      <c r="F1587" s="89" t="str">
        <v/>
      </c>
      <c r="G1587" s="89" t="str">
        <f ca="1"/>
        <v/>
      </c>
    </row>
    <row r="1588" spans="1:7" x14ac:dyDescent="0.3">
      <c r="A1588" s="89" t="str">
        <v/>
      </c>
      <c r="B1588" s="89" t="str">
        <v>Conservacion Auditiva</v>
      </c>
      <c r="C1588" s="90" t="str">
        <v/>
      </c>
      <c r="D1588" s="89" t="str">
        <v>Periódica</v>
      </c>
      <c r="E1588" s="89">
        <v>365</v>
      </c>
      <c r="F1588" s="89" t="str">
        <v/>
      </c>
      <c r="G1588" s="89" t="str">
        <f ca="1"/>
        <v/>
      </c>
    </row>
    <row r="1589" spans="1:7" x14ac:dyDescent="0.3">
      <c r="A1589" s="89" t="str">
        <v/>
      </c>
      <c r="B1589" s="89" t="str">
        <v xml:space="preserve">Ergonomia //  / Levantamiento &amp; Seguridad en la Espalda </v>
      </c>
      <c r="C1589" s="90" t="str">
        <v/>
      </c>
      <c r="D1589" s="89" t="str">
        <v>Periódica</v>
      </c>
      <c r="E1589" s="89">
        <v>365</v>
      </c>
      <c r="F1589" s="89" t="str">
        <v/>
      </c>
      <c r="G1589" s="89" t="str">
        <f ca="1"/>
        <v/>
      </c>
    </row>
    <row r="1590" spans="1:7" x14ac:dyDescent="0.3">
      <c r="A1590" s="89" t="str">
        <v/>
      </c>
      <c r="B1590" s="89" t="str">
        <v>Superficies Elevadas (Todos)</v>
      </c>
      <c r="C1590" s="90" t="str">
        <v/>
      </c>
      <c r="D1590" s="89" t="str">
        <v>Periódica</v>
      </c>
      <c r="E1590" s="89">
        <v>365</v>
      </c>
      <c r="F1590" s="89" t="str">
        <v/>
      </c>
      <c r="G1590" s="89" t="str">
        <f ca="1"/>
        <v/>
      </c>
    </row>
    <row r="1591" spans="1:7" x14ac:dyDescent="0.3">
      <c r="A1591" s="89" t="str">
        <v/>
      </c>
      <c r="B1591" s="89" t="str">
        <v>Superficies Elevadas (Personal Habilitado)</v>
      </c>
      <c r="C1591" s="90" t="str">
        <v/>
      </c>
      <c r="D1591" s="89" t="str">
        <v>Periódica</v>
      </c>
      <c r="E1591" s="89">
        <v>365</v>
      </c>
      <c r="F1591" s="89" t="str">
        <v/>
      </c>
      <c r="G1591" s="89" t="str">
        <f ca="1"/>
        <v/>
      </c>
    </row>
    <row r="1592" spans="1:7" x14ac:dyDescent="0.3">
      <c r="A1592" s="89" t="str">
        <v/>
      </c>
      <c r="B1592" s="89" t="str">
        <v>Seguridad Quimica (Todos)</v>
      </c>
      <c r="C1592" s="90" t="str">
        <v/>
      </c>
      <c r="D1592" s="89" t="str">
        <v>Periódica</v>
      </c>
      <c r="E1592" s="89">
        <v>730</v>
      </c>
      <c r="F1592" s="89" t="str">
        <v/>
      </c>
      <c r="G1592" s="89" t="str">
        <f ca="1"/>
        <v/>
      </c>
    </row>
    <row r="1593" spans="1:7" x14ac:dyDescent="0.3">
      <c r="A1593" s="89" t="str">
        <v/>
      </c>
      <c r="B1593" s="89" t="str">
        <v>Seguridad Quimica (Mantenimiento)</v>
      </c>
      <c r="C1593" s="90" t="str">
        <v/>
      </c>
      <c r="D1593" s="89" t="str">
        <v>Periódica</v>
      </c>
      <c r="E1593" s="89">
        <v>365</v>
      </c>
      <c r="F1593" s="89" t="str">
        <v/>
      </c>
      <c r="G1593" s="89" t="str">
        <f ca="1"/>
        <v/>
      </c>
    </row>
    <row r="1594" spans="1:7" x14ac:dyDescent="0.3">
      <c r="A1594" s="89" t="str">
        <v/>
      </c>
      <c r="B1594" s="89" t="str">
        <v>Seguridad Quimica (Contratistas)</v>
      </c>
      <c r="C1594" s="90" t="str">
        <v/>
      </c>
      <c r="D1594" s="89" t="str">
        <v>Periódica</v>
      </c>
      <c r="E1594" s="89">
        <v>365</v>
      </c>
      <c r="F1594" s="89" t="str">
        <v/>
      </c>
      <c r="G1594" s="89" t="str">
        <f ca="1"/>
        <v/>
      </c>
    </row>
    <row r="1595" spans="1:7" x14ac:dyDescent="0.3">
      <c r="A1595" s="89" t="str">
        <v/>
      </c>
      <c r="B1595" s="89" t="str">
        <v>Seguridad para Trabajos en Caliente</v>
      </c>
      <c r="C1595" s="90" t="str">
        <v/>
      </c>
      <c r="D1595" s="89" t="str">
        <v>Periódica</v>
      </c>
      <c r="E1595" s="89">
        <v>365</v>
      </c>
      <c r="F1595" s="89" t="str">
        <v/>
      </c>
      <c r="G1595" s="89" t="str">
        <f ca="1"/>
        <v/>
      </c>
    </row>
    <row r="1596" spans="1:7" x14ac:dyDescent="0.3">
      <c r="A1596" s="89" t="str">
        <v/>
      </c>
      <c r="B1596" s="89" t="str">
        <v>Seguridad con la Radiacion</v>
      </c>
      <c r="C1596" s="90" t="str">
        <v/>
      </c>
      <c r="D1596" s="89" t="str">
        <v>Periódica</v>
      </c>
      <c r="E1596" s="89">
        <v>365</v>
      </c>
      <c r="F1596" s="89" t="str">
        <v/>
      </c>
      <c r="G1596" s="89" t="str">
        <f ca="1"/>
        <v/>
      </c>
    </row>
    <row r="1597" spans="1:7" x14ac:dyDescent="0.3">
      <c r="A1597" s="89" t="str">
        <v/>
      </c>
      <c r="B1597" s="89" t="str">
        <v>Equipo de Proteccion Personal (PPE)</v>
      </c>
      <c r="C1597" s="90" t="str">
        <v/>
      </c>
      <c r="D1597" s="89" t="str">
        <v>Periódica</v>
      </c>
      <c r="E1597" s="89">
        <v>365</v>
      </c>
      <c r="F1597" s="89" t="str">
        <v/>
      </c>
      <c r="G1597" s="89" t="str">
        <f ca="1"/>
        <v/>
      </c>
    </row>
    <row r="1598" spans="1:7" x14ac:dyDescent="0.3">
      <c r="A1598" s="89" t="str">
        <v/>
      </c>
      <c r="B1598" s="89" t="str">
        <v>Proteccion Respiratoria</v>
      </c>
      <c r="C1598" s="90" t="str">
        <v/>
      </c>
      <c r="D1598" s="89" t="str">
        <v>Periódica</v>
      </c>
      <c r="E1598" s="89">
        <v>365</v>
      </c>
      <c r="F1598" s="89" t="str">
        <v/>
      </c>
      <c r="G1598" s="89" t="str">
        <f ca="1"/>
        <v/>
      </c>
    </row>
    <row r="1599" spans="1:7" x14ac:dyDescent="0.3">
      <c r="A1599" s="89" t="str">
        <v/>
      </c>
      <c r="B1599" s="89" t="str">
        <v xml:space="preserve">Seguridad con Escaleras </v>
      </c>
      <c r="C1599" s="90" t="str">
        <v/>
      </c>
      <c r="D1599" s="89" t="str">
        <v>Periódica</v>
      </c>
      <c r="E1599" s="89">
        <v>365</v>
      </c>
      <c r="F1599" s="89" t="str">
        <v/>
      </c>
      <c r="G1599" s="89" t="str">
        <f ca="1"/>
        <v/>
      </c>
    </row>
    <row r="1600" spans="1:7" x14ac:dyDescent="0.3">
      <c r="A1600" s="89" t="str">
        <v/>
      </c>
      <c r="B1600" s="89" t="str">
        <v>Seguridad con Escaleras // Estantes de Almacenamiento</v>
      </c>
      <c r="C1600" s="90" t="str">
        <v/>
      </c>
      <c r="D1600" s="89" t="str">
        <v>Periódica</v>
      </c>
      <c r="E1600" s="89">
        <v>365</v>
      </c>
      <c r="F1600" s="89" t="str">
        <v/>
      </c>
      <c r="G1600" s="89" t="str">
        <f ca="1"/>
        <v/>
      </c>
    </row>
    <row r="1601" spans="1:7" x14ac:dyDescent="0.3">
      <c r="A1601" s="89" t="str">
        <v/>
      </c>
      <c r="B1601" s="89" t="str">
        <v>Responsabilidades del Supervisor</v>
      </c>
      <c r="C1601" s="90" t="str">
        <v/>
      </c>
      <c r="D1601" s="89" t="str">
        <v>Periódica</v>
      </c>
      <c r="E1601" s="89">
        <v>365</v>
      </c>
      <c r="F1601" s="89" t="str">
        <v/>
      </c>
      <c r="G1601" s="89" t="str">
        <f ca="1"/>
        <v/>
      </c>
    </row>
    <row r="1602" spans="1:7" x14ac:dyDescent="0.3">
      <c r="A1602" s="89" t="str">
        <v/>
      </c>
      <c r="B1602" s="89" t="str">
        <v>Espacios Confinados (Todos)</v>
      </c>
      <c r="C1602" s="90" t="str">
        <v/>
      </c>
      <c r="D1602" s="89" t="str">
        <v>Periódica</v>
      </c>
      <c r="E1602" s="89">
        <v>365</v>
      </c>
      <c r="F1602" s="89" t="str">
        <v/>
      </c>
      <c r="G1602" s="89" t="str">
        <f ca="1"/>
        <v/>
      </c>
    </row>
    <row r="1603" spans="1:7" x14ac:dyDescent="0.3">
      <c r="A1603" s="89" t="str">
        <v/>
      </c>
      <c r="B1603" s="89" t="str">
        <v>HSMS.017 / Espacios Confinados (Entrantes)</v>
      </c>
      <c r="C1603" s="90" t="str">
        <v/>
      </c>
      <c r="D1603" s="89" t="str">
        <v>Evento</v>
      </c>
      <c r="E1603" s="89">
        <v>0</v>
      </c>
      <c r="F1603" s="89" t="str">
        <v/>
      </c>
      <c r="G1603" s="89" t="str">
        <f ca="1"/>
        <v/>
      </c>
    </row>
    <row r="1604" spans="1:7" x14ac:dyDescent="0.3">
      <c r="A1604" s="89" t="str">
        <v/>
      </c>
      <c r="B1604" s="89" t="str">
        <v>Programa de Agua (Todos)</v>
      </c>
      <c r="C1604" s="90" t="str">
        <v/>
      </c>
      <c r="D1604" s="89" t="str">
        <v>Evento</v>
      </c>
      <c r="E1604" s="89">
        <v>0</v>
      </c>
      <c r="F1604" s="89" t="str">
        <v/>
      </c>
      <c r="G1604" s="89" t="str">
        <f ca="1"/>
        <v/>
      </c>
    </row>
    <row r="1605" spans="1:7" x14ac:dyDescent="0.3">
      <c r="A1605" s="89" t="str">
        <v/>
      </c>
      <c r="B1605" s="89" t="str">
        <v>Programa de Agua (HSE)</v>
      </c>
      <c r="C1605" s="90" t="str">
        <v/>
      </c>
      <c r="D1605" s="89" t="str">
        <v>Evento</v>
      </c>
      <c r="E1605" s="89">
        <v>0</v>
      </c>
      <c r="F1605" s="89" t="str">
        <v/>
      </c>
      <c r="G1605" s="89" t="str">
        <f ca="1"/>
        <v/>
      </c>
    </row>
    <row r="1606" spans="1:7" x14ac:dyDescent="0.3">
      <c r="A1606" s="89" t="str">
        <v/>
      </c>
      <c r="B1606" s="89" t="str">
        <v>HIV/SIDA y otras enfermedades de transmisión sexual (ETS)</v>
      </c>
      <c r="C1606" s="90" t="str">
        <v/>
      </c>
      <c r="D1606" s="89" t="str">
        <v>Periódica</v>
      </c>
      <c r="E1606" s="89">
        <v>365</v>
      </c>
      <c r="F1606" s="89" t="str">
        <v/>
      </c>
      <c r="G1606" s="89" t="str">
        <f ca="1"/>
        <v/>
      </c>
    </row>
    <row r="1607" spans="1:7" x14ac:dyDescent="0.3">
      <c r="A1607" s="89" t="str">
        <v/>
      </c>
      <c r="B1607" s="89" t="str">
        <v>Drogas de abuso (concientización y prevención)</v>
      </c>
      <c r="C1607" s="90" t="str">
        <v/>
      </c>
      <c r="D1607" s="89" t="str">
        <v>Periódica</v>
      </c>
      <c r="E1607" s="89">
        <v>365</v>
      </c>
      <c r="F1607" s="89" t="str">
        <v/>
      </c>
      <c r="G1607" s="89" t="str">
        <f ca="1"/>
        <v/>
      </c>
    </row>
    <row r="1608" spans="1:7" x14ac:dyDescent="0.3">
      <c r="A1608" s="89" t="str">
        <v/>
      </c>
      <c r="B1608" s="89" t="str">
        <v>Vida saludable (hábitos, autocuidado y bienestar)</v>
      </c>
      <c r="C1608" s="90" t="str">
        <v/>
      </c>
      <c r="D1608" s="89" t="str">
        <v>Periódica</v>
      </c>
      <c r="E1608" s="89">
        <v>365</v>
      </c>
      <c r="F1608" s="89" t="str">
        <v/>
      </c>
      <c r="G1608" s="89" t="str">
        <f ca="1"/>
        <v/>
      </c>
    </row>
    <row r="1609" spans="1:7" x14ac:dyDescent="0.3">
      <c r="A1609" s="89" t="str">
        <v/>
      </c>
      <c r="B1609" s="89" t="str">
        <v>Primeros auxilios y Reanimación Cardio Pulmonar (RCP)</v>
      </c>
      <c r="C1609" s="90" t="str">
        <v/>
      </c>
      <c r="D1609" s="89" t="str">
        <v>Periódica</v>
      </c>
      <c r="E1609" s="89">
        <v>365</v>
      </c>
      <c r="F1609" s="89" t="str">
        <v/>
      </c>
      <c r="G1609" s="89" t="str">
        <f ca="1"/>
        <v/>
      </c>
    </row>
    <row r="1610" spans="1:7" x14ac:dyDescent="0.3">
      <c r="A1610" s="89" t="str">
        <v/>
      </c>
      <c r="B1610" s="89" t="str">
        <v>Prevención cardiovascular (factores de riesgo y señales de alarma)</v>
      </c>
      <c r="C1610" s="90" t="str">
        <v/>
      </c>
      <c r="D1610" s="89" t="str">
        <v>Periódica</v>
      </c>
      <c r="E1610" s="89">
        <v>365</v>
      </c>
      <c r="F1610" s="89" t="str">
        <v/>
      </c>
      <c r="G1610" s="89" t="str">
        <f ca="1"/>
        <v/>
      </c>
    </row>
    <row r="1611" spans="1:7" x14ac:dyDescent="0.3">
      <c r="A1611" s="89" t="str">
        <v/>
      </c>
      <c r="B1611" s="89" t="str">
        <v>Efectos del tabaco sobre la salud</v>
      </c>
      <c r="C1611" s="90" t="str">
        <v/>
      </c>
      <c r="D1611" s="89" t="str">
        <v>Periódica</v>
      </c>
      <c r="E1611" s="89">
        <v>365</v>
      </c>
      <c r="F1611" s="89" t="str">
        <v/>
      </c>
      <c r="G1611" s="89" t="str">
        <f ca="1"/>
        <v/>
      </c>
    </row>
    <row r="1612" spans="1:7" x14ac:dyDescent="0.3">
      <c r="A1612" s="89" t="str">
        <v/>
      </c>
      <c r="B1612" s="89" t="str">
        <v>Cargadora (Op. Montacargas)</v>
      </c>
      <c r="C1612" s="90" t="str">
        <v/>
      </c>
      <c r="D1612" s="89" t="str">
        <v>Periódica</v>
      </c>
      <c r="E1612" s="89">
        <v>365</v>
      </c>
      <c r="F1612" s="89" t="str">
        <v/>
      </c>
      <c r="G1612" s="89" t="str">
        <f ca="1"/>
        <v/>
      </c>
    </row>
    <row r="1613" spans="1:7" x14ac:dyDescent="0.3">
      <c r="A1613" s="89" t="str">
        <v/>
      </c>
      <c r="B1613" s="89">
        <v>0</v>
      </c>
      <c r="C1613" s="90" t="str">
        <v/>
      </c>
      <c r="D1613" s="89" t="str">
        <v/>
      </c>
      <c r="E1613" s="89" t="str">
        <v/>
      </c>
      <c r="F1613" s="89" t="str">
        <v/>
      </c>
      <c r="G1613" s="89" t="str">
        <f ca="1"/>
        <v/>
      </c>
    </row>
    <row r="1614" spans="1:7" x14ac:dyDescent="0.3">
      <c r="A1614" s="89" t="str">
        <v/>
      </c>
      <c r="B1614" s="89">
        <v>0</v>
      </c>
      <c r="C1614" s="90" t="str">
        <v/>
      </c>
      <c r="D1614" s="89" t="str">
        <v/>
      </c>
      <c r="E1614" s="89" t="str">
        <v/>
      </c>
      <c r="F1614" s="89" t="str">
        <v/>
      </c>
      <c r="G1614" s="89" t="str">
        <f ca="1"/>
        <v/>
      </c>
    </row>
    <row r="1615" spans="1:7" x14ac:dyDescent="0.3">
      <c r="A1615" s="89" t="str">
        <v/>
      </c>
      <c r="B1615" s="89">
        <v>0</v>
      </c>
      <c r="C1615" s="90" t="str">
        <v/>
      </c>
      <c r="D1615" s="89" t="str">
        <v/>
      </c>
      <c r="E1615" s="89" t="str">
        <v/>
      </c>
      <c r="F1615" s="89" t="str">
        <v/>
      </c>
      <c r="G1615" s="89" t="str">
        <f ca="1"/>
        <v/>
      </c>
    </row>
    <row r="1616" spans="1:7" x14ac:dyDescent="0.3">
      <c r="A1616" s="89" t="str">
        <v/>
      </c>
      <c r="B1616" s="89">
        <v>0</v>
      </c>
      <c r="C1616" s="90" t="str">
        <v/>
      </c>
      <c r="D1616" s="89" t="str">
        <v/>
      </c>
      <c r="E1616" s="89" t="str">
        <v/>
      </c>
      <c r="F1616" s="89" t="str">
        <v/>
      </c>
      <c r="G1616" s="89" t="str">
        <f ca="1"/>
        <v/>
      </c>
    </row>
    <row r="1617" spans="1:7" x14ac:dyDescent="0.3">
      <c r="A1617" s="89" t="str">
        <v/>
      </c>
      <c r="B1617" s="89">
        <v>0</v>
      </c>
      <c r="C1617" s="90" t="str">
        <v/>
      </c>
      <c r="D1617" s="89" t="str">
        <v/>
      </c>
      <c r="E1617" s="89" t="str">
        <v/>
      </c>
      <c r="F1617" s="89" t="str">
        <v/>
      </c>
      <c r="G1617" s="89" t="str">
        <f ca="1"/>
        <v/>
      </c>
    </row>
    <row r="1618" spans="1:7" x14ac:dyDescent="0.3">
      <c r="A1618" s="89" t="str">
        <v/>
      </c>
      <c r="B1618" s="89">
        <v>0</v>
      </c>
      <c r="C1618" s="90" t="str">
        <v/>
      </c>
      <c r="D1618" s="89" t="str">
        <v/>
      </c>
      <c r="E1618" s="89" t="str">
        <v/>
      </c>
      <c r="F1618" s="89" t="str">
        <v/>
      </c>
      <c r="G1618" s="89" t="str">
        <f ca="1"/>
        <v/>
      </c>
    </row>
    <row r="1619" spans="1:7" x14ac:dyDescent="0.3">
      <c r="A1619" s="89" t="str">
        <v/>
      </c>
      <c r="B1619" s="89">
        <v>0</v>
      </c>
      <c r="C1619" s="90" t="str">
        <v/>
      </c>
      <c r="D1619" s="89" t="str">
        <v/>
      </c>
      <c r="E1619" s="89" t="str">
        <v/>
      </c>
      <c r="F1619" s="89" t="str">
        <v/>
      </c>
      <c r="G1619" s="89" t="str">
        <f ca="1"/>
        <v/>
      </c>
    </row>
    <row r="1620" spans="1:7" x14ac:dyDescent="0.3">
      <c r="A1620" s="89" t="str">
        <v/>
      </c>
      <c r="B1620" s="89">
        <v>0</v>
      </c>
      <c r="C1620" s="90" t="str">
        <v/>
      </c>
      <c r="D1620" s="89" t="str">
        <v/>
      </c>
      <c r="E1620" s="89" t="str">
        <v/>
      </c>
      <c r="F1620" s="89" t="str">
        <v/>
      </c>
      <c r="G1620" s="89" t="str">
        <f ca="1"/>
        <v/>
      </c>
    </row>
    <row r="1621" spans="1:7" x14ac:dyDescent="0.3">
      <c r="A1621" s="89" t="str">
        <v/>
      </c>
      <c r="B1621" s="89">
        <v>0</v>
      </c>
      <c r="C1621" s="90" t="str">
        <v/>
      </c>
      <c r="D1621" s="89" t="str">
        <v/>
      </c>
      <c r="E1621" s="89" t="str">
        <v/>
      </c>
      <c r="F1621" s="89" t="str">
        <v/>
      </c>
      <c r="G1621" s="89" t="str">
        <f ca="1"/>
        <v/>
      </c>
    </row>
    <row r="1622" spans="1:7" x14ac:dyDescent="0.3">
      <c r="A1622" s="89" t="str">
        <v/>
      </c>
      <c r="B1622" s="89" t="str">
        <v>Programa de Aire</v>
      </c>
      <c r="C1622" s="90" t="str">
        <v/>
      </c>
      <c r="D1622" s="89" t="str">
        <v>Evento</v>
      </c>
      <c r="E1622" s="89">
        <v>0</v>
      </c>
      <c r="F1622" s="89" t="str">
        <v/>
      </c>
      <c r="G1622" s="89" t="str">
        <f ca="1"/>
        <v/>
      </c>
    </row>
    <row r="1623" spans="1:7" x14ac:dyDescent="0.3">
      <c r="A1623" s="89" t="str">
        <v/>
      </c>
      <c r="B1623" s="89" t="str">
        <v>Conciencia Ambiental</v>
      </c>
      <c r="C1623" s="90" t="str">
        <v/>
      </c>
      <c r="D1623" s="89" t="str">
        <v>Periódica</v>
      </c>
      <c r="E1623" s="89">
        <v>365</v>
      </c>
      <c r="F1623" s="89" t="str">
        <v/>
      </c>
      <c r="G1623" s="89" t="str">
        <f ca="1"/>
        <v/>
      </c>
    </row>
    <row r="1624" spans="1:7" x14ac:dyDescent="0.3">
      <c r="A1624" s="89" t="str">
        <v/>
      </c>
      <c r="B1624" s="89" t="str">
        <v xml:space="preserve">Control de Documentos e Informacion de HSE </v>
      </c>
      <c r="C1624" s="90" t="str">
        <v/>
      </c>
      <c r="D1624" s="89" t="str">
        <v>Evento</v>
      </c>
      <c r="E1624" s="89">
        <v>0</v>
      </c>
      <c r="F1624" s="89" t="str">
        <v/>
      </c>
      <c r="G1624" s="89" t="str">
        <f ca="1"/>
        <v/>
      </c>
    </row>
    <row r="1625" spans="1:7" x14ac:dyDescent="0.3">
      <c r="A1625" s="89" t="str">
        <v/>
      </c>
      <c r="B1625" s="89" t="str">
        <v xml:space="preserve"> Acciones Correctivas y Preventivas (CAPA)</v>
      </c>
      <c r="C1625" s="90" t="str">
        <v/>
      </c>
      <c r="D1625" s="89" t="str">
        <v>Evento</v>
      </c>
      <c r="E1625" s="89">
        <v>0</v>
      </c>
      <c r="F1625" s="89" t="str">
        <v/>
      </c>
      <c r="G1625" s="89" t="str">
        <f ca="1"/>
        <v/>
      </c>
    </row>
    <row r="1626" spans="1:7" x14ac:dyDescent="0.3">
      <c r="A1626" s="89" t="str">
        <v/>
      </c>
      <c r="B1626" s="89" t="str">
        <v>Seguridad Basada en el Comportamiento (Observation Program) // HSMS.043 / Autoridad de Detener el Trabajo</v>
      </c>
      <c r="C1626" s="90" t="str">
        <v/>
      </c>
      <c r="D1626" s="89" t="str">
        <v>Periódica</v>
      </c>
      <c r="E1626" s="89">
        <v>365</v>
      </c>
      <c r="F1626" s="89" t="str">
        <v/>
      </c>
      <c r="G1626" s="89" t="str">
        <f ca="1"/>
        <v/>
      </c>
    </row>
    <row r="1627" spans="1:7" x14ac:dyDescent="0.3">
      <c r="A1627" s="89" t="str">
        <v/>
      </c>
      <c r="B1627" s="89" t="str">
        <v>Identificacion de Peligros y Evaluacion de Riesgos</v>
      </c>
      <c r="C1627" s="90" t="str">
        <v/>
      </c>
      <c r="D1627" s="89" t="str">
        <v>Evento</v>
      </c>
      <c r="E1627" s="89">
        <v>0</v>
      </c>
      <c r="F1627" s="89" t="str">
        <v/>
      </c>
      <c r="G1627" s="89" t="str">
        <f ca="1"/>
        <v/>
      </c>
    </row>
    <row r="1628" spans="1:7" x14ac:dyDescent="0.3">
      <c r="A1628" s="89" t="str">
        <v/>
      </c>
      <c r="B1628" s="89" t="str">
        <v xml:space="preserve"> Plan de Respuesta ante Eemergencias / HSMS.010 /Primeros Axulios &amp; RCP/DEA / HSMSWT-002 / Patogenos Trasnmitidos por la Sangre</v>
      </c>
      <c r="C1628" s="90" t="str">
        <v/>
      </c>
      <c r="D1628" s="89" t="str">
        <v>Periódica</v>
      </c>
      <c r="E1628" s="89">
        <v>365</v>
      </c>
      <c r="F1628" s="89" t="str">
        <v/>
      </c>
      <c r="G1628" s="89" t="str">
        <f ca="1"/>
        <v/>
      </c>
    </row>
    <row r="1629" spans="1:7" x14ac:dyDescent="0.3">
      <c r="A1629" s="89" t="str">
        <v/>
      </c>
      <c r="B1629" s="89" t="str">
        <v>Reporte y Gestion de Incidentes HSE (Todos)</v>
      </c>
      <c r="C1629" s="90" t="str">
        <v/>
      </c>
      <c r="D1629" s="89" t="str">
        <v>Periódica</v>
      </c>
      <c r="E1629" s="89">
        <v>365</v>
      </c>
      <c r="F1629" s="89" t="str">
        <v/>
      </c>
      <c r="G1629" s="89" t="str">
        <f ca="1"/>
        <v/>
      </c>
    </row>
    <row r="1630" spans="1:7" x14ac:dyDescent="0.3">
      <c r="A1630" s="89" t="str">
        <v/>
      </c>
      <c r="B1630" s="89" t="str">
        <v>Reporte, Gestion e Investigacion de Incidentes HSE (supervisores / investigadores (rol))</v>
      </c>
      <c r="C1630" s="90" t="str">
        <v/>
      </c>
      <c r="D1630" s="89" t="str">
        <v>Periódica</v>
      </c>
      <c r="E1630" s="89">
        <v>1095</v>
      </c>
      <c r="F1630" s="89" t="str">
        <v/>
      </c>
      <c r="G1630" s="89" t="str">
        <f ca="1"/>
        <v/>
      </c>
    </row>
    <row r="1631" spans="1:7" x14ac:dyDescent="0.3">
      <c r="A1631" s="89" t="str">
        <v/>
      </c>
      <c r="B1631" s="89" t="str">
        <v>Gruas y Equipos de Izaje (Todos)</v>
      </c>
      <c r="C1631" s="90" t="str">
        <v/>
      </c>
      <c r="D1631" s="89" t="str">
        <v>Periódica</v>
      </c>
      <c r="E1631" s="89">
        <v>365</v>
      </c>
      <c r="F1631" s="89" t="str">
        <v/>
      </c>
      <c r="G1631" s="89" t="str">
        <f ca="1"/>
        <v/>
      </c>
    </row>
    <row r="1632" spans="1:7" x14ac:dyDescent="0.3">
      <c r="A1632" s="89" t="str">
        <v/>
      </c>
      <c r="B1632" s="89" t="str">
        <v>HSMS.007 / Gruas y Equipos de Izaje (Operadores)</v>
      </c>
      <c r="C1632" s="90" t="str">
        <v/>
      </c>
      <c r="D1632" s="89" t="str">
        <v>Periódica</v>
      </c>
      <c r="E1632" s="89">
        <v>365</v>
      </c>
      <c r="F1632" s="89" t="str">
        <v/>
      </c>
      <c r="G1632" s="89" t="str">
        <f ca="1"/>
        <v/>
      </c>
    </row>
    <row r="1633" spans="1:7" x14ac:dyDescent="0.3">
      <c r="A1633" s="89" t="str">
        <v/>
      </c>
      <c r="B1633" s="89" t="str">
        <v>Proteccion Contra Incendios (Todos)</v>
      </c>
      <c r="C1633" s="90" t="str">
        <v/>
      </c>
      <c r="D1633" s="89" t="str">
        <v>Periódica</v>
      </c>
      <c r="E1633" s="89">
        <v>365</v>
      </c>
      <c r="F1633" s="89" t="str">
        <v/>
      </c>
      <c r="G1633" s="89" t="str">
        <f ca="1"/>
        <v/>
      </c>
    </row>
    <row r="1634" spans="1:7" x14ac:dyDescent="0.3">
      <c r="A1634" s="89" t="str">
        <v/>
      </c>
      <c r="B1634" s="89" t="str">
        <v>Proteccion Contra Incendios (Brigadistas)</v>
      </c>
      <c r="C1634" s="90" t="str">
        <v/>
      </c>
      <c r="D1634" s="89" t="str">
        <v>Periódica</v>
      </c>
      <c r="E1634" s="89">
        <v>365</v>
      </c>
      <c r="F1634" s="89" t="str">
        <v/>
      </c>
      <c r="G1634" s="89" t="str">
        <f ca="1"/>
        <v/>
      </c>
    </row>
    <row r="1635" spans="1:7" x14ac:dyDescent="0.3">
      <c r="A1635" s="89" t="str">
        <v/>
      </c>
      <c r="B1635" s="89" t="str">
        <v>Primeros Auxilios (Brigadistas)</v>
      </c>
      <c r="C1635" s="90" t="str">
        <v/>
      </c>
      <c r="D1635" s="89" t="str">
        <v>Periódica</v>
      </c>
      <c r="E1635" s="89">
        <v>365</v>
      </c>
      <c r="F1635" s="89" t="str">
        <v/>
      </c>
      <c r="G1635" s="89" t="str">
        <f ca="1"/>
        <v/>
      </c>
    </row>
    <row r="1636" spans="1:7" x14ac:dyDescent="0.3">
      <c r="A1636" s="89" t="str">
        <v/>
      </c>
      <c r="B1636" s="89" t="str">
        <v>Seguridad Electrica (Todos)</v>
      </c>
      <c r="C1636" s="90" t="str">
        <v/>
      </c>
      <c r="D1636" s="89" t="str">
        <v>Periódica</v>
      </c>
      <c r="E1636" s="89">
        <v>365</v>
      </c>
      <c r="F1636" s="89" t="str">
        <v/>
      </c>
      <c r="G1636" s="89" t="str">
        <f ca="1"/>
        <v/>
      </c>
    </row>
    <row r="1637" spans="1:7" x14ac:dyDescent="0.3">
      <c r="A1637" s="89" t="str">
        <v/>
      </c>
      <c r="B1637" s="89" t="str">
        <v>Seguridad Electrica (Personal Autorizado)</v>
      </c>
      <c r="C1637" s="90" t="str">
        <v/>
      </c>
      <c r="D1637" s="89" t="str">
        <v>Periódica</v>
      </c>
      <c r="E1637" s="89">
        <v>1095</v>
      </c>
      <c r="F1637" s="89" t="str">
        <v/>
      </c>
      <c r="G1637" s="89" t="str">
        <f ca="1"/>
        <v/>
      </c>
    </row>
    <row r="1638" spans="1:7" x14ac:dyDescent="0.3">
      <c r="A1638" s="89" t="str">
        <v/>
      </c>
      <c r="B1638" s="89" t="str">
        <v>Camiones Industriales Motorizados (PIT) (Todos)</v>
      </c>
      <c r="C1638" s="90" t="str">
        <v/>
      </c>
      <c r="D1638" s="89" t="str">
        <v>Periódica</v>
      </c>
      <c r="E1638" s="89">
        <v>365</v>
      </c>
      <c r="F1638" s="89" t="str">
        <v/>
      </c>
      <c r="G1638" s="89" t="str">
        <f ca="1"/>
        <v/>
      </c>
    </row>
    <row r="1639" spans="1:7" x14ac:dyDescent="0.3">
      <c r="A1639" s="89" t="str">
        <v/>
      </c>
      <c r="B1639" s="89" t="str">
        <v>Camiones Industriales Motorizados (PIT) (Op. Montacargas)</v>
      </c>
      <c r="C1639" s="90" t="str">
        <v/>
      </c>
      <c r="D1639" s="89" t="str">
        <v>Periódica</v>
      </c>
      <c r="E1639" s="89">
        <v>365</v>
      </c>
      <c r="F1639" s="89" t="str">
        <v/>
      </c>
      <c r="G1639" s="89" t="str">
        <f ca="1"/>
        <v/>
      </c>
    </row>
    <row r="1640" spans="1:7" x14ac:dyDescent="0.3">
      <c r="A1640" s="89" t="str">
        <v/>
      </c>
      <c r="B1640" s="89" t="str">
        <v>Control de Energias Peligrosas (LOTO) (Todos)</v>
      </c>
      <c r="C1640" s="90" t="str">
        <v/>
      </c>
      <c r="D1640" s="89" t="str">
        <v>Evento</v>
      </c>
      <c r="E1640" s="89">
        <v>0</v>
      </c>
      <c r="F1640" s="89" t="str">
        <v/>
      </c>
      <c r="G1640" s="89" t="str">
        <f ca="1"/>
        <v/>
      </c>
    </row>
    <row r="1641" spans="1:7" x14ac:dyDescent="0.3">
      <c r="A1641" s="89" t="str">
        <v/>
      </c>
      <c r="B1641" s="89" t="str">
        <v>Control de Energias Peligrosas (LOTO) (Empleados Autorizados)</v>
      </c>
      <c r="C1641" s="90" t="str">
        <v/>
      </c>
      <c r="D1641" s="89" t="str">
        <v>Periódica</v>
      </c>
      <c r="E1641" s="89">
        <v>365</v>
      </c>
      <c r="F1641" s="89" t="str">
        <v/>
      </c>
      <c r="G1641" s="89" t="str">
        <f ca="1"/>
        <v/>
      </c>
    </row>
    <row r="1642" spans="1:7" x14ac:dyDescent="0.3">
      <c r="A1642" s="89" t="str">
        <v/>
      </c>
      <c r="B1642" s="89" t="str">
        <v>Seguridad aplicada al Pozo &amp; Yacimiento</v>
      </c>
      <c r="C1642" s="90" t="str">
        <v/>
      </c>
      <c r="D1642" s="89" t="str">
        <v>Periódica</v>
      </c>
      <c r="E1642" s="89">
        <v>365</v>
      </c>
      <c r="F1642" s="89" t="str">
        <v/>
      </c>
      <c r="G1642" s="89" t="str">
        <f ca="1"/>
        <v/>
      </c>
    </row>
    <row r="1643" spans="1:7" x14ac:dyDescent="0.3">
      <c r="A1643" s="89" t="str">
        <v/>
      </c>
      <c r="B1643" s="89" t="str">
        <v>Las Reglas que Salvan Vidas</v>
      </c>
      <c r="C1643" s="90" t="str">
        <v/>
      </c>
      <c r="D1643" s="89" t="str">
        <v>Periódica</v>
      </c>
      <c r="E1643" s="89">
        <v>365</v>
      </c>
      <c r="F1643" s="89" t="str">
        <v/>
      </c>
      <c r="G1643" s="89" t="str">
        <f ca="1"/>
        <v/>
      </c>
    </row>
    <row r="1644" spans="1:7" x14ac:dyDescent="0.3">
      <c r="A1644" s="89" t="str">
        <v/>
      </c>
      <c r="B1644" s="89" t="str">
        <v xml:space="preserve">Resguardo de Maquinas &amp; Equipos </v>
      </c>
      <c r="C1644" s="90" t="str">
        <v/>
      </c>
      <c r="D1644" s="89" t="str">
        <v>Periódica</v>
      </c>
      <c r="E1644" s="89">
        <v>365</v>
      </c>
      <c r="F1644" s="89" t="str">
        <v/>
      </c>
      <c r="G1644" s="89" t="str">
        <f ca="1"/>
        <v/>
      </c>
    </row>
    <row r="1645" spans="1:7" x14ac:dyDescent="0.3">
      <c r="A1645" s="89" t="str">
        <v/>
      </c>
      <c r="B1645" s="89" t="str">
        <v>Conduccion y Gestion de Viajes (Todos)</v>
      </c>
      <c r="C1645" s="90" t="str">
        <v/>
      </c>
      <c r="D1645" s="89" t="str">
        <v>Periódica</v>
      </c>
      <c r="E1645" s="89">
        <v>730</v>
      </c>
      <c r="F1645" s="89" t="str">
        <v/>
      </c>
      <c r="G1645" s="89" t="str">
        <f ca="1"/>
        <v/>
      </c>
    </row>
    <row r="1646" spans="1:7" x14ac:dyDescent="0.3">
      <c r="A1646" s="89" t="str">
        <v/>
      </c>
      <c r="B1646" s="89" t="str">
        <v>Conduccion y Gestion de Viajes (Conductores)</v>
      </c>
      <c r="C1646" s="90" t="str">
        <v/>
      </c>
      <c r="D1646" s="89" t="str">
        <v>Periódica</v>
      </c>
      <c r="E1646" s="89">
        <v>1095</v>
      </c>
      <c r="F1646" s="89" t="str">
        <v/>
      </c>
      <c r="G1646" s="89" t="str">
        <f ca="1"/>
        <v/>
      </c>
    </row>
    <row r="1647" spans="1:7" x14ac:dyDescent="0.3">
      <c r="A1647" s="89" t="str">
        <v/>
      </c>
      <c r="B1647" s="89" t="str">
        <v>Patogenos Transmitidos por la Sangre</v>
      </c>
      <c r="C1647" s="90" t="str">
        <v/>
      </c>
      <c r="D1647" s="89" t="str">
        <v>Periódica</v>
      </c>
      <c r="E1647" s="89">
        <v>365</v>
      </c>
      <c r="F1647" s="89" t="str">
        <v/>
      </c>
      <c r="G1647" s="89" t="str">
        <f ca="1"/>
        <v/>
      </c>
    </row>
    <row r="1648" spans="1:7" x14ac:dyDescent="0.3">
      <c r="A1648" s="89" t="str">
        <v/>
      </c>
      <c r="B1648" s="89" t="str">
        <v>Conservacion Auditiva</v>
      </c>
      <c r="C1648" s="90" t="str">
        <v/>
      </c>
      <c r="D1648" s="89" t="str">
        <v>Periódica</v>
      </c>
      <c r="E1648" s="89">
        <v>365</v>
      </c>
      <c r="F1648" s="89" t="str">
        <v/>
      </c>
      <c r="G1648" s="89" t="str">
        <f ca="1"/>
        <v/>
      </c>
    </row>
    <row r="1649" spans="1:7" x14ac:dyDescent="0.3">
      <c r="A1649" s="89" t="str">
        <v/>
      </c>
      <c r="B1649" s="89" t="str">
        <v xml:space="preserve">Ergonomia //  / Levantamiento &amp; Seguridad en la Espalda </v>
      </c>
      <c r="C1649" s="90" t="str">
        <v/>
      </c>
      <c r="D1649" s="89" t="str">
        <v>Periódica</v>
      </c>
      <c r="E1649" s="89">
        <v>365</v>
      </c>
      <c r="F1649" s="89" t="str">
        <v/>
      </c>
      <c r="G1649" s="89" t="str">
        <f ca="1"/>
        <v/>
      </c>
    </row>
    <row r="1650" spans="1:7" x14ac:dyDescent="0.3">
      <c r="A1650" s="89" t="str">
        <v/>
      </c>
      <c r="B1650" s="89" t="str">
        <v>Superficies Elevadas (Todos)</v>
      </c>
      <c r="C1650" s="90" t="str">
        <v/>
      </c>
      <c r="D1650" s="89" t="str">
        <v>Periódica</v>
      </c>
      <c r="E1650" s="89">
        <v>365</v>
      </c>
      <c r="F1650" s="89" t="str">
        <v/>
      </c>
      <c r="G1650" s="89" t="str">
        <f ca="1"/>
        <v/>
      </c>
    </row>
    <row r="1651" spans="1:7" x14ac:dyDescent="0.3">
      <c r="A1651" s="89" t="str">
        <v/>
      </c>
      <c r="B1651" s="89" t="str">
        <v>Superficies Elevadas (Personal Habilitado)</v>
      </c>
      <c r="C1651" s="90" t="str">
        <v/>
      </c>
      <c r="D1651" s="89" t="str">
        <v>Periódica</v>
      </c>
      <c r="E1651" s="89">
        <v>365</v>
      </c>
      <c r="F1651" s="89" t="str">
        <v/>
      </c>
      <c r="G1651" s="89" t="str">
        <f ca="1"/>
        <v/>
      </c>
    </row>
    <row r="1652" spans="1:7" x14ac:dyDescent="0.3">
      <c r="A1652" s="89" t="str">
        <v/>
      </c>
      <c r="B1652" s="89" t="str">
        <v>Seguridad Quimica (Todos)</v>
      </c>
      <c r="C1652" s="90" t="str">
        <v/>
      </c>
      <c r="D1652" s="89" t="str">
        <v>Periódica</v>
      </c>
      <c r="E1652" s="89">
        <v>730</v>
      </c>
      <c r="F1652" s="89" t="str">
        <v/>
      </c>
      <c r="G1652" s="89" t="str">
        <f ca="1"/>
        <v/>
      </c>
    </row>
    <row r="1653" spans="1:7" x14ac:dyDescent="0.3">
      <c r="A1653" s="89" t="str">
        <v/>
      </c>
      <c r="B1653" s="89" t="str">
        <v>Seguridad Quimica (Mantenimiento)</v>
      </c>
      <c r="C1653" s="90" t="str">
        <v/>
      </c>
      <c r="D1653" s="89" t="str">
        <v>Periódica</v>
      </c>
      <c r="E1653" s="89">
        <v>365</v>
      </c>
      <c r="F1653" s="89" t="str">
        <v/>
      </c>
      <c r="G1653" s="89" t="str">
        <f ca="1"/>
        <v/>
      </c>
    </row>
    <row r="1654" spans="1:7" x14ac:dyDescent="0.3">
      <c r="A1654" s="89" t="str">
        <v/>
      </c>
      <c r="B1654" s="89" t="str">
        <v>Seguridad Quimica (Contratistas)</v>
      </c>
      <c r="C1654" s="90" t="str">
        <v/>
      </c>
      <c r="D1654" s="89" t="str">
        <v>Periódica</v>
      </c>
      <c r="E1654" s="89">
        <v>365</v>
      </c>
      <c r="F1654" s="89" t="str">
        <v/>
      </c>
      <c r="G1654" s="89" t="str">
        <f ca="1"/>
        <v/>
      </c>
    </row>
    <row r="1655" spans="1:7" x14ac:dyDescent="0.3">
      <c r="A1655" s="89" t="str">
        <v/>
      </c>
      <c r="B1655" s="89" t="str">
        <v>Seguridad para Trabajos en Caliente</v>
      </c>
      <c r="C1655" s="90" t="str">
        <v/>
      </c>
      <c r="D1655" s="89" t="str">
        <v>Periódica</v>
      </c>
      <c r="E1655" s="89">
        <v>365</v>
      </c>
      <c r="F1655" s="89" t="str">
        <v/>
      </c>
      <c r="G1655" s="89" t="str">
        <f ca="1"/>
        <v/>
      </c>
    </row>
    <row r="1656" spans="1:7" x14ac:dyDescent="0.3">
      <c r="A1656" s="89" t="str">
        <v/>
      </c>
      <c r="B1656" s="89" t="str">
        <v>Seguridad con la Radiacion</v>
      </c>
      <c r="C1656" s="90" t="str">
        <v/>
      </c>
      <c r="D1656" s="89" t="str">
        <v>Periódica</v>
      </c>
      <c r="E1656" s="89">
        <v>365</v>
      </c>
      <c r="F1656" s="89" t="str">
        <v/>
      </c>
      <c r="G1656" s="89" t="str">
        <f ca="1"/>
        <v/>
      </c>
    </row>
    <row r="1657" spans="1:7" x14ac:dyDescent="0.3">
      <c r="A1657" s="89" t="str">
        <v/>
      </c>
      <c r="B1657" s="89" t="str">
        <v>Equipo de Proteccion Personal (PPE)</v>
      </c>
      <c r="C1657" s="90" t="str">
        <v/>
      </c>
      <c r="D1657" s="89" t="str">
        <v>Periódica</v>
      </c>
      <c r="E1657" s="89">
        <v>365</v>
      </c>
      <c r="F1657" s="89" t="str">
        <v/>
      </c>
      <c r="G1657" s="89" t="str">
        <f ca="1"/>
        <v/>
      </c>
    </row>
    <row r="1658" spans="1:7" x14ac:dyDescent="0.3">
      <c r="A1658" s="89" t="str">
        <v/>
      </c>
      <c r="B1658" s="89" t="str">
        <v>Proteccion Respiratoria</v>
      </c>
      <c r="C1658" s="90" t="str">
        <v/>
      </c>
      <c r="D1658" s="89" t="str">
        <v>Periódica</v>
      </c>
      <c r="E1658" s="89">
        <v>365</v>
      </c>
      <c r="F1658" s="89" t="str">
        <v/>
      </c>
      <c r="G1658" s="89" t="str">
        <f ca="1"/>
        <v/>
      </c>
    </row>
    <row r="1659" spans="1:7" x14ac:dyDescent="0.3">
      <c r="A1659" s="89" t="str">
        <v/>
      </c>
      <c r="B1659" s="89" t="str">
        <v xml:space="preserve">Seguridad con Escaleras </v>
      </c>
      <c r="C1659" s="90" t="str">
        <v/>
      </c>
      <c r="D1659" s="89" t="str">
        <v>Periódica</v>
      </c>
      <c r="E1659" s="89">
        <v>365</v>
      </c>
      <c r="F1659" s="89" t="str">
        <v/>
      </c>
      <c r="G1659" s="89" t="str">
        <f ca="1"/>
        <v/>
      </c>
    </row>
    <row r="1660" spans="1:7" x14ac:dyDescent="0.3">
      <c r="A1660" s="89" t="str">
        <v/>
      </c>
      <c r="B1660" s="89" t="str">
        <v>Seguridad con Escaleras // Estantes de Almacenamiento</v>
      </c>
      <c r="C1660" s="90" t="str">
        <v/>
      </c>
      <c r="D1660" s="89" t="str">
        <v>Periódica</v>
      </c>
      <c r="E1660" s="89">
        <v>365</v>
      </c>
      <c r="F1660" s="89" t="str">
        <v/>
      </c>
      <c r="G1660" s="89" t="str">
        <f ca="1"/>
        <v/>
      </c>
    </row>
    <row r="1661" spans="1:7" x14ac:dyDescent="0.3">
      <c r="A1661" s="89" t="str">
        <v/>
      </c>
      <c r="B1661" s="89" t="str">
        <v>Responsabilidades del Supervisor</v>
      </c>
      <c r="C1661" s="90" t="str">
        <v/>
      </c>
      <c r="D1661" s="89" t="str">
        <v>Periódica</v>
      </c>
      <c r="E1661" s="89">
        <v>365</v>
      </c>
      <c r="F1661" s="89" t="str">
        <v/>
      </c>
      <c r="G1661" s="89" t="str">
        <f ca="1"/>
        <v/>
      </c>
    </row>
    <row r="1662" spans="1:7" x14ac:dyDescent="0.3">
      <c r="A1662" s="89" t="str">
        <v/>
      </c>
      <c r="B1662" s="89" t="str">
        <v>Espacios Confinados (Todos)</v>
      </c>
      <c r="C1662" s="90" t="str">
        <v/>
      </c>
      <c r="D1662" s="89" t="str">
        <v>Periódica</v>
      </c>
      <c r="E1662" s="89">
        <v>365</v>
      </c>
      <c r="F1662" s="89" t="str">
        <v/>
      </c>
      <c r="G1662" s="89" t="str">
        <f ca="1"/>
        <v/>
      </c>
    </row>
    <row r="1663" spans="1:7" x14ac:dyDescent="0.3">
      <c r="A1663" s="89" t="str">
        <v/>
      </c>
      <c r="B1663" s="89" t="str">
        <v>HSMS.017 / Espacios Confinados (Entrantes)</v>
      </c>
      <c r="C1663" s="90" t="str">
        <v/>
      </c>
      <c r="D1663" s="89" t="str">
        <v>Evento</v>
      </c>
      <c r="E1663" s="89">
        <v>0</v>
      </c>
      <c r="F1663" s="89" t="str">
        <v/>
      </c>
      <c r="G1663" s="89" t="str">
        <f ca="1"/>
        <v/>
      </c>
    </row>
    <row r="1664" spans="1:7" x14ac:dyDescent="0.3">
      <c r="A1664" s="89" t="str">
        <v/>
      </c>
      <c r="B1664" s="89" t="str">
        <v>Programa de Agua (Todos)</v>
      </c>
      <c r="C1664" s="90" t="str">
        <v/>
      </c>
      <c r="D1664" s="89" t="str">
        <v>Evento</v>
      </c>
      <c r="E1664" s="89">
        <v>0</v>
      </c>
      <c r="F1664" s="89" t="str">
        <v/>
      </c>
      <c r="G1664" s="89" t="str">
        <f ca="1"/>
        <v/>
      </c>
    </row>
    <row r="1665" spans="1:7" x14ac:dyDescent="0.3">
      <c r="A1665" s="89" t="str">
        <v/>
      </c>
      <c r="B1665" s="89" t="str">
        <v>Programa de Agua (HSE)</v>
      </c>
      <c r="C1665" s="90" t="str">
        <v/>
      </c>
      <c r="D1665" s="89" t="str">
        <v>Evento</v>
      </c>
      <c r="E1665" s="89">
        <v>0</v>
      </c>
      <c r="F1665" s="89" t="str">
        <v/>
      </c>
      <c r="G1665" s="89" t="str">
        <f ca="1"/>
        <v/>
      </c>
    </row>
    <row r="1666" spans="1:7" x14ac:dyDescent="0.3">
      <c r="A1666" s="89" t="str">
        <v/>
      </c>
      <c r="B1666" s="89" t="str">
        <v>HIV/SIDA y otras enfermedades de transmisión sexual (ETS)</v>
      </c>
      <c r="C1666" s="90" t="str">
        <v/>
      </c>
      <c r="D1666" s="89" t="str">
        <v>Periódica</v>
      </c>
      <c r="E1666" s="89">
        <v>365</v>
      </c>
      <c r="F1666" s="89" t="str">
        <v/>
      </c>
      <c r="G1666" s="89" t="str">
        <f ca="1"/>
        <v/>
      </c>
    </row>
    <row r="1667" spans="1:7" x14ac:dyDescent="0.3">
      <c r="A1667" s="89" t="str">
        <v/>
      </c>
      <c r="B1667" s="89" t="str">
        <v>Drogas de abuso (concientización y prevención)</v>
      </c>
      <c r="C1667" s="90" t="str">
        <v/>
      </c>
      <c r="D1667" s="89" t="str">
        <v>Periódica</v>
      </c>
      <c r="E1667" s="89">
        <v>365</v>
      </c>
      <c r="F1667" s="89" t="str">
        <v/>
      </c>
      <c r="G1667" s="89" t="str">
        <f ca="1"/>
        <v/>
      </c>
    </row>
    <row r="1668" spans="1:7" x14ac:dyDescent="0.3">
      <c r="A1668" s="89" t="str">
        <v/>
      </c>
      <c r="B1668" s="89" t="str">
        <v>Vida saludable (hábitos, autocuidado y bienestar)</v>
      </c>
      <c r="C1668" s="90" t="str">
        <v/>
      </c>
      <c r="D1668" s="89" t="str">
        <v>Periódica</v>
      </c>
      <c r="E1668" s="89">
        <v>365</v>
      </c>
      <c r="F1668" s="89" t="str">
        <v/>
      </c>
      <c r="G1668" s="89" t="str">
        <f ca="1"/>
        <v/>
      </c>
    </row>
    <row r="1669" spans="1:7" x14ac:dyDescent="0.3">
      <c r="A1669" s="89" t="str">
        <v/>
      </c>
      <c r="B1669" s="89" t="str">
        <v>Primeros auxilios y Reanimación Cardio Pulmonar (RCP)</v>
      </c>
      <c r="C1669" s="90" t="str">
        <v/>
      </c>
      <c r="D1669" s="89" t="str">
        <v>Periódica</v>
      </c>
      <c r="E1669" s="89">
        <v>365</v>
      </c>
      <c r="F1669" s="89" t="str">
        <v/>
      </c>
      <c r="G1669" s="89" t="str">
        <f ca="1"/>
        <v/>
      </c>
    </row>
    <row r="1670" spans="1:7" x14ac:dyDescent="0.3">
      <c r="A1670" s="89" t="str">
        <v/>
      </c>
      <c r="B1670" s="89" t="str">
        <v>Prevención cardiovascular (factores de riesgo y señales de alarma)</v>
      </c>
      <c r="C1670" s="90" t="str">
        <v/>
      </c>
      <c r="D1670" s="89" t="str">
        <v>Periódica</v>
      </c>
      <c r="E1670" s="89">
        <v>365</v>
      </c>
      <c r="F1670" s="89" t="str">
        <v/>
      </c>
      <c r="G1670" s="89" t="str">
        <f ca="1"/>
        <v/>
      </c>
    </row>
    <row r="1671" spans="1:7" x14ac:dyDescent="0.3">
      <c r="A1671" s="89" t="str">
        <v/>
      </c>
      <c r="B1671" s="89" t="str">
        <v>Efectos del tabaco sobre la salud</v>
      </c>
      <c r="C1671" s="90" t="str">
        <v/>
      </c>
      <c r="D1671" s="89" t="str">
        <v>Periódica</v>
      </c>
      <c r="E1671" s="89">
        <v>365</v>
      </c>
      <c r="F1671" s="89" t="str">
        <v/>
      </c>
      <c r="G1671" s="89" t="str">
        <f ca="1"/>
        <v/>
      </c>
    </row>
    <row r="1672" spans="1:7" x14ac:dyDescent="0.3">
      <c r="A1672" s="89" t="str">
        <v/>
      </c>
      <c r="B1672" s="89" t="str">
        <v>Cargadora (Op. Montacargas)</v>
      </c>
      <c r="C1672" s="90" t="str">
        <v/>
      </c>
      <c r="D1672" s="89" t="str">
        <v>Periódica</v>
      </c>
      <c r="E1672" s="89">
        <v>365</v>
      </c>
      <c r="F1672" s="89" t="str">
        <v/>
      </c>
      <c r="G1672" s="89" t="str">
        <f ca="1"/>
        <v/>
      </c>
    </row>
    <row r="1673" spans="1:7" x14ac:dyDescent="0.3">
      <c r="A1673" s="89" t="str">
        <v/>
      </c>
      <c r="B1673" s="89">
        <v>0</v>
      </c>
      <c r="C1673" s="90" t="str">
        <v/>
      </c>
      <c r="D1673" s="89" t="str">
        <v/>
      </c>
      <c r="E1673" s="89" t="str">
        <v/>
      </c>
      <c r="F1673" s="89" t="str">
        <v/>
      </c>
      <c r="G1673" s="89" t="str">
        <f ca="1"/>
        <v/>
      </c>
    </row>
    <row r="1674" spans="1:7" x14ac:dyDescent="0.3">
      <c r="A1674" s="89" t="str">
        <v/>
      </c>
      <c r="B1674" s="89">
        <v>0</v>
      </c>
      <c r="C1674" s="90" t="str">
        <v/>
      </c>
      <c r="D1674" s="89" t="str">
        <v/>
      </c>
      <c r="E1674" s="89" t="str">
        <v/>
      </c>
      <c r="F1674" s="89" t="str">
        <v/>
      </c>
      <c r="G1674" s="89" t="str">
        <f ca="1"/>
        <v/>
      </c>
    </row>
    <row r="1675" spans="1:7" x14ac:dyDescent="0.3">
      <c r="A1675" s="89" t="str">
        <v/>
      </c>
      <c r="B1675" s="89">
        <v>0</v>
      </c>
      <c r="C1675" s="90" t="str">
        <v/>
      </c>
      <c r="D1675" s="89" t="str">
        <v/>
      </c>
      <c r="E1675" s="89" t="str">
        <v/>
      </c>
      <c r="F1675" s="89" t="str">
        <v/>
      </c>
      <c r="G1675" s="89" t="str">
        <f ca="1"/>
        <v/>
      </c>
    </row>
    <row r="1676" spans="1:7" x14ac:dyDescent="0.3">
      <c r="A1676" s="89" t="str">
        <v/>
      </c>
      <c r="B1676" s="89">
        <v>0</v>
      </c>
      <c r="C1676" s="90" t="str">
        <v/>
      </c>
      <c r="D1676" s="89" t="str">
        <v/>
      </c>
      <c r="E1676" s="89" t="str">
        <v/>
      </c>
      <c r="F1676" s="89" t="str">
        <v/>
      </c>
      <c r="G1676" s="89" t="str">
        <f ca="1"/>
        <v/>
      </c>
    </row>
    <row r="1677" spans="1:7" x14ac:dyDescent="0.3">
      <c r="A1677" s="89" t="str">
        <v/>
      </c>
      <c r="B1677" s="89">
        <v>0</v>
      </c>
      <c r="C1677" s="90" t="str">
        <v/>
      </c>
      <c r="D1677" s="89" t="str">
        <v/>
      </c>
      <c r="E1677" s="89" t="str">
        <v/>
      </c>
      <c r="F1677" s="89" t="str">
        <v/>
      </c>
      <c r="G1677" s="89" t="str">
        <f ca="1"/>
        <v/>
      </c>
    </row>
    <row r="1678" spans="1:7" x14ac:dyDescent="0.3">
      <c r="A1678" s="89" t="str">
        <v/>
      </c>
      <c r="B1678" s="89">
        <v>0</v>
      </c>
      <c r="C1678" s="90" t="str">
        <v/>
      </c>
      <c r="D1678" s="89" t="str">
        <v/>
      </c>
      <c r="E1678" s="89" t="str">
        <v/>
      </c>
      <c r="F1678" s="89" t="str">
        <v/>
      </c>
      <c r="G1678" s="89" t="str">
        <f ca="1"/>
        <v/>
      </c>
    </row>
    <row r="1679" spans="1:7" x14ac:dyDescent="0.3">
      <c r="A1679" s="89" t="str">
        <v/>
      </c>
      <c r="B1679" s="89">
        <v>0</v>
      </c>
      <c r="C1679" s="90" t="str">
        <v/>
      </c>
      <c r="D1679" s="89" t="str">
        <v/>
      </c>
      <c r="E1679" s="89" t="str">
        <v/>
      </c>
      <c r="F1679" s="89" t="str">
        <v/>
      </c>
      <c r="G1679" s="89" t="str">
        <f ca="1"/>
        <v/>
      </c>
    </row>
    <row r="1680" spans="1:7" x14ac:dyDescent="0.3">
      <c r="A1680" s="89" t="str">
        <v/>
      </c>
      <c r="B1680" s="89">
        <v>0</v>
      </c>
      <c r="C1680" s="90" t="str">
        <v/>
      </c>
      <c r="D1680" s="89" t="str">
        <v/>
      </c>
      <c r="E1680" s="89" t="str">
        <v/>
      </c>
      <c r="F1680" s="89" t="str">
        <v/>
      </c>
      <c r="G1680" s="89" t="str">
        <f ca="1"/>
        <v/>
      </c>
    </row>
    <row r="1681" spans="1:7" x14ac:dyDescent="0.3">
      <c r="A1681" s="89" t="str">
        <v/>
      </c>
      <c r="B1681" s="89">
        <v>0</v>
      </c>
      <c r="C1681" s="90" t="str">
        <v/>
      </c>
      <c r="D1681" s="89" t="str">
        <v/>
      </c>
      <c r="E1681" s="89" t="str">
        <v/>
      </c>
      <c r="F1681" s="89" t="str">
        <v/>
      </c>
      <c r="G1681" s="89" t="str">
        <f ca="1"/>
        <v/>
      </c>
    </row>
    <row r="1682" spans="1:7" x14ac:dyDescent="0.3">
      <c r="A1682" s="89" t="str">
        <v/>
      </c>
      <c r="B1682" s="89" t="str">
        <v>Programa de Aire</v>
      </c>
      <c r="C1682" s="90" t="str">
        <v/>
      </c>
      <c r="D1682" s="89" t="str">
        <v>Evento</v>
      </c>
      <c r="E1682" s="89">
        <v>0</v>
      </c>
      <c r="F1682" s="89" t="str">
        <v/>
      </c>
      <c r="G1682" s="89" t="str">
        <f ca="1"/>
        <v/>
      </c>
    </row>
    <row r="1683" spans="1:7" x14ac:dyDescent="0.3">
      <c r="A1683" s="89" t="str">
        <v/>
      </c>
      <c r="B1683" s="89" t="str">
        <v>Conciencia Ambiental</v>
      </c>
      <c r="C1683" s="90" t="str">
        <v/>
      </c>
      <c r="D1683" s="89" t="str">
        <v>Periódica</v>
      </c>
      <c r="E1683" s="89">
        <v>365</v>
      </c>
      <c r="F1683" s="89" t="str">
        <v/>
      </c>
      <c r="G1683" s="89" t="str">
        <f ca="1"/>
        <v/>
      </c>
    </row>
    <row r="1684" spans="1:7" x14ac:dyDescent="0.3">
      <c r="A1684" s="89" t="str">
        <v/>
      </c>
      <c r="B1684" s="89" t="str">
        <v xml:space="preserve">Control de Documentos e Informacion de HSE </v>
      </c>
      <c r="C1684" s="90" t="str">
        <v/>
      </c>
      <c r="D1684" s="89" t="str">
        <v>Evento</v>
      </c>
      <c r="E1684" s="89">
        <v>0</v>
      </c>
      <c r="F1684" s="89" t="str">
        <v/>
      </c>
      <c r="G1684" s="89" t="str">
        <f ca="1"/>
        <v/>
      </c>
    </row>
    <row r="1685" spans="1:7" x14ac:dyDescent="0.3">
      <c r="A1685" s="89" t="str">
        <v/>
      </c>
      <c r="B1685" s="89" t="str">
        <v xml:space="preserve"> Acciones Correctivas y Preventivas (CAPA)</v>
      </c>
      <c r="C1685" s="90" t="str">
        <v/>
      </c>
      <c r="D1685" s="89" t="str">
        <v>Evento</v>
      </c>
      <c r="E1685" s="89">
        <v>0</v>
      </c>
      <c r="F1685" s="89" t="str">
        <v/>
      </c>
      <c r="G1685" s="89" t="str">
        <f ca="1"/>
        <v/>
      </c>
    </row>
    <row r="1686" spans="1:7" x14ac:dyDescent="0.3">
      <c r="A1686" s="89" t="str">
        <v/>
      </c>
      <c r="B1686" s="89" t="str">
        <v>Seguridad Basada en el Comportamiento (Observation Program) // HSMS.043 / Autoridad de Detener el Trabajo</v>
      </c>
      <c r="C1686" s="90" t="str">
        <v/>
      </c>
      <c r="D1686" s="89" t="str">
        <v>Periódica</v>
      </c>
      <c r="E1686" s="89">
        <v>365</v>
      </c>
      <c r="F1686" s="89" t="str">
        <v/>
      </c>
      <c r="G1686" s="89" t="str">
        <f ca="1"/>
        <v/>
      </c>
    </row>
    <row r="1687" spans="1:7" x14ac:dyDescent="0.3">
      <c r="A1687" s="89" t="str">
        <v/>
      </c>
      <c r="B1687" s="89" t="str">
        <v>Identificacion de Peligros y Evaluacion de Riesgos</v>
      </c>
      <c r="C1687" s="90" t="str">
        <v/>
      </c>
      <c r="D1687" s="89" t="str">
        <v>Evento</v>
      </c>
      <c r="E1687" s="89">
        <v>0</v>
      </c>
      <c r="F1687" s="89" t="str">
        <v/>
      </c>
      <c r="G1687" s="89" t="str">
        <f ca="1"/>
        <v/>
      </c>
    </row>
    <row r="1688" spans="1:7" x14ac:dyDescent="0.3">
      <c r="A1688" s="89" t="str">
        <v/>
      </c>
      <c r="B1688" s="89" t="str">
        <v xml:space="preserve"> Plan de Respuesta ante Eemergencias / HSMS.010 /Primeros Axulios &amp; RCP/DEA / HSMSWT-002 / Patogenos Trasnmitidos por la Sangre</v>
      </c>
      <c r="C1688" s="90" t="str">
        <v/>
      </c>
      <c r="D1688" s="89" t="str">
        <v>Periódica</v>
      </c>
      <c r="E1688" s="89">
        <v>365</v>
      </c>
      <c r="F1688" s="89" t="str">
        <v/>
      </c>
      <c r="G1688" s="89" t="str">
        <f ca="1"/>
        <v/>
      </c>
    </row>
    <row r="1689" spans="1:7" x14ac:dyDescent="0.3">
      <c r="A1689" s="89" t="str">
        <v/>
      </c>
      <c r="B1689" s="89" t="str">
        <v>Reporte y Gestion de Incidentes HSE (Todos)</v>
      </c>
      <c r="C1689" s="90" t="str">
        <v/>
      </c>
      <c r="D1689" s="89" t="str">
        <v>Periódica</v>
      </c>
      <c r="E1689" s="89">
        <v>365</v>
      </c>
      <c r="F1689" s="89" t="str">
        <v/>
      </c>
      <c r="G1689" s="89" t="str">
        <f ca="1"/>
        <v/>
      </c>
    </row>
    <row r="1690" spans="1:7" x14ac:dyDescent="0.3">
      <c r="A1690" s="89" t="str">
        <v/>
      </c>
      <c r="B1690" s="89" t="str">
        <v>Reporte, Gestion e Investigacion de Incidentes HSE (supervisores / investigadores (rol))</v>
      </c>
      <c r="C1690" s="90" t="str">
        <v/>
      </c>
      <c r="D1690" s="89" t="str">
        <v>Periódica</v>
      </c>
      <c r="E1690" s="89">
        <v>1095</v>
      </c>
      <c r="F1690" s="89" t="str">
        <v/>
      </c>
      <c r="G1690" s="89" t="str">
        <f ca="1"/>
        <v/>
      </c>
    </row>
    <row r="1691" spans="1:7" x14ac:dyDescent="0.3">
      <c r="A1691" s="89" t="str">
        <v/>
      </c>
      <c r="B1691" s="89" t="str">
        <v>Gruas y Equipos de Izaje (Todos)</v>
      </c>
      <c r="C1691" s="90" t="str">
        <v/>
      </c>
      <c r="D1691" s="89" t="str">
        <v>Periódica</v>
      </c>
      <c r="E1691" s="89">
        <v>365</v>
      </c>
      <c r="F1691" s="89" t="str">
        <v/>
      </c>
      <c r="G1691" s="89" t="str">
        <f ca="1"/>
        <v/>
      </c>
    </row>
    <row r="1692" spans="1:7" x14ac:dyDescent="0.3">
      <c r="A1692" s="89" t="str">
        <v/>
      </c>
      <c r="B1692" s="89" t="str">
        <v>HSMS.007 / Gruas y Equipos de Izaje (Operadores)</v>
      </c>
      <c r="C1692" s="90" t="str">
        <v/>
      </c>
      <c r="D1692" s="89" t="str">
        <v>Periódica</v>
      </c>
      <c r="E1692" s="89">
        <v>365</v>
      </c>
      <c r="F1692" s="89" t="str">
        <v/>
      </c>
      <c r="G1692" s="89" t="str">
        <f ca="1"/>
        <v/>
      </c>
    </row>
    <row r="1693" spans="1:7" x14ac:dyDescent="0.3">
      <c r="A1693" s="89" t="str">
        <v/>
      </c>
      <c r="B1693" s="89" t="str">
        <v>Proteccion Contra Incendios (Todos)</v>
      </c>
      <c r="C1693" s="90" t="str">
        <v/>
      </c>
      <c r="D1693" s="89" t="str">
        <v>Periódica</v>
      </c>
      <c r="E1693" s="89">
        <v>365</v>
      </c>
      <c r="F1693" s="89" t="str">
        <v/>
      </c>
      <c r="G1693" s="89" t="str">
        <f ca="1"/>
        <v/>
      </c>
    </row>
    <row r="1694" spans="1:7" x14ac:dyDescent="0.3">
      <c r="A1694" s="89" t="str">
        <v/>
      </c>
      <c r="B1694" s="89" t="str">
        <v>Proteccion Contra Incendios (Brigadistas)</v>
      </c>
      <c r="C1694" s="90" t="str">
        <v/>
      </c>
      <c r="D1694" s="89" t="str">
        <v>Periódica</v>
      </c>
      <c r="E1694" s="89">
        <v>365</v>
      </c>
      <c r="F1694" s="89" t="str">
        <v/>
      </c>
      <c r="G1694" s="89" t="str">
        <f ca="1"/>
        <v/>
      </c>
    </row>
    <row r="1695" spans="1:7" x14ac:dyDescent="0.3">
      <c r="A1695" s="89" t="str">
        <v/>
      </c>
      <c r="B1695" s="89" t="str">
        <v>Primeros Auxilios (Brigadistas)</v>
      </c>
      <c r="C1695" s="90" t="str">
        <v/>
      </c>
      <c r="D1695" s="89" t="str">
        <v>Periódica</v>
      </c>
      <c r="E1695" s="89">
        <v>365</v>
      </c>
      <c r="F1695" s="89" t="str">
        <v/>
      </c>
      <c r="G1695" s="89" t="str">
        <f ca="1"/>
        <v/>
      </c>
    </row>
    <row r="1696" spans="1:7" x14ac:dyDescent="0.3">
      <c r="A1696" s="89" t="str">
        <v/>
      </c>
      <c r="B1696" s="89" t="str">
        <v>Seguridad Electrica (Todos)</v>
      </c>
      <c r="C1696" s="90" t="str">
        <v/>
      </c>
      <c r="D1696" s="89" t="str">
        <v>Periódica</v>
      </c>
      <c r="E1696" s="89">
        <v>365</v>
      </c>
      <c r="F1696" s="89" t="str">
        <v/>
      </c>
      <c r="G1696" s="89" t="str">
        <f ca="1"/>
        <v/>
      </c>
    </row>
    <row r="1697" spans="1:7" x14ac:dyDescent="0.3">
      <c r="A1697" s="89" t="str">
        <v/>
      </c>
      <c r="B1697" s="89" t="str">
        <v>Seguridad Electrica (Personal Autorizado)</v>
      </c>
      <c r="C1697" s="90" t="str">
        <v/>
      </c>
      <c r="D1697" s="89" t="str">
        <v>Periódica</v>
      </c>
      <c r="E1697" s="89">
        <v>1095</v>
      </c>
      <c r="F1697" s="89" t="str">
        <v/>
      </c>
      <c r="G1697" s="89" t="str">
        <f ca="1"/>
        <v/>
      </c>
    </row>
    <row r="1698" spans="1:7" x14ac:dyDescent="0.3">
      <c r="A1698" s="89" t="str">
        <v/>
      </c>
      <c r="B1698" s="89" t="str">
        <v>Camiones Industriales Motorizados (PIT) (Todos)</v>
      </c>
      <c r="C1698" s="90" t="str">
        <v/>
      </c>
      <c r="D1698" s="89" t="str">
        <v>Periódica</v>
      </c>
      <c r="E1698" s="89">
        <v>365</v>
      </c>
      <c r="F1698" s="89" t="str">
        <v/>
      </c>
      <c r="G1698" s="89" t="str">
        <f ca="1"/>
        <v/>
      </c>
    </row>
    <row r="1699" spans="1:7" x14ac:dyDescent="0.3">
      <c r="A1699" s="89" t="str">
        <v/>
      </c>
      <c r="B1699" s="89" t="str">
        <v>Camiones Industriales Motorizados (PIT) (Op. Montacargas)</v>
      </c>
      <c r="C1699" s="90" t="str">
        <v/>
      </c>
      <c r="D1699" s="89" t="str">
        <v>Periódica</v>
      </c>
      <c r="E1699" s="89">
        <v>365</v>
      </c>
      <c r="F1699" s="89" t="str">
        <v/>
      </c>
      <c r="G1699" s="89" t="str">
        <f ca="1"/>
        <v/>
      </c>
    </row>
    <row r="1700" spans="1:7" x14ac:dyDescent="0.3">
      <c r="A1700" s="89" t="str">
        <v/>
      </c>
      <c r="B1700" s="89" t="str">
        <v>Control de Energias Peligrosas (LOTO) (Todos)</v>
      </c>
      <c r="C1700" s="90" t="str">
        <v/>
      </c>
      <c r="D1700" s="89" t="str">
        <v>Evento</v>
      </c>
      <c r="E1700" s="89">
        <v>0</v>
      </c>
      <c r="F1700" s="89" t="str">
        <v/>
      </c>
      <c r="G1700" s="89" t="str">
        <f ca="1"/>
        <v/>
      </c>
    </row>
    <row r="1701" spans="1:7" x14ac:dyDescent="0.3">
      <c r="A1701" s="89" t="str">
        <v/>
      </c>
      <c r="B1701" s="89" t="str">
        <v>Control de Energias Peligrosas (LOTO) (Empleados Autorizados)</v>
      </c>
      <c r="C1701" s="90" t="str">
        <v/>
      </c>
      <c r="D1701" s="89" t="str">
        <v>Periódica</v>
      </c>
      <c r="E1701" s="89">
        <v>365</v>
      </c>
      <c r="F1701" s="89" t="str">
        <v/>
      </c>
      <c r="G1701" s="89" t="str">
        <f ca="1"/>
        <v/>
      </c>
    </row>
    <row r="1702" spans="1:7" x14ac:dyDescent="0.3">
      <c r="A1702" s="89" t="str">
        <v/>
      </c>
      <c r="B1702" s="89" t="str">
        <v>Seguridad aplicada al Pozo &amp; Yacimiento</v>
      </c>
      <c r="C1702" s="90" t="str">
        <v/>
      </c>
      <c r="D1702" s="89" t="str">
        <v>Periódica</v>
      </c>
      <c r="E1702" s="89">
        <v>365</v>
      </c>
      <c r="F1702" s="89" t="str">
        <v/>
      </c>
      <c r="G1702" s="89" t="str">
        <f ca="1"/>
        <v/>
      </c>
    </row>
    <row r="1703" spans="1:7" x14ac:dyDescent="0.3">
      <c r="A1703" s="89" t="str">
        <v/>
      </c>
      <c r="B1703" s="89" t="str">
        <v>Las Reglas que Salvan Vidas</v>
      </c>
      <c r="C1703" s="90" t="str">
        <v/>
      </c>
      <c r="D1703" s="89" t="str">
        <v>Periódica</v>
      </c>
      <c r="E1703" s="89">
        <v>365</v>
      </c>
      <c r="F1703" s="89" t="str">
        <v/>
      </c>
      <c r="G1703" s="89" t="str">
        <f ca="1"/>
        <v/>
      </c>
    </row>
    <row r="1704" spans="1:7" x14ac:dyDescent="0.3">
      <c r="A1704" s="89" t="str">
        <v/>
      </c>
      <c r="B1704" s="89" t="str">
        <v xml:space="preserve">Resguardo de Maquinas &amp; Equipos </v>
      </c>
      <c r="C1704" s="90" t="str">
        <v/>
      </c>
      <c r="D1704" s="89" t="str">
        <v>Periódica</v>
      </c>
      <c r="E1704" s="89">
        <v>365</v>
      </c>
      <c r="F1704" s="89" t="str">
        <v/>
      </c>
      <c r="G1704" s="89" t="str">
        <f ca="1"/>
        <v/>
      </c>
    </row>
    <row r="1705" spans="1:7" x14ac:dyDescent="0.3">
      <c r="A1705" s="89" t="str">
        <v/>
      </c>
      <c r="B1705" s="89" t="str">
        <v>Conduccion y Gestion de Viajes (Todos)</v>
      </c>
      <c r="C1705" s="90" t="str">
        <v/>
      </c>
      <c r="D1705" s="89" t="str">
        <v>Periódica</v>
      </c>
      <c r="E1705" s="89">
        <v>730</v>
      </c>
      <c r="F1705" s="89" t="str">
        <v/>
      </c>
      <c r="G1705" s="89" t="str">
        <f ca="1"/>
        <v/>
      </c>
    </row>
    <row r="1706" spans="1:7" x14ac:dyDescent="0.3">
      <c r="A1706" s="89" t="str">
        <v/>
      </c>
      <c r="B1706" s="89" t="str">
        <v>Conduccion y Gestion de Viajes (Conductores)</v>
      </c>
      <c r="C1706" s="90" t="str">
        <v/>
      </c>
      <c r="D1706" s="89" t="str">
        <v>Periódica</v>
      </c>
      <c r="E1706" s="89">
        <v>1095</v>
      </c>
      <c r="F1706" s="89" t="str">
        <v/>
      </c>
      <c r="G1706" s="89" t="str">
        <f ca="1"/>
        <v/>
      </c>
    </row>
    <row r="1707" spans="1:7" x14ac:dyDescent="0.3">
      <c r="A1707" s="89" t="str">
        <v/>
      </c>
      <c r="B1707" s="89" t="str">
        <v>Patogenos Transmitidos por la Sangre</v>
      </c>
      <c r="C1707" s="90" t="str">
        <v/>
      </c>
      <c r="D1707" s="89" t="str">
        <v>Periódica</v>
      </c>
      <c r="E1707" s="89">
        <v>365</v>
      </c>
      <c r="F1707" s="89" t="str">
        <v/>
      </c>
      <c r="G1707" s="89" t="str">
        <f ca="1"/>
        <v/>
      </c>
    </row>
    <row r="1708" spans="1:7" x14ac:dyDescent="0.3">
      <c r="A1708" s="89" t="str">
        <v/>
      </c>
      <c r="B1708" s="89" t="str">
        <v>Conservacion Auditiva</v>
      </c>
      <c r="C1708" s="90" t="str">
        <v/>
      </c>
      <c r="D1708" s="89" t="str">
        <v>Periódica</v>
      </c>
      <c r="E1708" s="89">
        <v>365</v>
      </c>
      <c r="F1708" s="89" t="str">
        <v/>
      </c>
      <c r="G1708" s="89" t="str">
        <f ca="1"/>
        <v/>
      </c>
    </row>
    <row r="1709" spans="1:7" x14ac:dyDescent="0.3">
      <c r="A1709" s="89" t="str">
        <v/>
      </c>
      <c r="B1709" s="89" t="str">
        <v xml:space="preserve">Ergonomia //  / Levantamiento &amp; Seguridad en la Espalda </v>
      </c>
      <c r="C1709" s="90" t="str">
        <v/>
      </c>
      <c r="D1709" s="89" t="str">
        <v>Periódica</v>
      </c>
      <c r="E1709" s="89">
        <v>365</v>
      </c>
      <c r="F1709" s="89" t="str">
        <v/>
      </c>
      <c r="G1709" s="89" t="str">
        <f ca="1"/>
        <v/>
      </c>
    </row>
    <row r="1710" spans="1:7" x14ac:dyDescent="0.3">
      <c r="A1710" s="89" t="str">
        <v/>
      </c>
      <c r="B1710" s="89" t="str">
        <v>Superficies Elevadas (Todos)</v>
      </c>
      <c r="C1710" s="90" t="str">
        <v/>
      </c>
      <c r="D1710" s="89" t="str">
        <v>Periódica</v>
      </c>
      <c r="E1710" s="89">
        <v>365</v>
      </c>
      <c r="F1710" s="89" t="str">
        <v/>
      </c>
      <c r="G1710" s="89" t="str">
        <f ca="1"/>
        <v/>
      </c>
    </row>
    <row r="1711" spans="1:7" x14ac:dyDescent="0.3">
      <c r="A1711" s="89" t="str">
        <v/>
      </c>
      <c r="B1711" s="89" t="str">
        <v>Superficies Elevadas (Personal Habilitado)</v>
      </c>
      <c r="C1711" s="90" t="str">
        <v/>
      </c>
      <c r="D1711" s="89" t="str">
        <v>Periódica</v>
      </c>
      <c r="E1711" s="89">
        <v>365</v>
      </c>
      <c r="F1711" s="89" t="str">
        <v/>
      </c>
      <c r="G1711" s="89" t="str">
        <f ca="1"/>
        <v/>
      </c>
    </row>
    <row r="1712" spans="1:7" x14ac:dyDescent="0.3">
      <c r="A1712" s="89" t="str">
        <v/>
      </c>
      <c r="B1712" s="89" t="str">
        <v>Seguridad Quimica (Todos)</v>
      </c>
      <c r="C1712" s="90" t="str">
        <v/>
      </c>
      <c r="D1712" s="89" t="str">
        <v>Periódica</v>
      </c>
      <c r="E1712" s="89">
        <v>730</v>
      </c>
      <c r="F1712" s="89" t="str">
        <v/>
      </c>
      <c r="G1712" s="89" t="str">
        <f ca="1"/>
        <v/>
      </c>
    </row>
    <row r="1713" spans="1:7" x14ac:dyDescent="0.3">
      <c r="A1713" s="89" t="str">
        <v/>
      </c>
      <c r="B1713" s="89" t="str">
        <v>Seguridad Quimica (Mantenimiento)</v>
      </c>
      <c r="C1713" s="90" t="str">
        <v/>
      </c>
      <c r="D1713" s="89" t="str">
        <v>Periódica</v>
      </c>
      <c r="E1713" s="89">
        <v>365</v>
      </c>
      <c r="F1713" s="89" t="str">
        <v/>
      </c>
      <c r="G1713" s="89" t="str">
        <f ca="1"/>
        <v/>
      </c>
    </row>
    <row r="1714" spans="1:7" x14ac:dyDescent="0.3">
      <c r="A1714" s="89" t="str">
        <v/>
      </c>
      <c r="B1714" s="89" t="str">
        <v>Seguridad Quimica (Contratistas)</v>
      </c>
      <c r="C1714" s="90" t="str">
        <v/>
      </c>
      <c r="D1714" s="89" t="str">
        <v>Periódica</v>
      </c>
      <c r="E1714" s="89">
        <v>365</v>
      </c>
      <c r="F1714" s="89" t="str">
        <v/>
      </c>
      <c r="G1714" s="89" t="str">
        <f ca="1"/>
        <v/>
      </c>
    </row>
    <row r="1715" spans="1:7" x14ac:dyDescent="0.3">
      <c r="A1715" s="89" t="str">
        <v/>
      </c>
      <c r="B1715" s="89" t="str">
        <v>Seguridad para Trabajos en Caliente</v>
      </c>
      <c r="C1715" s="90" t="str">
        <v/>
      </c>
      <c r="D1715" s="89" t="str">
        <v>Periódica</v>
      </c>
      <c r="E1715" s="89">
        <v>365</v>
      </c>
      <c r="F1715" s="89" t="str">
        <v/>
      </c>
      <c r="G1715" s="89" t="str">
        <f ca="1"/>
        <v/>
      </c>
    </row>
    <row r="1716" spans="1:7" x14ac:dyDescent="0.3">
      <c r="A1716" s="89" t="str">
        <v/>
      </c>
      <c r="B1716" s="89" t="str">
        <v>Seguridad con la Radiacion</v>
      </c>
      <c r="C1716" s="90" t="str">
        <v/>
      </c>
      <c r="D1716" s="89" t="str">
        <v>Periódica</v>
      </c>
      <c r="E1716" s="89">
        <v>365</v>
      </c>
      <c r="F1716" s="89" t="str">
        <v/>
      </c>
      <c r="G1716" s="89" t="str">
        <f ca="1"/>
        <v/>
      </c>
    </row>
    <row r="1717" spans="1:7" x14ac:dyDescent="0.3">
      <c r="A1717" s="89" t="str">
        <v/>
      </c>
      <c r="B1717" s="89" t="str">
        <v>Equipo de Proteccion Personal (PPE)</v>
      </c>
      <c r="C1717" s="90" t="str">
        <v/>
      </c>
      <c r="D1717" s="89" t="str">
        <v>Periódica</v>
      </c>
      <c r="E1717" s="89">
        <v>365</v>
      </c>
      <c r="F1717" s="89" t="str">
        <v/>
      </c>
      <c r="G1717" s="89" t="str">
        <f ca="1"/>
        <v/>
      </c>
    </row>
    <row r="1718" spans="1:7" x14ac:dyDescent="0.3">
      <c r="A1718" s="89" t="str">
        <v/>
      </c>
      <c r="B1718" s="89" t="str">
        <v>Proteccion Respiratoria</v>
      </c>
      <c r="C1718" s="90" t="str">
        <v/>
      </c>
      <c r="D1718" s="89" t="str">
        <v>Periódica</v>
      </c>
      <c r="E1718" s="89">
        <v>365</v>
      </c>
      <c r="F1718" s="89" t="str">
        <v/>
      </c>
      <c r="G1718" s="89" t="str">
        <f ca="1"/>
        <v/>
      </c>
    </row>
    <row r="1719" spans="1:7" x14ac:dyDescent="0.3">
      <c r="A1719" s="89" t="str">
        <v/>
      </c>
      <c r="B1719" s="89" t="str">
        <v xml:space="preserve">Seguridad con Escaleras </v>
      </c>
      <c r="C1719" s="90" t="str">
        <v/>
      </c>
      <c r="D1719" s="89" t="str">
        <v>Periódica</v>
      </c>
      <c r="E1719" s="89">
        <v>365</v>
      </c>
      <c r="F1719" s="89" t="str">
        <v/>
      </c>
      <c r="G1719" s="89" t="str">
        <f ca="1"/>
        <v/>
      </c>
    </row>
    <row r="1720" spans="1:7" x14ac:dyDescent="0.3">
      <c r="A1720" s="89" t="str">
        <v/>
      </c>
      <c r="B1720" s="89" t="str">
        <v>Seguridad con Escaleras // Estantes de Almacenamiento</v>
      </c>
      <c r="C1720" s="90" t="str">
        <v/>
      </c>
      <c r="D1720" s="89" t="str">
        <v>Periódica</v>
      </c>
      <c r="E1720" s="89">
        <v>365</v>
      </c>
      <c r="F1720" s="89" t="str">
        <v/>
      </c>
      <c r="G1720" s="89" t="str">
        <f ca="1"/>
        <v/>
      </c>
    </row>
    <row r="1721" spans="1:7" x14ac:dyDescent="0.3">
      <c r="A1721" s="89" t="str">
        <v/>
      </c>
      <c r="B1721" s="89" t="str">
        <v>Responsabilidades del Supervisor</v>
      </c>
      <c r="C1721" s="90" t="str">
        <v/>
      </c>
      <c r="D1721" s="89" t="str">
        <v>Periódica</v>
      </c>
      <c r="E1721" s="89">
        <v>365</v>
      </c>
      <c r="F1721" s="89" t="str">
        <v/>
      </c>
      <c r="G1721" s="89" t="str">
        <f ca="1"/>
        <v/>
      </c>
    </row>
    <row r="1722" spans="1:7" x14ac:dyDescent="0.3">
      <c r="A1722" s="89" t="str">
        <v/>
      </c>
      <c r="B1722" s="89" t="str">
        <v>Espacios Confinados (Todos)</v>
      </c>
      <c r="C1722" s="90" t="str">
        <v/>
      </c>
      <c r="D1722" s="89" t="str">
        <v>Periódica</v>
      </c>
      <c r="E1722" s="89">
        <v>365</v>
      </c>
      <c r="F1722" s="89" t="str">
        <v/>
      </c>
      <c r="G1722" s="89" t="str">
        <f ca="1"/>
        <v/>
      </c>
    </row>
    <row r="1723" spans="1:7" x14ac:dyDescent="0.3">
      <c r="A1723" s="89" t="str">
        <v/>
      </c>
      <c r="B1723" s="89" t="str">
        <v>HSMS.017 / Espacios Confinados (Entrantes)</v>
      </c>
      <c r="C1723" s="90" t="str">
        <v/>
      </c>
      <c r="D1723" s="89" t="str">
        <v>Evento</v>
      </c>
      <c r="E1723" s="89">
        <v>0</v>
      </c>
      <c r="F1723" s="89" t="str">
        <v/>
      </c>
      <c r="G1723" s="89" t="str">
        <f ca="1"/>
        <v/>
      </c>
    </row>
    <row r="1724" spans="1:7" x14ac:dyDescent="0.3">
      <c r="A1724" s="89" t="str">
        <v/>
      </c>
      <c r="B1724" s="89" t="str">
        <v>Programa de Agua (Todos)</v>
      </c>
      <c r="C1724" s="90" t="str">
        <v/>
      </c>
      <c r="D1724" s="89" t="str">
        <v>Evento</v>
      </c>
      <c r="E1724" s="89">
        <v>0</v>
      </c>
      <c r="F1724" s="89" t="str">
        <v/>
      </c>
      <c r="G1724" s="89" t="str">
        <f ca="1"/>
        <v/>
      </c>
    </row>
    <row r="1725" spans="1:7" x14ac:dyDescent="0.3">
      <c r="A1725" s="89" t="str">
        <v/>
      </c>
      <c r="B1725" s="89" t="str">
        <v>Programa de Agua (HSE)</v>
      </c>
      <c r="C1725" s="90" t="str">
        <v/>
      </c>
      <c r="D1725" s="89" t="str">
        <v>Evento</v>
      </c>
      <c r="E1725" s="89">
        <v>0</v>
      </c>
      <c r="F1725" s="89" t="str">
        <v/>
      </c>
      <c r="G1725" s="89" t="str">
        <f ca="1"/>
        <v/>
      </c>
    </row>
    <row r="1726" spans="1:7" x14ac:dyDescent="0.3">
      <c r="A1726" s="89" t="str">
        <v/>
      </c>
      <c r="B1726" s="89" t="str">
        <v>HIV/SIDA y otras enfermedades de transmisión sexual (ETS)</v>
      </c>
      <c r="C1726" s="90" t="str">
        <v/>
      </c>
      <c r="D1726" s="89" t="str">
        <v>Periódica</v>
      </c>
      <c r="E1726" s="89">
        <v>365</v>
      </c>
      <c r="F1726" s="89" t="str">
        <v/>
      </c>
      <c r="G1726" s="89" t="str">
        <f ca="1"/>
        <v/>
      </c>
    </row>
    <row r="1727" spans="1:7" x14ac:dyDescent="0.3">
      <c r="A1727" s="89" t="str">
        <v/>
      </c>
      <c r="B1727" s="89" t="str">
        <v>Drogas de abuso (concientización y prevención)</v>
      </c>
      <c r="C1727" s="90" t="str">
        <v/>
      </c>
      <c r="D1727" s="89" t="str">
        <v>Periódica</v>
      </c>
      <c r="E1727" s="89">
        <v>365</v>
      </c>
      <c r="F1727" s="89" t="str">
        <v/>
      </c>
      <c r="G1727" s="89" t="str">
        <f ca="1"/>
        <v/>
      </c>
    </row>
    <row r="1728" spans="1:7" x14ac:dyDescent="0.3">
      <c r="A1728" s="89" t="str">
        <v/>
      </c>
      <c r="B1728" s="89" t="str">
        <v>Vida saludable (hábitos, autocuidado y bienestar)</v>
      </c>
      <c r="C1728" s="90" t="str">
        <v/>
      </c>
      <c r="D1728" s="89" t="str">
        <v>Periódica</v>
      </c>
      <c r="E1728" s="89">
        <v>365</v>
      </c>
      <c r="F1728" s="89" t="str">
        <v/>
      </c>
      <c r="G1728" s="89" t="str">
        <f ca="1"/>
        <v/>
      </c>
    </row>
    <row r="1729" spans="1:7" x14ac:dyDescent="0.3">
      <c r="A1729" s="89" t="str">
        <v/>
      </c>
      <c r="B1729" s="89" t="str">
        <v>Primeros auxilios y Reanimación Cardio Pulmonar (RCP)</v>
      </c>
      <c r="C1729" s="90" t="str">
        <v/>
      </c>
      <c r="D1729" s="89" t="str">
        <v>Periódica</v>
      </c>
      <c r="E1729" s="89">
        <v>365</v>
      </c>
      <c r="F1729" s="89" t="str">
        <v/>
      </c>
      <c r="G1729" s="89" t="str">
        <f ca="1"/>
        <v/>
      </c>
    </row>
    <row r="1730" spans="1:7" x14ac:dyDescent="0.3">
      <c r="A1730" s="89" t="str">
        <v/>
      </c>
      <c r="B1730" s="89" t="str">
        <v>Prevención cardiovascular (factores de riesgo y señales de alarma)</v>
      </c>
      <c r="C1730" s="90" t="str">
        <v/>
      </c>
      <c r="D1730" s="89" t="str">
        <v>Periódica</v>
      </c>
      <c r="E1730" s="89">
        <v>365</v>
      </c>
      <c r="F1730" s="89" t="str">
        <v/>
      </c>
      <c r="G1730" s="89" t="str">
        <f ca="1"/>
        <v/>
      </c>
    </row>
    <row r="1731" spans="1:7" x14ac:dyDescent="0.3">
      <c r="A1731" s="89" t="str">
        <v/>
      </c>
      <c r="B1731" s="89" t="str">
        <v>Efectos del tabaco sobre la salud</v>
      </c>
      <c r="C1731" s="90" t="str">
        <v/>
      </c>
      <c r="D1731" s="89" t="str">
        <v>Periódica</v>
      </c>
      <c r="E1731" s="89">
        <v>365</v>
      </c>
      <c r="F1731" s="89" t="str">
        <v/>
      </c>
      <c r="G1731" s="89" t="str">
        <f ca="1"/>
        <v/>
      </c>
    </row>
    <row r="1732" spans="1:7" x14ac:dyDescent="0.3">
      <c r="A1732" s="89" t="str">
        <v/>
      </c>
      <c r="B1732" s="89" t="str">
        <v>Cargadora (Op. Montacargas)</v>
      </c>
      <c r="C1732" s="90" t="str">
        <v/>
      </c>
      <c r="D1732" s="89" t="str">
        <v>Periódica</v>
      </c>
      <c r="E1732" s="89">
        <v>365</v>
      </c>
      <c r="F1732" s="89" t="str">
        <v/>
      </c>
      <c r="G1732" s="89" t="str">
        <f ca="1"/>
        <v/>
      </c>
    </row>
    <row r="1733" spans="1:7" x14ac:dyDescent="0.3">
      <c r="A1733" s="89" t="str">
        <v/>
      </c>
      <c r="B1733" s="89">
        <v>0</v>
      </c>
      <c r="C1733" s="90" t="str">
        <v/>
      </c>
      <c r="D1733" s="89" t="str">
        <v/>
      </c>
      <c r="E1733" s="89" t="str">
        <v/>
      </c>
      <c r="F1733" s="89" t="str">
        <v/>
      </c>
      <c r="G1733" s="89" t="str">
        <f ca="1"/>
        <v/>
      </c>
    </row>
    <row r="1734" spans="1:7" x14ac:dyDescent="0.3">
      <c r="A1734" s="89" t="str">
        <v/>
      </c>
      <c r="B1734" s="89">
        <v>0</v>
      </c>
      <c r="C1734" s="90" t="str">
        <v/>
      </c>
      <c r="D1734" s="89" t="str">
        <v/>
      </c>
      <c r="E1734" s="89" t="str">
        <v/>
      </c>
      <c r="F1734" s="89" t="str">
        <v/>
      </c>
      <c r="G1734" s="89" t="str">
        <f ca="1"/>
        <v/>
      </c>
    </row>
    <row r="1735" spans="1:7" x14ac:dyDescent="0.3">
      <c r="A1735" s="89" t="str">
        <v/>
      </c>
      <c r="B1735" s="89">
        <v>0</v>
      </c>
      <c r="C1735" s="90" t="str">
        <v/>
      </c>
      <c r="D1735" s="89" t="str">
        <v/>
      </c>
      <c r="E1735" s="89" t="str">
        <v/>
      </c>
      <c r="F1735" s="89" t="str">
        <v/>
      </c>
      <c r="G1735" s="89" t="str">
        <f ca="1"/>
        <v/>
      </c>
    </row>
    <row r="1736" spans="1:7" x14ac:dyDescent="0.3">
      <c r="A1736" s="89" t="str">
        <v/>
      </c>
      <c r="B1736" s="89">
        <v>0</v>
      </c>
      <c r="C1736" s="90" t="str">
        <v/>
      </c>
      <c r="D1736" s="89" t="str">
        <v/>
      </c>
      <c r="E1736" s="89" t="str">
        <v/>
      </c>
      <c r="F1736" s="89" t="str">
        <v/>
      </c>
      <c r="G1736" s="89" t="str">
        <f ca="1"/>
        <v/>
      </c>
    </row>
    <row r="1737" spans="1:7" x14ac:dyDescent="0.3">
      <c r="A1737" s="89" t="str">
        <v/>
      </c>
      <c r="B1737" s="89">
        <v>0</v>
      </c>
      <c r="C1737" s="90" t="str">
        <v/>
      </c>
      <c r="D1737" s="89" t="str">
        <v/>
      </c>
      <c r="E1737" s="89" t="str">
        <v/>
      </c>
      <c r="F1737" s="89" t="str">
        <v/>
      </c>
      <c r="G1737" s="89" t="str">
        <f ca="1"/>
        <v/>
      </c>
    </row>
    <row r="1738" spans="1:7" x14ac:dyDescent="0.3">
      <c r="A1738" s="89" t="str">
        <v/>
      </c>
      <c r="B1738" s="89">
        <v>0</v>
      </c>
      <c r="C1738" s="90" t="str">
        <v/>
      </c>
      <c r="D1738" s="89" t="str">
        <v/>
      </c>
      <c r="E1738" s="89" t="str">
        <v/>
      </c>
      <c r="F1738" s="89" t="str">
        <v/>
      </c>
      <c r="G1738" s="89" t="str">
        <f ca="1"/>
        <v/>
      </c>
    </row>
    <row r="1739" spans="1:7" x14ac:dyDescent="0.3">
      <c r="A1739" s="89" t="str">
        <v/>
      </c>
      <c r="B1739" s="89">
        <v>0</v>
      </c>
      <c r="C1739" s="90" t="str">
        <v/>
      </c>
      <c r="D1739" s="89" t="str">
        <v/>
      </c>
      <c r="E1739" s="89" t="str">
        <v/>
      </c>
      <c r="F1739" s="89" t="str">
        <v/>
      </c>
      <c r="G1739" s="89" t="str">
        <f ca="1"/>
        <v/>
      </c>
    </row>
    <row r="1740" spans="1:7" x14ac:dyDescent="0.3">
      <c r="A1740" s="89" t="str">
        <v/>
      </c>
      <c r="B1740" s="89">
        <v>0</v>
      </c>
      <c r="C1740" s="90" t="str">
        <v/>
      </c>
      <c r="D1740" s="89" t="str">
        <v/>
      </c>
      <c r="E1740" s="89" t="str">
        <v/>
      </c>
      <c r="F1740" s="89" t="str">
        <v/>
      </c>
      <c r="G1740" s="89" t="str">
        <f ca="1"/>
        <v/>
      </c>
    </row>
    <row r="1741" spans="1:7" x14ac:dyDescent="0.3">
      <c r="A1741" s="89" t="str">
        <v/>
      </c>
      <c r="B1741" s="89">
        <v>0</v>
      </c>
      <c r="C1741" s="90" t="str">
        <v/>
      </c>
      <c r="D1741" s="89" t="str">
        <v/>
      </c>
      <c r="E1741" s="89" t="str">
        <v/>
      </c>
      <c r="F1741" s="89" t="str">
        <v/>
      </c>
      <c r="G1741" s="89" t="str">
        <f ca="1"/>
        <v/>
      </c>
    </row>
    <row r="1742" spans="1:7" x14ac:dyDescent="0.3">
      <c r="A1742" s="89" t="str">
        <v/>
      </c>
      <c r="B1742" s="89" t="str">
        <v>Programa de Aire</v>
      </c>
      <c r="C1742" s="90" t="str">
        <v/>
      </c>
      <c r="D1742" s="89" t="str">
        <v>Evento</v>
      </c>
      <c r="E1742" s="89">
        <v>0</v>
      </c>
      <c r="F1742" s="89" t="str">
        <v/>
      </c>
      <c r="G1742" s="89" t="str">
        <f ca="1"/>
        <v/>
      </c>
    </row>
    <row r="1743" spans="1:7" x14ac:dyDescent="0.3">
      <c r="A1743" s="89" t="str">
        <v/>
      </c>
      <c r="B1743" s="89" t="str">
        <v>Conciencia Ambiental</v>
      </c>
      <c r="C1743" s="90" t="str">
        <v/>
      </c>
      <c r="D1743" s="89" t="str">
        <v>Periódica</v>
      </c>
      <c r="E1743" s="89">
        <v>365</v>
      </c>
      <c r="F1743" s="89" t="str">
        <v/>
      </c>
      <c r="G1743" s="89" t="str">
        <f ca="1"/>
        <v/>
      </c>
    </row>
    <row r="1744" spans="1:7" x14ac:dyDescent="0.3">
      <c r="A1744" s="89" t="str">
        <v/>
      </c>
      <c r="B1744" s="89" t="str">
        <v xml:space="preserve">Control de Documentos e Informacion de HSE </v>
      </c>
      <c r="C1744" s="90" t="str">
        <v/>
      </c>
      <c r="D1744" s="89" t="str">
        <v>Evento</v>
      </c>
      <c r="E1744" s="89">
        <v>0</v>
      </c>
      <c r="F1744" s="89" t="str">
        <v/>
      </c>
      <c r="G1744" s="89" t="str">
        <f ca="1"/>
        <v/>
      </c>
    </row>
    <row r="1745" spans="1:7" x14ac:dyDescent="0.3">
      <c r="A1745" s="89" t="str">
        <v/>
      </c>
      <c r="B1745" s="89" t="str">
        <v xml:space="preserve"> Acciones Correctivas y Preventivas (CAPA)</v>
      </c>
      <c r="C1745" s="90" t="str">
        <v/>
      </c>
      <c r="D1745" s="89" t="str">
        <v>Evento</v>
      </c>
      <c r="E1745" s="89">
        <v>0</v>
      </c>
      <c r="F1745" s="89" t="str">
        <v/>
      </c>
      <c r="G1745" s="89" t="str">
        <f ca="1"/>
        <v/>
      </c>
    </row>
    <row r="1746" spans="1:7" x14ac:dyDescent="0.3">
      <c r="A1746" s="89" t="str">
        <v/>
      </c>
      <c r="B1746" s="89" t="str">
        <v>Seguridad Basada en el Comportamiento (Observation Program) // HSMS.043 / Autoridad de Detener el Trabajo</v>
      </c>
      <c r="C1746" s="90" t="str">
        <v/>
      </c>
      <c r="D1746" s="89" t="str">
        <v>Periódica</v>
      </c>
      <c r="E1746" s="89">
        <v>365</v>
      </c>
      <c r="F1746" s="89" t="str">
        <v/>
      </c>
      <c r="G1746" s="89" t="str">
        <f ca="1"/>
        <v/>
      </c>
    </row>
    <row r="1747" spans="1:7" x14ac:dyDescent="0.3">
      <c r="A1747" s="89" t="str">
        <v/>
      </c>
      <c r="B1747" s="89" t="str">
        <v>Identificacion de Peligros y Evaluacion de Riesgos</v>
      </c>
      <c r="C1747" s="90" t="str">
        <v/>
      </c>
      <c r="D1747" s="89" t="str">
        <v>Evento</v>
      </c>
      <c r="E1747" s="89">
        <v>0</v>
      </c>
      <c r="F1747" s="89" t="str">
        <v/>
      </c>
      <c r="G1747" s="89" t="str">
        <f ca="1"/>
        <v/>
      </c>
    </row>
    <row r="1748" spans="1:7" x14ac:dyDescent="0.3">
      <c r="A1748" s="89" t="str">
        <v/>
      </c>
      <c r="B1748" s="89" t="str">
        <v xml:space="preserve"> Plan de Respuesta ante Eemergencias / HSMS.010 /Primeros Axulios &amp; RCP/DEA / HSMSWT-002 / Patogenos Trasnmitidos por la Sangre</v>
      </c>
      <c r="C1748" s="90" t="str">
        <v/>
      </c>
      <c r="D1748" s="89" t="str">
        <v>Periódica</v>
      </c>
      <c r="E1748" s="89">
        <v>365</v>
      </c>
      <c r="F1748" s="89" t="str">
        <v/>
      </c>
      <c r="G1748" s="89" t="str">
        <f ca="1"/>
        <v/>
      </c>
    </row>
    <row r="1749" spans="1:7" x14ac:dyDescent="0.3">
      <c r="A1749" s="89" t="str">
        <v/>
      </c>
      <c r="B1749" s="89" t="str">
        <v>Reporte y Gestion de Incidentes HSE (Todos)</v>
      </c>
      <c r="C1749" s="90" t="str">
        <v/>
      </c>
      <c r="D1749" s="89" t="str">
        <v>Periódica</v>
      </c>
      <c r="E1749" s="89">
        <v>365</v>
      </c>
      <c r="F1749" s="89" t="str">
        <v/>
      </c>
      <c r="G1749" s="89" t="str">
        <f ca="1"/>
        <v/>
      </c>
    </row>
    <row r="1750" spans="1:7" x14ac:dyDescent="0.3">
      <c r="A1750" s="89" t="str">
        <v/>
      </c>
      <c r="B1750" s="89" t="str">
        <v>Reporte, Gestion e Investigacion de Incidentes HSE (supervisores / investigadores (rol))</v>
      </c>
      <c r="C1750" s="90" t="str">
        <v/>
      </c>
      <c r="D1750" s="89" t="str">
        <v>Periódica</v>
      </c>
      <c r="E1750" s="89">
        <v>1095</v>
      </c>
      <c r="F1750" s="89" t="str">
        <v/>
      </c>
      <c r="G1750" s="89" t="str">
        <f ca="1"/>
        <v/>
      </c>
    </row>
    <row r="1751" spans="1:7" x14ac:dyDescent="0.3">
      <c r="A1751" s="89" t="str">
        <v/>
      </c>
      <c r="B1751" s="89" t="str">
        <v>Gruas y Equipos de Izaje (Todos)</v>
      </c>
      <c r="C1751" s="90" t="str">
        <v/>
      </c>
      <c r="D1751" s="89" t="str">
        <v>Periódica</v>
      </c>
      <c r="E1751" s="89">
        <v>365</v>
      </c>
      <c r="F1751" s="89" t="str">
        <v/>
      </c>
      <c r="G1751" s="89" t="str">
        <f ca="1"/>
        <v/>
      </c>
    </row>
    <row r="1752" spans="1:7" x14ac:dyDescent="0.3">
      <c r="A1752" s="89" t="str">
        <v/>
      </c>
      <c r="B1752" s="89" t="str">
        <v>HSMS.007 / Gruas y Equipos de Izaje (Operadores)</v>
      </c>
      <c r="C1752" s="90" t="str">
        <v/>
      </c>
      <c r="D1752" s="89" t="str">
        <v>Periódica</v>
      </c>
      <c r="E1752" s="89">
        <v>365</v>
      </c>
      <c r="F1752" s="89" t="str">
        <v/>
      </c>
      <c r="G1752" s="89" t="str">
        <f ca="1"/>
        <v/>
      </c>
    </row>
    <row r="1753" spans="1:7" x14ac:dyDescent="0.3">
      <c r="A1753" s="89" t="str">
        <v/>
      </c>
      <c r="B1753" s="89" t="str">
        <v>Proteccion Contra Incendios (Todos)</v>
      </c>
      <c r="C1753" s="90" t="str">
        <v/>
      </c>
      <c r="D1753" s="89" t="str">
        <v>Periódica</v>
      </c>
      <c r="E1753" s="89">
        <v>365</v>
      </c>
      <c r="F1753" s="89" t="str">
        <v/>
      </c>
      <c r="G1753" s="89" t="str">
        <f ca="1"/>
        <v/>
      </c>
    </row>
    <row r="1754" spans="1:7" x14ac:dyDescent="0.3">
      <c r="A1754" s="89" t="str">
        <v/>
      </c>
      <c r="B1754" s="89" t="str">
        <v>Proteccion Contra Incendios (Brigadistas)</v>
      </c>
      <c r="C1754" s="90" t="str">
        <v/>
      </c>
      <c r="D1754" s="89" t="str">
        <v>Periódica</v>
      </c>
      <c r="E1754" s="89">
        <v>365</v>
      </c>
      <c r="F1754" s="89" t="str">
        <v/>
      </c>
      <c r="G1754" s="89" t="str">
        <f ca="1"/>
        <v/>
      </c>
    </row>
    <row r="1755" spans="1:7" x14ac:dyDescent="0.3">
      <c r="A1755" s="89" t="str">
        <v/>
      </c>
      <c r="B1755" s="89" t="str">
        <v>Primeros Auxilios (Brigadistas)</v>
      </c>
      <c r="C1755" s="90" t="str">
        <v/>
      </c>
      <c r="D1755" s="89" t="str">
        <v>Periódica</v>
      </c>
      <c r="E1755" s="89">
        <v>365</v>
      </c>
      <c r="F1755" s="89" t="str">
        <v/>
      </c>
      <c r="G1755" s="89" t="str">
        <f ca="1"/>
        <v/>
      </c>
    </row>
    <row r="1756" spans="1:7" x14ac:dyDescent="0.3">
      <c r="A1756" s="89" t="str">
        <v/>
      </c>
      <c r="B1756" s="89" t="str">
        <v>Seguridad Electrica (Todos)</v>
      </c>
      <c r="C1756" s="90" t="str">
        <v/>
      </c>
      <c r="D1756" s="89" t="str">
        <v>Periódica</v>
      </c>
      <c r="E1756" s="89">
        <v>365</v>
      </c>
      <c r="F1756" s="89" t="str">
        <v/>
      </c>
      <c r="G1756" s="89" t="str">
        <f ca="1"/>
        <v/>
      </c>
    </row>
    <row r="1757" spans="1:7" x14ac:dyDescent="0.3">
      <c r="A1757" s="89" t="str">
        <v/>
      </c>
      <c r="B1757" s="89" t="str">
        <v>Seguridad Electrica (Personal Autorizado)</v>
      </c>
      <c r="C1757" s="90" t="str">
        <v/>
      </c>
      <c r="D1757" s="89" t="str">
        <v>Periódica</v>
      </c>
      <c r="E1757" s="89">
        <v>1095</v>
      </c>
      <c r="F1757" s="89" t="str">
        <v/>
      </c>
      <c r="G1757" s="89" t="str">
        <f ca="1"/>
        <v/>
      </c>
    </row>
    <row r="1758" spans="1:7" x14ac:dyDescent="0.3">
      <c r="A1758" s="89" t="str">
        <v/>
      </c>
      <c r="B1758" s="89" t="str">
        <v>Camiones Industriales Motorizados (PIT) (Todos)</v>
      </c>
      <c r="C1758" s="90" t="str">
        <v/>
      </c>
      <c r="D1758" s="89" t="str">
        <v>Periódica</v>
      </c>
      <c r="E1758" s="89">
        <v>365</v>
      </c>
      <c r="F1758" s="89" t="str">
        <v/>
      </c>
      <c r="G1758" s="89" t="str">
        <f ca="1"/>
        <v/>
      </c>
    </row>
    <row r="1759" spans="1:7" x14ac:dyDescent="0.3">
      <c r="A1759" s="89" t="str">
        <v/>
      </c>
      <c r="B1759" s="89" t="str">
        <v>Camiones Industriales Motorizados (PIT) (Op. Montacargas)</v>
      </c>
      <c r="C1759" s="90" t="str">
        <v/>
      </c>
      <c r="D1759" s="89" t="str">
        <v>Periódica</v>
      </c>
      <c r="E1759" s="89">
        <v>365</v>
      </c>
      <c r="F1759" s="89" t="str">
        <v/>
      </c>
      <c r="G1759" s="89" t="str">
        <f ca="1"/>
        <v/>
      </c>
    </row>
    <row r="1760" spans="1:7" x14ac:dyDescent="0.3">
      <c r="A1760" s="89" t="str">
        <v/>
      </c>
      <c r="B1760" s="89" t="str">
        <v>Control de Energias Peligrosas (LOTO) (Todos)</v>
      </c>
      <c r="C1760" s="90" t="str">
        <v/>
      </c>
      <c r="D1760" s="89" t="str">
        <v>Evento</v>
      </c>
      <c r="E1760" s="89">
        <v>0</v>
      </c>
      <c r="F1760" s="89" t="str">
        <v/>
      </c>
      <c r="G1760" s="89" t="str">
        <f ca="1"/>
        <v/>
      </c>
    </row>
    <row r="1761" spans="1:7" x14ac:dyDescent="0.3">
      <c r="A1761" s="89" t="str">
        <v/>
      </c>
      <c r="B1761" s="89" t="str">
        <v>Control de Energias Peligrosas (LOTO) (Empleados Autorizados)</v>
      </c>
      <c r="C1761" s="90" t="str">
        <v/>
      </c>
      <c r="D1761" s="89" t="str">
        <v>Periódica</v>
      </c>
      <c r="E1761" s="89">
        <v>365</v>
      </c>
      <c r="F1761" s="89" t="str">
        <v/>
      </c>
      <c r="G1761" s="89" t="str">
        <f ca="1"/>
        <v/>
      </c>
    </row>
    <row r="1762" spans="1:7" x14ac:dyDescent="0.3">
      <c r="A1762" s="89" t="str">
        <v/>
      </c>
      <c r="B1762" s="89" t="str">
        <v>Seguridad aplicada al Pozo &amp; Yacimiento</v>
      </c>
      <c r="C1762" s="90" t="str">
        <v/>
      </c>
      <c r="D1762" s="89" t="str">
        <v>Periódica</v>
      </c>
      <c r="E1762" s="89">
        <v>365</v>
      </c>
      <c r="F1762" s="89" t="str">
        <v/>
      </c>
      <c r="G1762" s="89" t="str">
        <f ca="1"/>
        <v/>
      </c>
    </row>
    <row r="1763" spans="1:7" x14ac:dyDescent="0.3">
      <c r="A1763" s="89" t="str">
        <v/>
      </c>
      <c r="B1763" s="89" t="str">
        <v>Las Reglas que Salvan Vidas</v>
      </c>
      <c r="C1763" s="90" t="str">
        <v/>
      </c>
      <c r="D1763" s="89" t="str">
        <v>Periódica</v>
      </c>
      <c r="E1763" s="89">
        <v>365</v>
      </c>
      <c r="F1763" s="89" t="str">
        <v/>
      </c>
      <c r="G1763" s="89" t="str">
        <f ca="1"/>
        <v/>
      </c>
    </row>
    <row r="1764" spans="1:7" x14ac:dyDescent="0.3">
      <c r="A1764" s="89" t="str">
        <v/>
      </c>
      <c r="B1764" s="89" t="str">
        <v xml:space="preserve">Resguardo de Maquinas &amp; Equipos </v>
      </c>
      <c r="C1764" s="90" t="str">
        <v/>
      </c>
      <c r="D1764" s="89" t="str">
        <v>Periódica</v>
      </c>
      <c r="E1764" s="89">
        <v>365</v>
      </c>
      <c r="F1764" s="89" t="str">
        <v/>
      </c>
      <c r="G1764" s="89" t="str">
        <f ca="1"/>
        <v/>
      </c>
    </row>
    <row r="1765" spans="1:7" x14ac:dyDescent="0.3">
      <c r="A1765" s="89" t="str">
        <v/>
      </c>
      <c r="B1765" s="89" t="str">
        <v>Conduccion y Gestion de Viajes (Todos)</v>
      </c>
      <c r="C1765" s="90" t="str">
        <v/>
      </c>
      <c r="D1765" s="89" t="str">
        <v>Periódica</v>
      </c>
      <c r="E1765" s="89">
        <v>730</v>
      </c>
      <c r="F1765" s="89" t="str">
        <v/>
      </c>
      <c r="G1765" s="89" t="str">
        <f ca="1"/>
        <v/>
      </c>
    </row>
    <row r="1766" spans="1:7" x14ac:dyDescent="0.3">
      <c r="A1766" s="89" t="str">
        <v/>
      </c>
      <c r="B1766" s="89" t="str">
        <v>Conduccion y Gestion de Viajes (Conductores)</v>
      </c>
      <c r="C1766" s="90" t="str">
        <v/>
      </c>
      <c r="D1766" s="89" t="str">
        <v>Periódica</v>
      </c>
      <c r="E1766" s="89">
        <v>1095</v>
      </c>
      <c r="F1766" s="89" t="str">
        <v/>
      </c>
      <c r="G1766" s="89" t="str">
        <f ca="1"/>
        <v/>
      </c>
    </row>
    <row r="1767" spans="1:7" x14ac:dyDescent="0.3">
      <c r="A1767" s="89" t="str">
        <v/>
      </c>
      <c r="B1767" s="89" t="str">
        <v>Patogenos Transmitidos por la Sangre</v>
      </c>
      <c r="C1767" s="90" t="str">
        <v/>
      </c>
      <c r="D1767" s="89" t="str">
        <v>Periódica</v>
      </c>
      <c r="E1767" s="89">
        <v>365</v>
      </c>
      <c r="F1767" s="89" t="str">
        <v/>
      </c>
      <c r="G1767" s="89" t="str">
        <f ca="1"/>
        <v/>
      </c>
    </row>
    <row r="1768" spans="1:7" x14ac:dyDescent="0.3">
      <c r="A1768" s="89" t="str">
        <v/>
      </c>
      <c r="B1768" s="89" t="str">
        <v>Conservacion Auditiva</v>
      </c>
      <c r="C1768" s="90" t="str">
        <v/>
      </c>
      <c r="D1768" s="89" t="str">
        <v>Periódica</v>
      </c>
      <c r="E1768" s="89">
        <v>365</v>
      </c>
      <c r="F1768" s="89" t="str">
        <v/>
      </c>
      <c r="G1768" s="89" t="str">
        <f ca="1"/>
        <v/>
      </c>
    </row>
    <row r="1769" spans="1:7" x14ac:dyDescent="0.3">
      <c r="A1769" s="89" t="str">
        <v/>
      </c>
      <c r="B1769" s="89" t="str">
        <v xml:space="preserve">Ergonomia //  / Levantamiento &amp; Seguridad en la Espalda </v>
      </c>
      <c r="C1769" s="90" t="str">
        <v/>
      </c>
      <c r="D1769" s="89" t="str">
        <v>Periódica</v>
      </c>
      <c r="E1769" s="89">
        <v>365</v>
      </c>
      <c r="F1769" s="89" t="str">
        <v/>
      </c>
      <c r="G1769" s="89" t="str">
        <f ca="1"/>
        <v/>
      </c>
    </row>
    <row r="1770" spans="1:7" x14ac:dyDescent="0.3">
      <c r="A1770" s="89" t="str">
        <v/>
      </c>
      <c r="B1770" s="89" t="str">
        <v>Superficies Elevadas (Todos)</v>
      </c>
      <c r="C1770" s="90" t="str">
        <v/>
      </c>
      <c r="D1770" s="89" t="str">
        <v>Periódica</v>
      </c>
      <c r="E1770" s="89">
        <v>365</v>
      </c>
      <c r="F1770" s="89" t="str">
        <v/>
      </c>
      <c r="G1770" s="89" t="str">
        <f ca="1"/>
        <v/>
      </c>
    </row>
    <row r="1771" spans="1:7" x14ac:dyDescent="0.3">
      <c r="A1771" s="89" t="str">
        <v/>
      </c>
      <c r="B1771" s="89" t="str">
        <v>Superficies Elevadas (Personal Habilitado)</v>
      </c>
      <c r="C1771" s="90" t="str">
        <v/>
      </c>
      <c r="D1771" s="89" t="str">
        <v>Periódica</v>
      </c>
      <c r="E1771" s="89">
        <v>365</v>
      </c>
      <c r="F1771" s="89" t="str">
        <v/>
      </c>
      <c r="G1771" s="89" t="str">
        <f ca="1"/>
        <v/>
      </c>
    </row>
    <row r="1772" spans="1:7" x14ac:dyDescent="0.3">
      <c r="A1772" s="89" t="str">
        <v/>
      </c>
      <c r="B1772" s="89" t="str">
        <v>Seguridad Quimica (Todos)</v>
      </c>
      <c r="C1772" s="90" t="str">
        <v/>
      </c>
      <c r="D1772" s="89" t="str">
        <v>Periódica</v>
      </c>
      <c r="E1772" s="89">
        <v>730</v>
      </c>
      <c r="F1772" s="89" t="str">
        <v/>
      </c>
      <c r="G1772" s="89" t="str">
        <f ca="1"/>
        <v/>
      </c>
    </row>
    <row r="1773" spans="1:7" x14ac:dyDescent="0.3">
      <c r="A1773" s="89" t="str">
        <v/>
      </c>
      <c r="B1773" s="89" t="str">
        <v>Seguridad Quimica (Mantenimiento)</v>
      </c>
      <c r="C1773" s="90" t="str">
        <v/>
      </c>
      <c r="D1773" s="89" t="str">
        <v>Periódica</v>
      </c>
      <c r="E1773" s="89">
        <v>365</v>
      </c>
      <c r="F1773" s="89" t="str">
        <v/>
      </c>
      <c r="G1773" s="89" t="str">
        <f ca="1"/>
        <v/>
      </c>
    </row>
    <row r="1774" spans="1:7" x14ac:dyDescent="0.3">
      <c r="A1774" s="89" t="str">
        <v/>
      </c>
      <c r="B1774" s="89" t="str">
        <v>Seguridad Quimica (Contratistas)</v>
      </c>
      <c r="C1774" s="90" t="str">
        <v/>
      </c>
      <c r="D1774" s="89" t="str">
        <v>Periódica</v>
      </c>
      <c r="E1774" s="89">
        <v>365</v>
      </c>
      <c r="F1774" s="89" t="str">
        <v/>
      </c>
      <c r="G1774" s="89" t="str">
        <f ca="1"/>
        <v/>
      </c>
    </row>
    <row r="1775" spans="1:7" x14ac:dyDescent="0.3">
      <c r="A1775" s="89" t="str">
        <v/>
      </c>
      <c r="B1775" s="89" t="str">
        <v>Seguridad para Trabajos en Caliente</v>
      </c>
      <c r="C1775" s="90" t="str">
        <v/>
      </c>
      <c r="D1775" s="89" t="str">
        <v>Periódica</v>
      </c>
      <c r="E1775" s="89">
        <v>365</v>
      </c>
      <c r="F1775" s="89" t="str">
        <v/>
      </c>
      <c r="G1775" s="89" t="str">
        <f ca="1"/>
        <v/>
      </c>
    </row>
    <row r="1776" spans="1:7" x14ac:dyDescent="0.3">
      <c r="A1776" s="89" t="str">
        <v/>
      </c>
      <c r="B1776" s="89" t="str">
        <v>Seguridad con la Radiacion</v>
      </c>
      <c r="C1776" s="90" t="str">
        <v/>
      </c>
      <c r="D1776" s="89" t="str">
        <v>Periódica</v>
      </c>
      <c r="E1776" s="89">
        <v>365</v>
      </c>
      <c r="F1776" s="89" t="str">
        <v/>
      </c>
      <c r="G1776" s="89" t="str">
        <f ca="1"/>
        <v/>
      </c>
    </row>
    <row r="1777" spans="1:7" x14ac:dyDescent="0.3">
      <c r="A1777" s="89" t="str">
        <v/>
      </c>
      <c r="B1777" s="89" t="str">
        <v>Equipo de Proteccion Personal (PPE)</v>
      </c>
      <c r="C1777" s="90" t="str">
        <v/>
      </c>
      <c r="D1777" s="89" t="str">
        <v>Periódica</v>
      </c>
      <c r="E1777" s="89">
        <v>365</v>
      </c>
      <c r="F1777" s="89" t="str">
        <v/>
      </c>
      <c r="G1777" s="89" t="str">
        <f ca="1"/>
        <v/>
      </c>
    </row>
    <row r="1778" spans="1:7" x14ac:dyDescent="0.3">
      <c r="A1778" s="89" t="str">
        <v/>
      </c>
      <c r="B1778" s="89" t="str">
        <v>Proteccion Respiratoria</v>
      </c>
      <c r="C1778" s="90" t="str">
        <v/>
      </c>
      <c r="D1778" s="89" t="str">
        <v>Periódica</v>
      </c>
      <c r="E1778" s="89">
        <v>365</v>
      </c>
      <c r="F1778" s="89" t="str">
        <v/>
      </c>
      <c r="G1778" s="89" t="str">
        <f ca="1"/>
        <v/>
      </c>
    </row>
    <row r="1779" spans="1:7" x14ac:dyDescent="0.3">
      <c r="A1779" s="89" t="str">
        <v/>
      </c>
      <c r="B1779" s="89" t="str">
        <v xml:space="preserve">Seguridad con Escaleras </v>
      </c>
      <c r="C1779" s="90" t="str">
        <v/>
      </c>
      <c r="D1779" s="89" t="str">
        <v>Periódica</v>
      </c>
      <c r="E1779" s="89">
        <v>365</v>
      </c>
      <c r="F1779" s="89" t="str">
        <v/>
      </c>
      <c r="G1779" s="89" t="str">
        <f ca="1"/>
        <v/>
      </c>
    </row>
    <row r="1780" spans="1:7" x14ac:dyDescent="0.3">
      <c r="A1780" s="89" t="str">
        <v/>
      </c>
      <c r="B1780" s="89" t="str">
        <v>Seguridad con Escaleras // Estantes de Almacenamiento</v>
      </c>
      <c r="C1780" s="90" t="str">
        <v/>
      </c>
      <c r="D1780" s="89" t="str">
        <v>Periódica</v>
      </c>
      <c r="E1780" s="89">
        <v>365</v>
      </c>
      <c r="F1780" s="89" t="str">
        <v/>
      </c>
      <c r="G1780" s="89" t="str">
        <f ca="1"/>
        <v/>
      </c>
    </row>
    <row r="1781" spans="1:7" x14ac:dyDescent="0.3">
      <c r="A1781" s="89" t="str">
        <v/>
      </c>
      <c r="B1781" s="89" t="str">
        <v>Responsabilidades del Supervisor</v>
      </c>
      <c r="C1781" s="90" t="str">
        <v/>
      </c>
      <c r="D1781" s="89" t="str">
        <v>Periódica</v>
      </c>
      <c r="E1781" s="89">
        <v>365</v>
      </c>
      <c r="F1781" s="89" t="str">
        <v/>
      </c>
      <c r="G1781" s="89" t="str">
        <f ca="1"/>
        <v/>
      </c>
    </row>
    <row r="1782" spans="1:7" x14ac:dyDescent="0.3">
      <c r="A1782" s="89" t="str">
        <v/>
      </c>
      <c r="B1782" s="89" t="str">
        <v>Espacios Confinados (Todos)</v>
      </c>
      <c r="C1782" s="90" t="str">
        <v/>
      </c>
      <c r="D1782" s="89" t="str">
        <v>Periódica</v>
      </c>
      <c r="E1782" s="89">
        <v>365</v>
      </c>
      <c r="F1782" s="89" t="str">
        <v/>
      </c>
      <c r="G1782" s="89" t="str">
        <f ca="1"/>
        <v/>
      </c>
    </row>
    <row r="1783" spans="1:7" x14ac:dyDescent="0.3">
      <c r="A1783" s="89" t="str">
        <v/>
      </c>
      <c r="B1783" s="89" t="str">
        <v>HSMS.017 / Espacios Confinados (Entrantes)</v>
      </c>
      <c r="C1783" s="90" t="str">
        <v/>
      </c>
      <c r="D1783" s="89" t="str">
        <v>Evento</v>
      </c>
      <c r="E1783" s="89">
        <v>0</v>
      </c>
      <c r="F1783" s="89" t="str">
        <v/>
      </c>
      <c r="G1783" s="89" t="str">
        <f ca="1"/>
        <v/>
      </c>
    </row>
    <row r="1784" spans="1:7" x14ac:dyDescent="0.3">
      <c r="A1784" s="89" t="str">
        <v/>
      </c>
      <c r="B1784" s="89" t="str">
        <v>Programa de Agua (Todos)</v>
      </c>
      <c r="C1784" s="90" t="str">
        <v/>
      </c>
      <c r="D1784" s="89" t="str">
        <v>Evento</v>
      </c>
      <c r="E1784" s="89">
        <v>0</v>
      </c>
      <c r="F1784" s="89" t="str">
        <v/>
      </c>
      <c r="G1784" s="89" t="str">
        <f ca="1"/>
        <v/>
      </c>
    </row>
    <row r="1785" spans="1:7" x14ac:dyDescent="0.3">
      <c r="A1785" s="89" t="str">
        <v/>
      </c>
      <c r="B1785" s="89" t="str">
        <v>Programa de Agua (HSE)</v>
      </c>
      <c r="C1785" s="90" t="str">
        <v/>
      </c>
      <c r="D1785" s="89" t="str">
        <v>Evento</v>
      </c>
      <c r="E1785" s="89">
        <v>0</v>
      </c>
      <c r="F1785" s="89" t="str">
        <v/>
      </c>
      <c r="G1785" s="89" t="str">
        <f ca="1"/>
        <v/>
      </c>
    </row>
    <row r="1786" spans="1:7" x14ac:dyDescent="0.3">
      <c r="A1786" s="89" t="str">
        <v/>
      </c>
      <c r="B1786" s="89" t="str">
        <v>HIV/SIDA y otras enfermedades de transmisión sexual (ETS)</v>
      </c>
      <c r="C1786" s="90" t="str">
        <v/>
      </c>
      <c r="D1786" s="89" t="str">
        <v>Periódica</v>
      </c>
      <c r="E1786" s="89">
        <v>365</v>
      </c>
      <c r="F1786" s="89" t="str">
        <v/>
      </c>
      <c r="G1786" s="89" t="str">
        <f ca="1"/>
        <v/>
      </c>
    </row>
    <row r="1787" spans="1:7" x14ac:dyDescent="0.3">
      <c r="A1787" s="89" t="str">
        <v/>
      </c>
      <c r="B1787" s="89" t="str">
        <v>Drogas de abuso (concientización y prevención)</v>
      </c>
      <c r="C1787" s="90" t="str">
        <v/>
      </c>
      <c r="D1787" s="89" t="str">
        <v>Periódica</v>
      </c>
      <c r="E1787" s="89">
        <v>365</v>
      </c>
      <c r="F1787" s="89" t="str">
        <v/>
      </c>
      <c r="G1787" s="89" t="str">
        <f ca="1"/>
        <v/>
      </c>
    </row>
    <row r="1788" spans="1:7" x14ac:dyDescent="0.3">
      <c r="A1788" s="89" t="str">
        <v/>
      </c>
      <c r="B1788" s="89" t="str">
        <v>Vida saludable (hábitos, autocuidado y bienestar)</v>
      </c>
      <c r="C1788" s="90" t="str">
        <v/>
      </c>
      <c r="D1788" s="89" t="str">
        <v>Periódica</v>
      </c>
      <c r="E1788" s="89">
        <v>365</v>
      </c>
      <c r="F1788" s="89" t="str">
        <v/>
      </c>
      <c r="G1788" s="89" t="str">
        <f ca="1"/>
        <v/>
      </c>
    </row>
    <row r="1789" spans="1:7" x14ac:dyDescent="0.3">
      <c r="A1789" s="89" t="str">
        <v/>
      </c>
      <c r="B1789" s="89" t="str">
        <v>Primeros auxilios y Reanimación Cardio Pulmonar (RCP)</v>
      </c>
      <c r="C1789" s="90" t="str">
        <v/>
      </c>
      <c r="D1789" s="89" t="str">
        <v>Periódica</v>
      </c>
      <c r="E1789" s="89">
        <v>365</v>
      </c>
      <c r="F1789" s="89" t="str">
        <v/>
      </c>
      <c r="G1789" s="89" t="str">
        <f ca="1"/>
        <v/>
      </c>
    </row>
    <row r="1790" spans="1:7" x14ac:dyDescent="0.3">
      <c r="A1790" s="89" t="str">
        <v/>
      </c>
      <c r="B1790" s="89" t="str">
        <v>Prevención cardiovascular (factores de riesgo y señales de alarma)</v>
      </c>
      <c r="C1790" s="90" t="str">
        <v/>
      </c>
      <c r="D1790" s="89" t="str">
        <v>Periódica</v>
      </c>
      <c r="E1790" s="89">
        <v>365</v>
      </c>
      <c r="F1790" s="89" t="str">
        <v/>
      </c>
      <c r="G1790" s="89" t="str">
        <f ca="1"/>
        <v/>
      </c>
    </row>
    <row r="1791" spans="1:7" x14ac:dyDescent="0.3">
      <c r="A1791" s="89" t="str">
        <v/>
      </c>
      <c r="B1791" s="89" t="str">
        <v>Efectos del tabaco sobre la salud</v>
      </c>
      <c r="C1791" s="90" t="str">
        <v/>
      </c>
      <c r="D1791" s="89" t="str">
        <v>Periódica</v>
      </c>
      <c r="E1791" s="89">
        <v>365</v>
      </c>
      <c r="F1791" s="89" t="str">
        <v/>
      </c>
      <c r="G1791" s="89" t="str">
        <f ca="1"/>
        <v/>
      </c>
    </row>
    <row r="1792" spans="1:7" x14ac:dyDescent="0.3">
      <c r="A1792" s="89" t="str">
        <v/>
      </c>
      <c r="B1792" s="89" t="str">
        <v>Cargadora (Op. Montacargas)</v>
      </c>
      <c r="C1792" s="90" t="str">
        <v/>
      </c>
      <c r="D1792" s="89" t="str">
        <v>Periódica</v>
      </c>
      <c r="E1792" s="89">
        <v>365</v>
      </c>
      <c r="F1792" s="89" t="str">
        <v/>
      </c>
      <c r="G1792" s="89" t="str">
        <f ca="1"/>
        <v/>
      </c>
    </row>
    <row r="1793" spans="1:7" x14ac:dyDescent="0.3">
      <c r="A1793" s="89" t="str">
        <v/>
      </c>
      <c r="B1793" s="89">
        <v>0</v>
      </c>
      <c r="C1793" s="90" t="str">
        <v/>
      </c>
      <c r="D1793" s="89" t="str">
        <v/>
      </c>
      <c r="E1793" s="89" t="str">
        <v/>
      </c>
      <c r="F1793" s="89" t="str">
        <v/>
      </c>
      <c r="G1793" s="89" t="str">
        <f ca="1"/>
        <v/>
      </c>
    </row>
    <row r="1794" spans="1:7" x14ac:dyDescent="0.3">
      <c r="A1794" s="89" t="str">
        <v/>
      </c>
      <c r="B1794" s="89">
        <v>0</v>
      </c>
      <c r="C1794" s="90" t="str">
        <v/>
      </c>
      <c r="D1794" s="89" t="str">
        <v/>
      </c>
      <c r="E1794" s="89" t="str">
        <v/>
      </c>
      <c r="F1794" s="89" t="str">
        <v/>
      </c>
      <c r="G1794" s="89" t="str">
        <f ca="1"/>
        <v/>
      </c>
    </row>
    <row r="1795" spans="1:7" x14ac:dyDescent="0.3">
      <c r="A1795" s="89" t="str">
        <v/>
      </c>
      <c r="B1795" s="89">
        <v>0</v>
      </c>
      <c r="C1795" s="90" t="str">
        <v/>
      </c>
      <c r="D1795" s="89" t="str">
        <v/>
      </c>
      <c r="E1795" s="89" t="str">
        <v/>
      </c>
      <c r="F1795" s="89" t="str">
        <v/>
      </c>
      <c r="G1795" s="89" t="str">
        <f ca="1"/>
        <v/>
      </c>
    </row>
    <row r="1796" spans="1:7" x14ac:dyDescent="0.3">
      <c r="A1796" s="89" t="str">
        <v/>
      </c>
      <c r="B1796" s="89">
        <v>0</v>
      </c>
      <c r="C1796" s="90" t="str">
        <v/>
      </c>
      <c r="D1796" s="89" t="str">
        <v/>
      </c>
      <c r="E1796" s="89" t="str">
        <v/>
      </c>
      <c r="F1796" s="89" t="str">
        <v/>
      </c>
      <c r="G1796" s="89" t="str">
        <f ca="1"/>
        <v/>
      </c>
    </row>
    <row r="1797" spans="1:7" x14ac:dyDescent="0.3">
      <c r="A1797" s="89" t="str">
        <v/>
      </c>
      <c r="B1797" s="89">
        <v>0</v>
      </c>
      <c r="C1797" s="90" t="str">
        <v/>
      </c>
      <c r="D1797" s="89" t="str">
        <v/>
      </c>
      <c r="E1797" s="89" t="str">
        <v/>
      </c>
      <c r="F1797" s="89" t="str">
        <v/>
      </c>
      <c r="G1797" s="89" t="str">
        <f ca="1"/>
        <v/>
      </c>
    </row>
    <row r="1798" spans="1:7" x14ac:dyDescent="0.3">
      <c r="A1798" s="89" t="str">
        <v/>
      </c>
      <c r="B1798" s="89">
        <v>0</v>
      </c>
      <c r="C1798" s="90" t="str">
        <v/>
      </c>
      <c r="D1798" s="89" t="str">
        <v/>
      </c>
      <c r="E1798" s="89" t="str">
        <v/>
      </c>
      <c r="F1798" s="89" t="str">
        <v/>
      </c>
      <c r="G1798" s="89" t="str">
        <f ca="1"/>
        <v/>
      </c>
    </row>
    <row r="1799" spans="1:7" x14ac:dyDescent="0.3">
      <c r="A1799" s="89" t="str">
        <v/>
      </c>
      <c r="B1799" s="89">
        <v>0</v>
      </c>
      <c r="C1799" s="90" t="str">
        <v/>
      </c>
      <c r="D1799" s="89" t="str">
        <v/>
      </c>
      <c r="E1799" s="89" t="str">
        <v/>
      </c>
      <c r="F1799" s="89" t="str">
        <v/>
      </c>
      <c r="G1799" s="89" t="str">
        <f ca="1"/>
        <v/>
      </c>
    </row>
    <row r="1800" spans="1:7" x14ac:dyDescent="0.3">
      <c r="A1800" s="89" t="str">
        <v/>
      </c>
      <c r="B1800" s="89">
        <v>0</v>
      </c>
      <c r="C1800" s="90" t="str">
        <v/>
      </c>
      <c r="D1800" s="89" t="str">
        <v/>
      </c>
      <c r="E1800" s="89" t="str">
        <v/>
      </c>
      <c r="F1800" s="89" t="str">
        <v/>
      </c>
      <c r="G1800" s="89" t="str">
        <f ca="1"/>
        <v/>
      </c>
    </row>
    <row r="1801" spans="1:7" x14ac:dyDescent="0.3">
      <c r="A1801" s="89" t="str">
        <v/>
      </c>
      <c r="B1801" s="89">
        <v>0</v>
      </c>
      <c r="C1801" s="90" t="str">
        <v/>
      </c>
      <c r="D1801" s="89" t="str">
        <v/>
      </c>
      <c r="E1801" s="89" t="str">
        <v/>
      </c>
      <c r="F1801" s="89" t="str">
        <v/>
      </c>
      <c r="G1801" s="89" t="str">
        <f ca="1"/>
        <v/>
      </c>
    </row>
    <row r="1802" spans="1:7" x14ac:dyDescent="0.3">
      <c r="A1802" s="89" t="str">
        <v/>
      </c>
      <c r="B1802" s="89" t="str">
        <v>Programa de Aire</v>
      </c>
      <c r="C1802" s="90" t="str">
        <v/>
      </c>
      <c r="D1802" s="89" t="str">
        <v>Evento</v>
      </c>
      <c r="E1802" s="89">
        <v>0</v>
      </c>
      <c r="F1802" s="89" t="str">
        <v/>
      </c>
      <c r="G1802" s="89" t="str">
        <f ca="1"/>
        <v/>
      </c>
    </row>
    <row r="1803" spans="1:7" x14ac:dyDescent="0.3">
      <c r="A1803" s="89" t="str">
        <v/>
      </c>
      <c r="B1803" s="89" t="str">
        <v>Conciencia Ambiental</v>
      </c>
      <c r="C1803" s="90" t="str">
        <v/>
      </c>
      <c r="D1803" s="89" t="str">
        <v>Periódica</v>
      </c>
      <c r="E1803" s="89">
        <v>365</v>
      </c>
      <c r="F1803" s="89" t="str">
        <v/>
      </c>
      <c r="G1803" s="89" t="str">
        <f ca="1"/>
        <v/>
      </c>
    </row>
    <row r="1804" spans="1:7" x14ac:dyDescent="0.3">
      <c r="A1804" s="89" t="str">
        <v/>
      </c>
      <c r="B1804" s="89" t="str">
        <v xml:space="preserve">Control de Documentos e Informacion de HSE </v>
      </c>
      <c r="C1804" s="90" t="str">
        <v/>
      </c>
      <c r="D1804" s="89" t="str">
        <v>Evento</v>
      </c>
      <c r="E1804" s="89">
        <v>0</v>
      </c>
      <c r="F1804" s="89" t="str">
        <v/>
      </c>
      <c r="G1804" s="89" t="str">
        <f ca="1"/>
        <v/>
      </c>
    </row>
    <row r="1805" spans="1:7" x14ac:dyDescent="0.3">
      <c r="A1805" s="89" t="str">
        <v/>
      </c>
      <c r="B1805" s="89" t="str">
        <v xml:space="preserve"> Acciones Correctivas y Preventivas (CAPA)</v>
      </c>
      <c r="C1805" s="90" t="str">
        <v/>
      </c>
      <c r="D1805" s="89" t="str">
        <v>Evento</v>
      </c>
      <c r="E1805" s="89">
        <v>0</v>
      </c>
      <c r="F1805" s="89" t="str">
        <v/>
      </c>
      <c r="G1805" s="89" t="str">
        <f ca="1"/>
        <v/>
      </c>
    </row>
    <row r="1806" spans="1:7" x14ac:dyDescent="0.3">
      <c r="A1806" s="89" t="str">
        <v/>
      </c>
      <c r="B1806" s="89" t="str">
        <v>Seguridad Basada en el Comportamiento (Observation Program) // HSMS.043 / Autoridad de Detener el Trabajo</v>
      </c>
      <c r="C1806" s="90" t="str">
        <v/>
      </c>
      <c r="D1806" s="89" t="str">
        <v>Periódica</v>
      </c>
      <c r="E1806" s="89">
        <v>365</v>
      </c>
      <c r="F1806" s="89" t="str">
        <v/>
      </c>
      <c r="G1806" s="89" t="str">
        <f ca="1"/>
        <v/>
      </c>
    </row>
    <row r="1807" spans="1:7" x14ac:dyDescent="0.3">
      <c r="A1807" s="89" t="str">
        <v/>
      </c>
      <c r="B1807" s="89" t="str">
        <v>Identificacion de Peligros y Evaluacion de Riesgos</v>
      </c>
      <c r="C1807" s="90" t="str">
        <v/>
      </c>
      <c r="D1807" s="89" t="str">
        <v>Evento</v>
      </c>
      <c r="E1807" s="89">
        <v>0</v>
      </c>
      <c r="F1807" s="89" t="str">
        <v/>
      </c>
      <c r="G1807" s="89" t="str">
        <f ca="1"/>
        <v/>
      </c>
    </row>
    <row r="1808" spans="1:7" x14ac:dyDescent="0.3">
      <c r="A1808" s="89" t="str">
        <v/>
      </c>
      <c r="B1808" s="89" t="str">
        <v xml:space="preserve"> Plan de Respuesta ante Eemergencias / HSMS.010 /Primeros Axulios &amp; RCP/DEA / HSMSWT-002 / Patogenos Trasnmitidos por la Sangre</v>
      </c>
      <c r="C1808" s="90" t="str">
        <v/>
      </c>
      <c r="D1808" s="89" t="str">
        <v>Periódica</v>
      </c>
      <c r="E1808" s="89">
        <v>365</v>
      </c>
      <c r="F1808" s="89" t="str">
        <v/>
      </c>
      <c r="G1808" s="89" t="str">
        <f ca="1"/>
        <v/>
      </c>
    </row>
    <row r="1809" spans="1:7" x14ac:dyDescent="0.3">
      <c r="A1809" s="89" t="str">
        <v/>
      </c>
      <c r="B1809" s="89" t="str">
        <v>Reporte y Gestion de Incidentes HSE (Todos)</v>
      </c>
      <c r="C1809" s="90" t="str">
        <v/>
      </c>
      <c r="D1809" s="89" t="str">
        <v>Periódica</v>
      </c>
      <c r="E1809" s="89">
        <v>365</v>
      </c>
      <c r="F1809" s="89" t="str">
        <v/>
      </c>
      <c r="G1809" s="89" t="str">
        <f ca="1"/>
        <v/>
      </c>
    </row>
    <row r="1810" spans="1:7" x14ac:dyDescent="0.3">
      <c r="A1810" s="89" t="str">
        <v/>
      </c>
      <c r="B1810" s="89" t="str">
        <v>Reporte, Gestion e Investigacion de Incidentes HSE (supervisores / investigadores (rol))</v>
      </c>
      <c r="C1810" s="90" t="str">
        <v/>
      </c>
      <c r="D1810" s="89" t="str">
        <v>Periódica</v>
      </c>
      <c r="E1810" s="89">
        <v>1095</v>
      </c>
      <c r="F1810" s="89" t="str">
        <v/>
      </c>
      <c r="G1810" s="89" t="str">
        <f ca="1"/>
        <v/>
      </c>
    </row>
    <row r="1811" spans="1:7" x14ac:dyDescent="0.3">
      <c r="A1811" s="89" t="str">
        <v/>
      </c>
      <c r="B1811" s="89" t="str">
        <v>Gruas y Equipos de Izaje (Todos)</v>
      </c>
      <c r="C1811" s="90" t="str">
        <v/>
      </c>
      <c r="D1811" s="89" t="str">
        <v>Periódica</v>
      </c>
      <c r="E1811" s="89">
        <v>365</v>
      </c>
      <c r="F1811" s="89" t="str">
        <v/>
      </c>
      <c r="G1811" s="89" t="str">
        <f ca="1"/>
        <v/>
      </c>
    </row>
    <row r="1812" spans="1:7" x14ac:dyDescent="0.3">
      <c r="A1812" s="89" t="str">
        <v/>
      </c>
      <c r="B1812" s="89" t="str">
        <v>HSMS.007 / Gruas y Equipos de Izaje (Operadores)</v>
      </c>
      <c r="C1812" s="90" t="str">
        <v/>
      </c>
      <c r="D1812" s="89" t="str">
        <v>Periódica</v>
      </c>
      <c r="E1812" s="89">
        <v>365</v>
      </c>
      <c r="F1812" s="89" t="str">
        <v/>
      </c>
      <c r="G1812" s="89" t="str">
        <f ca="1"/>
        <v/>
      </c>
    </row>
    <row r="1813" spans="1:7" x14ac:dyDescent="0.3">
      <c r="A1813" s="89" t="str">
        <v/>
      </c>
      <c r="B1813" s="89" t="str">
        <v>Proteccion Contra Incendios (Todos)</v>
      </c>
      <c r="C1813" s="90" t="str">
        <v/>
      </c>
      <c r="D1813" s="89" t="str">
        <v>Periódica</v>
      </c>
      <c r="E1813" s="89">
        <v>365</v>
      </c>
      <c r="F1813" s="89" t="str">
        <v/>
      </c>
      <c r="G1813" s="89" t="str">
        <f ca="1"/>
        <v/>
      </c>
    </row>
    <row r="1814" spans="1:7" x14ac:dyDescent="0.3">
      <c r="A1814" s="89" t="str">
        <v/>
      </c>
      <c r="B1814" s="89" t="str">
        <v>Proteccion Contra Incendios (Brigadistas)</v>
      </c>
      <c r="C1814" s="90" t="str">
        <v/>
      </c>
      <c r="D1814" s="89" t="str">
        <v>Periódica</v>
      </c>
      <c r="E1814" s="89">
        <v>365</v>
      </c>
      <c r="F1814" s="89" t="str">
        <v/>
      </c>
      <c r="G1814" s="89" t="str">
        <f ca="1"/>
        <v/>
      </c>
    </row>
    <row r="1815" spans="1:7" x14ac:dyDescent="0.3">
      <c r="A1815" s="89" t="str">
        <v/>
      </c>
      <c r="B1815" s="89" t="str">
        <v>Primeros Auxilios (Brigadistas)</v>
      </c>
      <c r="C1815" s="90" t="str">
        <v/>
      </c>
      <c r="D1815" s="89" t="str">
        <v>Periódica</v>
      </c>
      <c r="E1815" s="89">
        <v>365</v>
      </c>
      <c r="F1815" s="89" t="str">
        <v/>
      </c>
      <c r="G1815" s="89" t="str">
        <f ca="1"/>
        <v/>
      </c>
    </row>
    <row r="1816" spans="1:7" x14ac:dyDescent="0.3">
      <c r="A1816" s="89" t="str">
        <v/>
      </c>
      <c r="B1816" s="89" t="str">
        <v>Seguridad Electrica (Todos)</v>
      </c>
      <c r="C1816" s="90" t="str">
        <v/>
      </c>
      <c r="D1816" s="89" t="str">
        <v>Periódica</v>
      </c>
      <c r="E1816" s="89">
        <v>365</v>
      </c>
      <c r="F1816" s="89" t="str">
        <v/>
      </c>
      <c r="G1816" s="89" t="str">
        <f ca="1"/>
        <v/>
      </c>
    </row>
    <row r="1817" spans="1:7" x14ac:dyDescent="0.3">
      <c r="A1817" s="89" t="str">
        <v/>
      </c>
      <c r="B1817" s="89" t="str">
        <v>Seguridad Electrica (Personal Autorizado)</v>
      </c>
      <c r="C1817" s="90" t="str">
        <v/>
      </c>
      <c r="D1817" s="89" t="str">
        <v>Periódica</v>
      </c>
      <c r="E1817" s="89">
        <v>1095</v>
      </c>
      <c r="F1817" s="89" t="str">
        <v/>
      </c>
      <c r="G1817" s="89" t="str">
        <f ca="1"/>
        <v/>
      </c>
    </row>
    <row r="1818" spans="1:7" x14ac:dyDescent="0.3">
      <c r="A1818" s="89" t="str">
        <v/>
      </c>
      <c r="B1818" s="89" t="str">
        <v>Camiones Industriales Motorizados (PIT) (Todos)</v>
      </c>
      <c r="C1818" s="90" t="str">
        <v/>
      </c>
      <c r="D1818" s="89" t="str">
        <v>Periódica</v>
      </c>
      <c r="E1818" s="89">
        <v>365</v>
      </c>
      <c r="F1818" s="89" t="str">
        <v/>
      </c>
      <c r="G1818" s="89" t="str">
        <f ca="1"/>
        <v/>
      </c>
    </row>
    <row r="1819" spans="1:7" x14ac:dyDescent="0.3">
      <c r="A1819" s="89" t="str">
        <v/>
      </c>
      <c r="B1819" s="89" t="str">
        <v>Camiones Industriales Motorizados (PIT) (Op. Montacargas)</v>
      </c>
      <c r="C1819" s="90" t="str">
        <v/>
      </c>
      <c r="D1819" s="89" t="str">
        <v>Periódica</v>
      </c>
      <c r="E1819" s="89">
        <v>365</v>
      </c>
      <c r="F1819" s="89" t="str">
        <v/>
      </c>
      <c r="G1819" s="89" t="str">
        <f ca="1"/>
        <v/>
      </c>
    </row>
    <row r="1820" spans="1:7" x14ac:dyDescent="0.3">
      <c r="A1820" s="89" t="str">
        <v/>
      </c>
      <c r="B1820" s="89" t="str">
        <v>Control de Energias Peligrosas (LOTO) (Todos)</v>
      </c>
      <c r="C1820" s="90" t="str">
        <v/>
      </c>
      <c r="D1820" s="89" t="str">
        <v>Evento</v>
      </c>
      <c r="E1820" s="89">
        <v>0</v>
      </c>
      <c r="F1820" s="89" t="str">
        <v/>
      </c>
      <c r="G1820" s="89" t="str">
        <f ca="1"/>
        <v/>
      </c>
    </row>
    <row r="1821" spans="1:7" x14ac:dyDescent="0.3">
      <c r="A1821" s="89" t="str">
        <v/>
      </c>
      <c r="B1821" s="89" t="str">
        <v>Control de Energias Peligrosas (LOTO) (Empleados Autorizados)</v>
      </c>
      <c r="C1821" s="90" t="str">
        <v/>
      </c>
      <c r="D1821" s="89" t="str">
        <v>Periódica</v>
      </c>
      <c r="E1821" s="89">
        <v>365</v>
      </c>
      <c r="F1821" s="89" t="str">
        <v/>
      </c>
      <c r="G1821" s="89" t="str">
        <f ca="1"/>
        <v/>
      </c>
    </row>
    <row r="1822" spans="1:7" x14ac:dyDescent="0.3">
      <c r="A1822" s="89" t="str">
        <v/>
      </c>
      <c r="B1822" s="89" t="str">
        <v>Seguridad aplicada al Pozo &amp; Yacimiento</v>
      </c>
      <c r="C1822" s="90" t="str">
        <v/>
      </c>
      <c r="D1822" s="89" t="str">
        <v>Periódica</v>
      </c>
      <c r="E1822" s="89">
        <v>365</v>
      </c>
      <c r="F1822" s="89" t="str">
        <v/>
      </c>
      <c r="G1822" s="89" t="str">
        <f ca="1"/>
        <v/>
      </c>
    </row>
    <row r="1823" spans="1:7" x14ac:dyDescent="0.3">
      <c r="A1823" s="89" t="str">
        <v/>
      </c>
      <c r="B1823" s="89" t="str">
        <v>Las Reglas que Salvan Vidas</v>
      </c>
      <c r="C1823" s="90" t="str">
        <v/>
      </c>
      <c r="D1823" s="89" t="str">
        <v>Periódica</v>
      </c>
      <c r="E1823" s="89">
        <v>365</v>
      </c>
      <c r="F1823" s="89" t="str">
        <v/>
      </c>
      <c r="G1823" s="89" t="str">
        <f ca="1"/>
        <v/>
      </c>
    </row>
    <row r="1824" spans="1:7" x14ac:dyDescent="0.3">
      <c r="A1824" s="89" t="str">
        <v/>
      </c>
      <c r="B1824" s="89" t="str">
        <v xml:space="preserve">Resguardo de Maquinas &amp; Equipos </v>
      </c>
      <c r="C1824" s="90" t="str">
        <v/>
      </c>
      <c r="D1824" s="89" t="str">
        <v>Periódica</v>
      </c>
      <c r="E1824" s="89">
        <v>365</v>
      </c>
      <c r="F1824" s="89" t="str">
        <v/>
      </c>
      <c r="G1824" s="89" t="str">
        <f ca="1"/>
        <v/>
      </c>
    </row>
    <row r="1825" spans="1:7" x14ac:dyDescent="0.3">
      <c r="A1825" s="89" t="str">
        <v/>
      </c>
      <c r="B1825" s="89" t="str">
        <v>Conduccion y Gestion de Viajes (Todos)</v>
      </c>
      <c r="C1825" s="90" t="str">
        <v/>
      </c>
      <c r="D1825" s="89" t="str">
        <v>Periódica</v>
      </c>
      <c r="E1825" s="89">
        <v>730</v>
      </c>
      <c r="F1825" s="89" t="str">
        <v/>
      </c>
      <c r="G1825" s="89" t="str">
        <f ca="1"/>
        <v/>
      </c>
    </row>
    <row r="1826" spans="1:7" x14ac:dyDescent="0.3">
      <c r="A1826" s="89" t="str">
        <v/>
      </c>
      <c r="B1826" s="89" t="str">
        <v>Conduccion y Gestion de Viajes (Conductores)</v>
      </c>
      <c r="C1826" s="90" t="str">
        <v/>
      </c>
      <c r="D1826" s="89" t="str">
        <v>Periódica</v>
      </c>
      <c r="E1826" s="89">
        <v>1095</v>
      </c>
      <c r="F1826" s="89" t="str">
        <v/>
      </c>
      <c r="G1826" s="89" t="str">
        <f ca="1"/>
        <v/>
      </c>
    </row>
    <row r="1827" spans="1:7" x14ac:dyDescent="0.3">
      <c r="A1827" s="89" t="str">
        <v/>
      </c>
      <c r="B1827" s="89" t="str">
        <v>Patogenos Transmitidos por la Sangre</v>
      </c>
      <c r="C1827" s="90" t="str">
        <v/>
      </c>
      <c r="D1827" s="89" t="str">
        <v>Periódica</v>
      </c>
      <c r="E1827" s="89">
        <v>365</v>
      </c>
      <c r="F1827" s="89" t="str">
        <v/>
      </c>
      <c r="G1827" s="89" t="str">
        <f ca="1"/>
        <v/>
      </c>
    </row>
    <row r="1828" spans="1:7" x14ac:dyDescent="0.3">
      <c r="A1828" s="89" t="str">
        <v/>
      </c>
      <c r="B1828" s="89" t="str">
        <v>Conservacion Auditiva</v>
      </c>
      <c r="C1828" s="90" t="str">
        <v/>
      </c>
      <c r="D1828" s="89" t="str">
        <v>Periódica</v>
      </c>
      <c r="E1828" s="89">
        <v>365</v>
      </c>
      <c r="F1828" s="89" t="str">
        <v/>
      </c>
      <c r="G1828" s="89" t="str">
        <f ca="1"/>
        <v/>
      </c>
    </row>
    <row r="1829" spans="1:7" x14ac:dyDescent="0.3">
      <c r="A1829" s="89" t="str">
        <v/>
      </c>
      <c r="B1829" s="89" t="str">
        <v xml:space="preserve">Ergonomia //  / Levantamiento &amp; Seguridad en la Espalda </v>
      </c>
      <c r="C1829" s="90" t="str">
        <v/>
      </c>
      <c r="D1829" s="89" t="str">
        <v>Periódica</v>
      </c>
      <c r="E1829" s="89">
        <v>365</v>
      </c>
      <c r="F1829" s="89" t="str">
        <v/>
      </c>
      <c r="G1829" s="89" t="str">
        <f ca="1"/>
        <v/>
      </c>
    </row>
    <row r="1830" spans="1:7" x14ac:dyDescent="0.3">
      <c r="A1830" s="89" t="str">
        <v/>
      </c>
      <c r="B1830" s="89" t="str">
        <v>Superficies Elevadas (Todos)</v>
      </c>
      <c r="C1830" s="90" t="str">
        <v/>
      </c>
      <c r="D1830" s="89" t="str">
        <v>Periódica</v>
      </c>
      <c r="E1830" s="89">
        <v>365</v>
      </c>
      <c r="F1830" s="89" t="str">
        <v/>
      </c>
      <c r="G1830" s="89" t="str">
        <f ca="1"/>
        <v/>
      </c>
    </row>
    <row r="1831" spans="1:7" x14ac:dyDescent="0.3">
      <c r="A1831" s="89" t="str">
        <v/>
      </c>
      <c r="B1831" s="89" t="str">
        <v>Superficies Elevadas (Personal Habilitado)</v>
      </c>
      <c r="C1831" s="90" t="str">
        <v/>
      </c>
      <c r="D1831" s="89" t="str">
        <v>Periódica</v>
      </c>
      <c r="E1831" s="89">
        <v>365</v>
      </c>
      <c r="F1831" s="89" t="str">
        <v/>
      </c>
      <c r="G1831" s="89" t="str">
        <f ca="1"/>
        <v/>
      </c>
    </row>
    <row r="1832" spans="1:7" x14ac:dyDescent="0.3">
      <c r="A1832" s="89" t="str">
        <v/>
      </c>
      <c r="B1832" s="89" t="str">
        <v>Seguridad Quimica (Todos)</v>
      </c>
      <c r="C1832" s="90" t="str">
        <v/>
      </c>
      <c r="D1832" s="89" t="str">
        <v>Periódica</v>
      </c>
      <c r="E1832" s="89">
        <v>730</v>
      </c>
      <c r="F1832" s="89" t="str">
        <v/>
      </c>
      <c r="G1832" s="89" t="str">
        <f ca="1"/>
        <v/>
      </c>
    </row>
    <row r="1833" spans="1:7" x14ac:dyDescent="0.3">
      <c r="A1833" s="89" t="str">
        <v/>
      </c>
      <c r="B1833" s="89" t="str">
        <v>Seguridad Quimica (Mantenimiento)</v>
      </c>
      <c r="C1833" s="90" t="str">
        <v/>
      </c>
      <c r="D1833" s="89" t="str">
        <v>Periódica</v>
      </c>
      <c r="E1833" s="89">
        <v>365</v>
      </c>
      <c r="F1833" s="89" t="str">
        <v/>
      </c>
      <c r="G1833" s="89" t="str">
        <f ca="1"/>
        <v/>
      </c>
    </row>
    <row r="1834" spans="1:7" x14ac:dyDescent="0.3">
      <c r="A1834" s="89" t="str">
        <v/>
      </c>
      <c r="B1834" s="89" t="str">
        <v>Seguridad Quimica (Contratistas)</v>
      </c>
      <c r="C1834" s="90" t="str">
        <v/>
      </c>
      <c r="D1834" s="89" t="str">
        <v>Periódica</v>
      </c>
      <c r="E1834" s="89">
        <v>365</v>
      </c>
      <c r="F1834" s="89" t="str">
        <v/>
      </c>
      <c r="G1834" s="89" t="str">
        <f ca="1"/>
        <v/>
      </c>
    </row>
    <row r="1835" spans="1:7" x14ac:dyDescent="0.3">
      <c r="A1835" s="89" t="str">
        <v/>
      </c>
      <c r="B1835" s="89" t="str">
        <v>Seguridad para Trabajos en Caliente</v>
      </c>
      <c r="C1835" s="90" t="str">
        <v/>
      </c>
      <c r="D1835" s="89" t="str">
        <v>Periódica</v>
      </c>
      <c r="E1835" s="89">
        <v>365</v>
      </c>
      <c r="F1835" s="89" t="str">
        <v/>
      </c>
      <c r="G1835" s="89" t="str">
        <f ca="1"/>
        <v/>
      </c>
    </row>
    <row r="1836" spans="1:7" x14ac:dyDescent="0.3">
      <c r="A1836" s="89" t="str">
        <v/>
      </c>
      <c r="B1836" s="89" t="str">
        <v>Seguridad con la Radiacion</v>
      </c>
      <c r="C1836" s="90" t="str">
        <v/>
      </c>
      <c r="D1836" s="89" t="str">
        <v>Periódica</v>
      </c>
      <c r="E1836" s="89">
        <v>365</v>
      </c>
      <c r="F1836" s="89" t="str">
        <v/>
      </c>
      <c r="G1836" s="89" t="str">
        <f ca="1"/>
        <v/>
      </c>
    </row>
    <row r="1837" spans="1:7" x14ac:dyDescent="0.3">
      <c r="A1837" s="89" t="str">
        <v/>
      </c>
      <c r="B1837" s="89" t="str">
        <v>Equipo de Proteccion Personal (PPE)</v>
      </c>
      <c r="C1837" s="90" t="str">
        <v/>
      </c>
      <c r="D1837" s="89" t="str">
        <v>Periódica</v>
      </c>
      <c r="E1837" s="89">
        <v>365</v>
      </c>
      <c r="F1837" s="89" t="str">
        <v/>
      </c>
      <c r="G1837" s="89" t="str">
        <f ca="1"/>
        <v/>
      </c>
    </row>
    <row r="1838" spans="1:7" x14ac:dyDescent="0.3">
      <c r="A1838" s="89" t="str">
        <v/>
      </c>
      <c r="B1838" s="89" t="str">
        <v>Proteccion Respiratoria</v>
      </c>
      <c r="C1838" s="90" t="str">
        <v/>
      </c>
      <c r="D1838" s="89" t="str">
        <v>Periódica</v>
      </c>
      <c r="E1838" s="89">
        <v>365</v>
      </c>
      <c r="F1838" s="89" t="str">
        <v/>
      </c>
      <c r="G1838" s="89" t="str">
        <f ca="1"/>
        <v/>
      </c>
    </row>
    <row r="1839" spans="1:7" x14ac:dyDescent="0.3">
      <c r="A1839" s="89" t="str">
        <v/>
      </c>
      <c r="B1839" s="89" t="str">
        <v xml:space="preserve">Seguridad con Escaleras </v>
      </c>
      <c r="C1839" s="90" t="str">
        <v/>
      </c>
      <c r="D1839" s="89" t="str">
        <v>Periódica</v>
      </c>
      <c r="E1839" s="89">
        <v>365</v>
      </c>
      <c r="F1839" s="89" t="str">
        <v/>
      </c>
      <c r="G1839" s="89" t="str">
        <f ca="1"/>
        <v/>
      </c>
    </row>
    <row r="1840" spans="1:7" x14ac:dyDescent="0.3">
      <c r="A1840" s="89" t="str">
        <v/>
      </c>
      <c r="B1840" s="89" t="str">
        <v>Seguridad con Escaleras // Estantes de Almacenamiento</v>
      </c>
      <c r="C1840" s="90" t="str">
        <v/>
      </c>
      <c r="D1840" s="89" t="str">
        <v>Periódica</v>
      </c>
      <c r="E1840" s="89">
        <v>365</v>
      </c>
      <c r="F1840" s="89" t="str">
        <v/>
      </c>
      <c r="G1840" s="89" t="str">
        <f ca="1"/>
        <v/>
      </c>
    </row>
    <row r="1841" spans="1:7" x14ac:dyDescent="0.3">
      <c r="A1841" s="89" t="str">
        <v/>
      </c>
      <c r="B1841" s="89" t="str">
        <v>Responsabilidades del Supervisor</v>
      </c>
      <c r="C1841" s="90" t="str">
        <v/>
      </c>
      <c r="D1841" s="89" t="str">
        <v>Periódica</v>
      </c>
      <c r="E1841" s="89">
        <v>365</v>
      </c>
      <c r="F1841" s="89" t="str">
        <v/>
      </c>
      <c r="G1841" s="89" t="str">
        <f ca="1"/>
        <v/>
      </c>
    </row>
    <row r="1842" spans="1:7" x14ac:dyDescent="0.3">
      <c r="A1842" s="89" t="str">
        <v/>
      </c>
      <c r="B1842" s="89" t="str">
        <v>Espacios Confinados (Todos)</v>
      </c>
      <c r="C1842" s="90" t="str">
        <v/>
      </c>
      <c r="D1842" s="89" t="str">
        <v>Periódica</v>
      </c>
      <c r="E1842" s="89">
        <v>365</v>
      </c>
      <c r="F1842" s="89" t="str">
        <v/>
      </c>
      <c r="G1842" s="89" t="str">
        <f ca="1"/>
        <v/>
      </c>
    </row>
    <row r="1843" spans="1:7" x14ac:dyDescent="0.3">
      <c r="A1843" s="89" t="str">
        <v/>
      </c>
      <c r="B1843" s="89" t="str">
        <v>HSMS.017 / Espacios Confinados (Entrantes)</v>
      </c>
      <c r="C1843" s="90" t="str">
        <v/>
      </c>
      <c r="D1843" s="89" t="str">
        <v>Evento</v>
      </c>
      <c r="E1843" s="89">
        <v>0</v>
      </c>
      <c r="F1843" s="89" t="str">
        <v/>
      </c>
      <c r="G1843" s="89" t="str">
        <f ca="1"/>
        <v/>
      </c>
    </row>
    <row r="1844" spans="1:7" x14ac:dyDescent="0.3">
      <c r="A1844" s="89" t="str">
        <v/>
      </c>
      <c r="B1844" s="89" t="str">
        <v>Programa de Agua (Todos)</v>
      </c>
      <c r="C1844" s="90" t="str">
        <v/>
      </c>
      <c r="D1844" s="89" t="str">
        <v>Evento</v>
      </c>
      <c r="E1844" s="89">
        <v>0</v>
      </c>
      <c r="F1844" s="89" t="str">
        <v/>
      </c>
      <c r="G1844" s="89" t="str">
        <f ca="1"/>
        <v/>
      </c>
    </row>
    <row r="1845" spans="1:7" x14ac:dyDescent="0.3">
      <c r="A1845" s="89" t="str">
        <v/>
      </c>
      <c r="B1845" s="89" t="str">
        <v>Programa de Agua (HSE)</v>
      </c>
      <c r="C1845" s="90" t="str">
        <v/>
      </c>
      <c r="D1845" s="89" t="str">
        <v>Evento</v>
      </c>
      <c r="E1845" s="89">
        <v>0</v>
      </c>
      <c r="F1845" s="89" t="str">
        <v/>
      </c>
      <c r="G1845" s="89" t="str">
        <f ca="1"/>
        <v/>
      </c>
    </row>
    <row r="1846" spans="1:7" x14ac:dyDescent="0.3">
      <c r="A1846" s="89" t="str">
        <v/>
      </c>
      <c r="B1846" s="89" t="str">
        <v>HIV/SIDA y otras enfermedades de transmisión sexual (ETS)</v>
      </c>
      <c r="C1846" s="90" t="str">
        <v/>
      </c>
      <c r="D1846" s="89" t="str">
        <v>Periódica</v>
      </c>
      <c r="E1846" s="89">
        <v>365</v>
      </c>
      <c r="F1846" s="89" t="str">
        <v/>
      </c>
      <c r="G1846" s="89" t="str">
        <f ca="1"/>
        <v/>
      </c>
    </row>
    <row r="1847" spans="1:7" x14ac:dyDescent="0.3">
      <c r="A1847" s="89" t="str">
        <v/>
      </c>
      <c r="B1847" s="89" t="str">
        <v>Drogas de abuso (concientización y prevención)</v>
      </c>
      <c r="C1847" s="90" t="str">
        <v/>
      </c>
      <c r="D1847" s="89" t="str">
        <v>Periódica</v>
      </c>
      <c r="E1847" s="89">
        <v>365</v>
      </c>
      <c r="F1847" s="89" t="str">
        <v/>
      </c>
      <c r="G1847" s="89" t="str">
        <f ca="1"/>
        <v/>
      </c>
    </row>
    <row r="1848" spans="1:7" x14ac:dyDescent="0.3">
      <c r="A1848" s="89" t="str">
        <v/>
      </c>
      <c r="B1848" s="89" t="str">
        <v>Vida saludable (hábitos, autocuidado y bienestar)</v>
      </c>
      <c r="C1848" s="90" t="str">
        <v/>
      </c>
      <c r="D1848" s="89" t="str">
        <v>Periódica</v>
      </c>
      <c r="E1848" s="89">
        <v>365</v>
      </c>
      <c r="F1848" s="89" t="str">
        <v/>
      </c>
      <c r="G1848" s="89" t="str">
        <f ca="1"/>
        <v/>
      </c>
    </row>
    <row r="1849" spans="1:7" x14ac:dyDescent="0.3">
      <c r="A1849" s="89" t="str">
        <v/>
      </c>
      <c r="B1849" s="89" t="str">
        <v>Primeros auxilios y Reanimación Cardio Pulmonar (RCP)</v>
      </c>
      <c r="C1849" s="90" t="str">
        <v/>
      </c>
      <c r="D1849" s="89" t="str">
        <v>Periódica</v>
      </c>
      <c r="E1849" s="89">
        <v>365</v>
      </c>
      <c r="F1849" s="89" t="str">
        <v/>
      </c>
      <c r="G1849" s="89" t="str">
        <f ca="1"/>
        <v/>
      </c>
    </row>
    <row r="1850" spans="1:7" x14ac:dyDescent="0.3">
      <c r="A1850" s="89" t="str">
        <v/>
      </c>
      <c r="B1850" s="89" t="str">
        <v>Prevención cardiovascular (factores de riesgo y señales de alarma)</v>
      </c>
      <c r="C1850" s="90" t="str">
        <v/>
      </c>
      <c r="D1850" s="89" t="str">
        <v>Periódica</v>
      </c>
      <c r="E1850" s="89">
        <v>365</v>
      </c>
      <c r="F1850" s="89" t="str">
        <v/>
      </c>
      <c r="G1850" s="89" t="str">
        <f ca="1"/>
        <v/>
      </c>
    </row>
    <row r="1851" spans="1:7" x14ac:dyDescent="0.3">
      <c r="A1851" s="89" t="str">
        <v/>
      </c>
      <c r="B1851" s="89" t="str">
        <v>Efectos del tabaco sobre la salud</v>
      </c>
      <c r="C1851" s="90" t="str">
        <v/>
      </c>
      <c r="D1851" s="89" t="str">
        <v>Periódica</v>
      </c>
      <c r="E1851" s="89">
        <v>365</v>
      </c>
      <c r="F1851" s="89" t="str">
        <v/>
      </c>
      <c r="G1851" s="89" t="str">
        <f ca="1"/>
        <v/>
      </c>
    </row>
    <row r="1852" spans="1:7" x14ac:dyDescent="0.3">
      <c r="A1852" s="89" t="str">
        <v/>
      </c>
      <c r="B1852" s="89" t="str">
        <v>Cargadora (Op. Montacargas)</v>
      </c>
      <c r="C1852" s="90" t="str">
        <v/>
      </c>
      <c r="D1852" s="89" t="str">
        <v>Periódica</v>
      </c>
      <c r="E1852" s="89">
        <v>365</v>
      </c>
      <c r="F1852" s="89" t="str">
        <v/>
      </c>
      <c r="G1852" s="89" t="str">
        <f ca="1"/>
        <v/>
      </c>
    </row>
    <row r="1853" spans="1:7" x14ac:dyDescent="0.3">
      <c r="A1853" s="89" t="str">
        <v/>
      </c>
      <c r="B1853" s="89">
        <v>0</v>
      </c>
      <c r="C1853" s="90" t="str">
        <v/>
      </c>
      <c r="D1853" s="89" t="str">
        <v/>
      </c>
      <c r="E1853" s="89" t="str">
        <v/>
      </c>
      <c r="F1853" s="89" t="str">
        <v/>
      </c>
      <c r="G1853" s="89" t="str">
        <f ca="1"/>
        <v/>
      </c>
    </row>
    <row r="1854" spans="1:7" x14ac:dyDescent="0.3">
      <c r="A1854" s="89" t="str">
        <v/>
      </c>
      <c r="B1854" s="89">
        <v>0</v>
      </c>
      <c r="C1854" s="90" t="str">
        <v/>
      </c>
      <c r="D1854" s="89" t="str">
        <v/>
      </c>
      <c r="E1854" s="89" t="str">
        <v/>
      </c>
      <c r="F1854" s="89" t="str">
        <v/>
      </c>
      <c r="G1854" s="89" t="str">
        <f ca="1"/>
        <v/>
      </c>
    </row>
    <row r="1855" spans="1:7" x14ac:dyDescent="0.3">
      <c r="A1855" s="89" t="str">
        <v/>
      </c>
      <c r="B1855" s="89">
        <v>0</v>
      </c>
      <c r="C1855" s="90" t="str">
        <v/>
      </c>
      <c r="D1855" s="89" t="str">
        <v/>
      </c>
      <c r="E1855" s="89" t="str">
        <v/>
      </c>
      <c r="F1855" s="89" t="str">
        <v/>
      </c>
      <c r="G1855" s="89" t="str">
        <f ca="1"/>
        <v/>
      </c>
    </row>
    <row r="1856" spans="1:7" x14ac:dyDescent="0.3">
      <c r="A1856" s="89" t="str">
        <v/>
      </c>
      <c r="B1856" s="89">
        <v>0</v>
      </c>
      <c r="C1856" s="90" t="str">
        <v/>
      </c>
      <c r="D1856" s="89" t="str">
        <v/>
      </c>
      <c r="E1856" s="89" t="str">
        <v/>
      </c>
      <c r="F1856" s="89" t="str">
        <v/>
      </c>
      <c r="G1856" s="89" t="str">
        <f ca="1"/>
        <v/>
      </c>
    </row>
    <row r="1857" spans="1:7" x14ac:dyDescent="0.3">
      <c r="A1857" s="89" t="str">
        <v/>
      </c>
      <c r="B1857" s="89">
        <v>0</v>
      </c>
      <c r="C1857" s="90" t="str">
        <v/>
      </c>
      <c r="D1857" s="89" t="str">
        <v/>
      </c>
      <c r="E1857" s="89" t="str">
        <v/>
      </c>
      <c r="F1857" s="89" t="str">
        <v/>
      </c>
      <c r="G1857" s="89" t="str">
        <f ca="1"/>
        <v/>
      </c>
    </row>
    <row r="1858" spans="1:7" x14ac:dyDescent="0.3">
      <c r="A1858" s="89" t="str">
        <v/>
      </c>
      <c r="B1858" s="89">
        <v>0</v>
      </c>
      <c r="C1858" s="90" t="str">
        <v/>
      </c>
      <c r="D1858" s="89" t="str">
        <v/>
      </c>
      <c r="E1858" s="89" t="str">
        <v/>
      </c>
      <c r="F1858" s="89" t="str">
        <v/>
      </c>
      <c r="G1858" s="89" t="str">
        <f ca="1"/>
        <v/>
      </c>
    </row>
    <row r="1859" spans="1:7" x14ac:dyDescent="0.3">
      <c r="A1859" s="89" t="str">
        <v/>
      </c>
      <c r="B1859" s="89">
        <v>0</v>
      </c>
      <c r="C1859" s="90" t="str">
        <v/>
      </c>
      <c r="D1859" s="89" t="str">
        <v/>
      </c>
      <c r="E1859" s="89" t="str">
        <v/>
      </c>
      <c r="F1859" s="89" t="str">
        <v/>
      </c>
      <c r="G1859" s="89" t="str">
        <f ca="1"/>
        <v/>
      </c>
    </row>
    <row r="1860" spans="1:7" x14ac:dyDescent="0.3">
      <c r="A1860" s="89" t="str">
        <v/>
      </c>
      <c r="B1860" s="89">
        <v>0</v>
      </c>
      <c r="C1860" s="90" t="str">
        <v/>
      </c>
      <c r="D1860" s="89" t="str">
        <v/>
      </c>
      <c r="E1860" s="89" t="str">
        <v/>
      </c>
      <c r="F1860" s="89" t="str">
        <v/>
      </c>
      <c r="G1860" s="89" t="str">
        <f ca="1"/>
        <v/>
      </c>
    </row>
    <row r="1861" spans="1:7" x14ac:dyDescent="0.3">
      <c r="A1861" s="89" t="str">
        <v/>
      </c>
      <c r="B1861" s="89">
        <v>0</v>
      </c>
      <c r="C1861" s="90" t="str">
        <v/>
      </c>
      <c r="D1861" s="89" t="str">
        <v/>
      </c>
      <c r="E1861" s="89" t="str">
        <v/>
      </c>
      <c r="F1861" s="89" t="str">
        <v/>
      </c>
      <c r="G1861" s="89" t="str">
        <f ca="1"/>
        <v/>
      </c>
    </row>
    <row r="1862" spans="1:7" x14ac:dyDescent="0.3">
      <c r="A1862" s="89" t="str">
        <v/>
      </c>
      <c r="B1862" s="89" t="str">
        <v>Programa de Aire</v>
      </c>
      <c r="C1862" s="90" t="str">
        <v/>
      </c>
      <c r="D1862" s="89" t="str">
        <v>Evento</v>
      </c>
      <c r="E1862" s="89">
        <v>0</v>
      </c>
      <c r="F1862" s="89" t="str">
        <v/>
      </c>
      <c r="G1862" s="89" t="str">
        <f ca="1"/>
        <v/>
      </c>
    </row>
    <row r="1863" spans="1:7" x14ac:dyDescent="0.3">
      <c r="A1863" s="89" t="str">
        <v/>
      </c>
      <c r="B1863" s="89" t="str">
        <v>Conciencia Ambiental</v>
      </c>
      <c r="C1863" s="90" t="str">
        <v/>
      </c>
      <c r="D1863" s="89" t="str">
        <v>Periódica</v>
      </c>
      <c r="E1863" s="89">
        <v>365</v>
      </c>
      <c r="F1863" s="89" t="str">
        <v/>
      </c>
      <c r="G1863" s="89" t="str">
        <f ca="1"/>
        <v/>
      </c>
    </row>
    <row r="1864" spans="1:7" x14ac:dyDescent="0.3">
      <c r="A1864" s="89" t="str">
        <v/>
      </c>
      <c r="B1864" s="89" t="str">
        <v xml:space="preserve">Control de Documentos e Informacion de HSE </v>
      </c>
      <c r="C1864" s="90" t="str">
        <v/>
      </c>
      <c r="D1864" s="89" t="str">
        <v>Evento</v>
      </c>
      <c r="E1864" s="89">
        <v>0</v>
      </c>
      <c r="F1864" s="89" t="str">
        <v/>
      </c>
      <c r="G1864" s="89" t="str">
        <f ca="1"/>
        <v/>
      </c>
    </row>
    <row r="1865" spans="1:7" x14ac:dyDescent="0.3">
      <c r="A1865" s="89" t="str">
        <v/>
      </c>
      <c r="B1865" s="89" t="str">
        <v xml:space="preserve"> Acciones Correctivas y Preventivas (CAPA)</v>
      </c>
      <c r="C1865" s="90" t="str">
        <v/>
      </c>
      <c r="D1865" s="89" t="str">
        <v>Evento</v>
      </c>
      <c r="E1865" s="89">
        <v>0</v>
      </c>
      <c r="F1865" s="89" t="str">
        <v/>
      </c>
      <c r="G1865" s="89" t="str">
        <f ca="1"/>
        <v/>
      </c>
    </row>
    <row r="1866" spans="1:7" x14ac:dyDescent="0.3">
      <c r="A1866" s="89" t="str">
        <v/>
      </c>
      <c r="B1866" s="89" t="str">
        <v>Seguridad Basada en el Comportamiento (Observation Program) // HSMS.043 / Autoridad de Detener el Trabajo</v>
      </c>
      <c r="C1866" s="90" t="str">
        <v/>
      </c>
      <c r="D1866" s="89" t="str">
        <v>Periódica</v>
      </c>
      <c r="E1866" s="89">
        <v>365</v>
      </c>
      <c r="F1866" s="89" t="str">
        <v/>
      </c>
      <c r="G1866" s="89" t="str">
        <f ca="1"/>
        <v/>
      </c>
    </row>
    <row r="1867" spans="1:7" x14ac:dyDescent="0.3">
      <c r="A1867" s="89" t="str">
        <v/>
      </c>
      <c r="B1867" s="89" t="str">
        <v>Identificacion de Peligros y Evaluacion de Riesgos</v>
      </c>
      <c r="C1867" s="90" t="str">
        <v/>
      </c>
      <c r="D1867" s="89" t="str">
        <v>Evento</v>
      </c>
      <c r="E1867" s="89">
        <v>0</v>
      </c>
      <c r="F1867" s="89" t="str">
        <v/>
      </c>
      <c r="G1867" s="89" t="str">
        <f ca="1"/>
        <v/>
      </c>
    </row>
    <row r="1868" spans="1:7" x14ac:dyDescent="0.3">
      <c r="A1868" s="89" t="str">
        <v/>
      </c>
      <c r="B1868" s="89" t="str">
        <v xml:space="preserve"> Plan de Respuesta ante Eemergencias / HSMS.010 /Primeros Axulios &amp; RCP/DEA / HSMSWT-002 / Patogenos Trasnmitidos por la Sangre</v>
      </c>
      <c r="C1868" s="90" t="str">
        <v/>
      </c>
      <c r="D1868" s="89" t="str">
        <v>Periódica</v>
      </c>
      <c r="E1868" s="89">
        <v>365</v>
      </c>
      <c r="F1868" s="89" t="str">
        <v/>
      </c>
      <c r="G1868" s="89" t="str">
        <f ca="1"/>
        <v/>
      </c>
    </row>
    <row r="1869" spans="1:7" x14ac:dyDescent="0.3">
      <c r="A1869" s="89" t="str">
        <v/>
      </c>
      <c r="B1869" s="89" t="str">
        <v>Reporte y Gestion de Incidentes HSE (Todos)</v>
      </c>
      <c r="C1869" s="90" t="str">
        <v/>
      </c>
      <c r="D1869" s="89" t="str">
        <v>Periódica</v>
      </c>
      <c r="E1869" s="89">
        <v>365</v>
      </c>
      <c r="F1869" s="89" t="str">
        <v/>
      </c>
      <c r="G1869" s="89" t="str">
        <f ca="1"/>
        <v/>
      </c>
    </row>
    <row r="1870" spans="1:7" x14ac:dyDescent="0.3">
      <c r="A1870" s="89" t="str">
        <v/>
      </c>
      <c r="B1870" s="89" t="str">
        <v>Reporte, Gestion e Investigacion de Incidentes HSE (supervisores / investigadores (rol))</v>
      </c>
      <c r="C1870" s="90" t="str">
        <v/>
      </c>
      <c r="D1870" s="89" t="str">
        <v>Periódica</v>
      </c>
      <c r="E1870" s="89">
        <v>1095</v>
      </c>
      <c r="F1870" s="89" t="str">
        <v/>
      </c>
      <c r="G1870" s="89" t="str">
        <f ca="1"/>
        <v/>
      </c>
    </row>
    <row r="1871" spans="1:7" x14ac:dyDescent="0.3">
      <c r="A1871" s="89" t="str">
        <v/>
      </c>
      <c r="B1871" s="89" t="str">
        <v>Gruas y Equipos de Izaje (Todos)</v>
      </c>
      <c r="C1871" s="90" t="str">
        <v/>
      </c>
      <c r="D1871" s="89" t="str">
        <v>Periódica</v>
      </c>
      <c r="E1871" s="89">
        <v>365</v>
      </c>
      <c r="F1871" s="89" t="str">
        <v/>
      </c>
      <c r="G1871" s="89" t="str">
        <f ca="1"/>
        <v/>
      </c>
    </row>
    <row r="1872" spans="1:7" x14ac:dyDescent="0.3">
      <c r="A1872" s="89" t="str">
        <v/>
      </c>
      <c r="B1872" s="89" t="str">
        <v>HSMS.007 / Gruas y Equipos de Izaje (Operadores)</v>
      </c>
      <c r="C1872" s="90" t="str">
        <v/>
      </c>
      <c r="D1872" s="89" t="str">
        <v>Periódica</v>
      </c>
      <c r="E1872" s="89">
        <v>365</v>
      </c>
      <c r="F1872" s="89" t="str">
        <v/>
      </c>
      <c r="G1872" s="89" t="str">
        <f ca="1"/>
        <v/>
      </c>
    </row>
    <row r="1873" spans="1:7" x14ac:dyDescent="0.3">
      <c r="A1873" s="89" t="str">
        <v/>
      </c>
      <c r="B1873" s="89" t="str">
        <v>Proteccion Contra Incendios (Todos)</v>
      </c>
      <c r="C1873" s="90" t="str">
        <v/>
      </c>
      <c r="D1873" s="89" t="str">
        <v>Periódica</v>
      </c>
      <c r="E1873" s="89">
        <v>365</v>
      </c>
      <c r="F1873" s="89" t="str">
        <v/>
      </c>
      <c r="G1873" s="89" t="str">
        <f ca="1"/>
        <v/>
      </c>
    </row>
    <row r="1874" spans="1:7" x14ac:dyDescent="0.3">
      <c r="A1874" s="89" t="str">
        <v/>
      </c>
      <c r="B1874" s="89" t="str">
        <v>Proteccion Contra Incendios (Brigadistas)</v>
      </c>
      <c r="C1874" s="90" t="str">
        <v/>
      </c>
      <c r="D1874" s="89" t="str">
        <v>Periódica</v>
      </c>
      <c r="E1874" s="89">
        <v>365</v>
      </c>
      <c r="F1874" s="89" t="str">
        <v/>
      </c>
      <c r="G1874" s="89" t="str">
        <f ca="1"/>
        <v/>
      </c>
    </row>
    <row r="1875" spans="1:7" x14ac:dyDescent="0.3">
      <c r="A1875" s="89" t="str">
        <v/>
      </c>
      <c r="B1875" s="89" t="str">
        <v>Primeros Auxilios (Brigadistas)</v>
      </c>
      <c r="C1875" s="90" t="str">
        <v/>
      </c>
      <c r="D1875" s="89" t="str">
        <v>Periódica</v>
      </c>
      <c r="E1875" s="89">
        <v>365</v>
      </c>
      <c r="F1875" s="89" t="str">
        <v/>
      </c>
      <c r="G1875" s="89" t="str">
        <f ca="1"/>
        <v/>
      </c>
    </row>
    <row r="1876" spans="1:7" x14ac:dyDescent="0.3">
      <c r="A1876" s="89" t="str">
        <v/>
      </c>
      <c r="B1876" s="89" t="str">
        <v>Seguridad Electrica (Todos)</v>
      </c>
      <c r="C1876" s="90" t="str">
        <v/>
      </c>
      <c r="D1876" s="89" t="str">
        <v>Periódica</v>
      </c>
      <c r="E1876" s="89">
        <v>365</v>
      </c>
      <c r="F1876" s="89" t="str">
        <v/>
      </c>
      <c r="G1876" s="89" t="str">
        <f ca="1"/>
        <v/>
      </c>
    </row>
    <row r="1877" spans="1:7" x14ac:dyDescent="0.3">
      <c r="A1877" s="89" t="str">
        <v/>
      </c>
      <c r="B1877" s="89" t="str">
        <v>Seguridad Electrica (Personal Autorizado)</v>
      </c>
      <c r="C1877" s="90" t="str">
        <v/>
      </c>
      <c r="D1877" s="89" t="str">
        <v>Periódica</v>
      </c>
      <c r="E1877" s="89">
        <v>1095</v>
      </c>
      <c r="F1877" s="89" t="str">
        <v/>
      </c>
      <c r="G1877" s="89" t="str">
        <f ca="1"/>
        <v/>
      </c>
    </row>
    <row r="1878" spans="1:7" x14ac:dyDescent="0.3">
      <c r="A1878" s="89" t="str">
        <v/>
      </c>
      <c r="B1878" s="89" t="str">
        <v>Camiones Industriales Motorizados (PIT) (Todos)</v>
      </c>
      <c r="C1878" s="90" t="str">
        <v/>
      </c>
      <c r="D1878" s="89" t="str">
        <v>Periódica</v>
      </c>
      <c r="E1878" s="89">
        <v>365</v>
      </c>
      <c r="F1878" s="89" t="str">
        <v/>
      </c>
      <c r="G1878" s="89" t="str">
        <f ca="1"/>
        <v/>
      </c>
    </row>
    <row r="1879" spans="1:7" x14ac:dyDescent="0.3">
      <c r="A1879" s="89" t="str">
        <v/>
      </c>
      <c r="B1879" s="89" t="str">
        <v>Camiones Industriales Motorizados (PIT) (Op. Montacargas)</v>
      </c>
      <c r="C1879" s="90" t="str">
        <v/>
      </c>
      <c r="D1879" s="89" t="str">
        <v>Periódica</v>
      </c>
      <c r="E1879" s="89">
        <v>365</v>
      </c>
      <c r="F1879" s="89" t="str">
        <v/>
      </c>
      <c r="G1879" s="89" t="str">
        <f ca="1"/>
        <v/>
      </c>
    </row>
    <row r="1880" spans="1:7" x14ac:dyDescent="0.3">
      <c r="A1880" s="89" t="str">
        <v/>
      </c>
      <c r="B1880" s="89" t="str">
        <v>Control de Energias Peligrosas (LOTO) (Todos)</v>
      </c>
      <c r="C1880" s="90" t="str">
        <v/>
      </c>
      <c r="D1880" s="89" t="str">
        <v>Evento</v>
      </c>
      <c r="E1880" s="89">
        <v>0</v>
      </c>
      <c r="F1880" s="89" t="str">
        <v/>
      </c>
      <c r="G1880" s="89" t="str">
        <f ca="1"/>
        <v/>
      </c>
    </row>
    <row r="1881" spans="1:7" x14ac:dyDescent="0.3">
      <c r="A1881" s="89" t="str">
        <v/>
      </c>
      <c r="B1881" s="89" t="str">
        <v>Control de Energias Peligrosas (LOTO) (Empleados Autorizados)</v>
      </c>
      <c r="C1881" s="90" t="str">
        <v/>
      </c>
      <c r="D1881" s="89" t="str">
        <v>Periódica</v>
      </c>
      <c r="E1881" s="89">
        <v>365</v>
      </c>
      <c r="F1881" s="89" t="str">
        <v/>
      </c>
      <c r="G1881" s="89" t="str">
        <f ca="1"/>
        <v/>
      </c>
    </row>
    <row r="1882" spans="1:7" x14ac:dyDescent="0.3">
      <c r="A1882" s="89" t="str">
        <v/>
      </c>
      <c r="B1882" s="89" t="str">
        <v>Seguridad aplicada al Pozo &amp; Yacimiento</v>
      </c>
      <c r="C1882" s="90" t="str">
        <v/>
      </c>
      <c r="D1882" s="89" t="str">
        <v>Periódica</v>
      </c>
      <c r="E1882" s="89">
        <v>365</v>
      </c>
      <c r="F1882" s="89" t="str">
        <v/>
      </c>
      <c r="G1882" s="89" t="str">
        <f ca="1"/>
        <v/>
      </c>
    </row>
    <row r="1883" spans="1:7" x14ac:dyDescent="0.3">
      <c r="A1883" s="89" t="str">
        <v/>
      </c>
      <c r="B1883" s="89" t="str">
        <v>Las Reglas que Salvan Vidas</v>
      </c>
      <c r="C1883" s="90" t="str">
        <v/>
      </c>
      <c r="D1883" s="89" t="str">
        <v>Periódica</v>
      </c>
      <c r="E1883" s="89">
        <v>365</v>
      </c>
      <c r="F1883" s="89" t="str">
        <v/>
      </c>
      <c r="G1883" s="89" t="str">
        <f ca="1"/>
        <v/>
      </c>
    </row>
    <row r="1884" spans="1:7" x14ac:dyDescent="0.3">
      <c r="A1884" s="89" t="str">
        <v/>
      </c>
      <c r="B1884" s="89" t="str">
        <v xml:space="preserve">Resguardo de Maquinas &amp; Equipos </v>
      </c>
      <c r="C1884" s="90" t="str">
        <v/>
      </c>
      <c r="D1884" s="89" t="str">
        <v>Periódica</v>
      </c>
      <c r="E1884" s="89">
        <v>365</v>
      </c>
      <c r="F1884" s="89" t="str">
        <v/>
      </c>
      <c r="G1884" s="89" t="str">
        <f ca="1"/>
        <v/>
      </c>
    </row>
    <row r="1885" spans="1:7" x14ac:dyDescent="0.3">
      <c r="A1885" s="89" t="str">
        <v/>
      </c>
      <c r="B1885" s="89" t="str">
        <v>Conduccion y Gestion de Viajes (Todos)</v>
      </c>
      <c r="C1885" s="90" t="str">
        <v/>
      </c>
      <c r="D1885" s="89" t="str">
        <v>Periódica</v>
      </c>
      <c r="E1885" s="89">
        <v>730</v>
      </c>
      <c r="F1885" s="89" t="str">
        <v/>
      </c>
      <c r="G1885" s="89" t="str">
        <f ca="1"/>
        <v/>
      </c>
    </row>
    <row r="1886" spans="1:7" x14ac:dyDescent="0.3">
      <c r="A1886" s="89" t="str">
        <v/>
      </c>
      <c r="B1886" s="89" t="str">
        <v>Conduccion y Gestion de Viajes (Conductores)</v>
      </c>
      <c r="C1886" s="90" t="str">
        <v/>
      </c>
      <c r="D1886" s="89" t="str">
        <v>Periódica</v>
      </c>
      <c r="E1886" s="89">
        <v>1095</v>
      </c>
      <c r="F1886" s="89" t="str">
        <v/>
      </c>
      <c r="G1886" s="89" t="str">
        <f ca="1"/>
        <v/>
      </c>
    </row>
    <row r="1887" spans="1:7" x14ac:dyDescent="0.3">
      <c r="A1887" s="89" t="str">
        <v/>
      </c>
      <c r="B1887" s="89" t="str">
        <v>Patogenos Transmitidos por la Sangre</v>
      </c>
      <c r="C1887" s="90" t="str">
        <v/>
      </c>
      <c r="D1887" s="89" t="str">
        <v>Periódica</v>
      </c>
      <c r="E1887" s="89">
        <v>365</v>
      </c>
      <c r="F1887" s="89" t="str">
        <v/>
      </c>
      <c r="G1887" s="89" t="str">
        <f ca="1"/>
        <v/>
      </c>
    </row>
    <row r="1888" spans="1:7" x14ac:dyDescent="0.3">
      <c r="A1888" s="89" t="str">
        <v/>
      </c>
      <c r="B1888" s="89" t="str">
        <v>Conservacion Auditiva</v>
      </c>
      <c r="C1888" s="90" t="str">
        <v/>
      </c>
      <c r="D1888" s="89" t="str">
        <v>Periódica</v>
      </c>
      <c r="E1888" s="89">
        <v>365</v>
      </c>
      <c r="F1888" s="89" t="str">
        <v/>
      </c>
      <c r="G1888" s="89" t="str">
        <f ca="1"/>
        <v/>
      </c>
    </row>
    <row r="1889" spans="1:7" x14ac:dyDescent="0.3">
      <c r="A1889" s="89" t="str">
        <v/>
      </c>
      <c r="B1889" s="89" t="str">
        <v xml:space="preserve">Ergonomia //  / Levantamiento &amp; Seguridad en la Espalda </v>
      </c>
      <c r="C1889" s="90" t="str">
        <v/>
      </c>
      <c r="D1889" s="89" t="str">
        <v>Periódica</v>
      </c>
      <c r="E1889" s="89">
        <v>365</v>
      </c>
      <c r="F1889" s="89" t="str">
        <v/>
      </c>
      <c r="G1889" s="89" t="str">
        <f ca="1"/>
        <v/>
      </c>
    </row>
    <row r="1890" spans="1:7" x14ac:dyDescent="0.3">
      <c r="A1890" s="89" t="str">
        <v/>
      </c>
      <c r="B1890" s="89" t="str">
        <v>Superficies Elevadas (Todos)</v>
      </c>
      <c r="C1890" s="90" t="str">
        <v/>
      </c>
      <c r="D1890" s="89" t="str">
        <v>Periódica</v>
      </c>
      <c r="E1890" s="89">
        <v>365</v>
      </c>
      <c r="F1890" s="89" t="str">
        <v/>
      </c>
      <c r="G1890" s="89" t="str">
        <f ca="1"/>
        <v/>
      </c>
    </row>
    <row r="1891" spans="1:7" x14ac:dyDescent="0.3">
      <c r="A1891" s="89" t="str">
        <v/>
      </c>
      <c r="B1891" s="89" t="str">
        <v>Superficies Elevadas (Personal Habilitado)</v>
      </c>
      <c r="C1891" s="90" t="str">
        <v/>
      </c>
      <c r="D1891" s="89" t="str">
        <v>Periódica</v>
      </c>
      <c r="E1891" s="89">
        <v>365</v>
      </c>
      <c r="F1891" s="89" t="str">
        <v/>
      </c>
      <c r="G1891" s="89" t="str">
        <f ca="1"/>
        <v/>
      </c>
    </row>
    <row r="1892" spans="1:7" x14ac:dyDescent="0.3">
      <c r="A1892" s="89" t="str">
        <v/>
      </c>
      <c r="B1892" s="89" t="str">
        <v>Seguridad Quimica (Todos)</v>
      </c>
      <c r="C1892" s="90" t="str">
        <v/>
      </c>
      <c r="D1892" s="89" t="str">
        <v>Periódica</v>
      </c>
      <c r="E1892" s="89">
        <v>730</v>
      </c>
      <c r="F1892" s="89" t="str">
        <v/>
      </c>
      <c r="G1892" s="89" t="str">
        <f ca="1"/>
        <v/>
      </c>
    </row>
    <row r="1893" spans="1:7" x14ac:dyDescent="0.3">
      <c r="A1893" s="89" t="str">
        <v/>
      </c>
      <c r="B1893" s="89" t="str">
        <v>Seguridad Quimica (Mantenimiento)</v>
      </c>
      <c r="C1893" s="90" t="str">
        <v/>
      </c>
      <c r="D1893" s="89" t="str">
        <v>Periódica</v>
      </c>
      <c r="E1893" s="89">
        <v>365</v>
      </c>
      <c r="F1893" s="89" t="str">
        <v/>
      </c>
      <c r="G1893" s="89" t="str">
        <f ca="1"/>
        <v/>
      </c>
    </row>
    <row r="1894" spans="1:7" x14ac:dyDescent="0.3">
      <c r="A1894" s="89" t="str">
        <v/>
      </c>
      <c r="B1894" s="89" t="str">
        <v>Seguridad Quimica (Contratistas)</v>
      </c>
      <c r="C1894" s="90" t="str">
        <v/>
      </c>
      <c r="D1894" s="89" t="str">
        <v>Periódica</v>
      </c>
      <c r="E1894" s="89">
        <v>365</v>
      </c>
      <c r="F1894" s="89" t="str">
        <v/>
      </c>
      <c r="G1894" s="89" t="str">
        <f ca="1"/>
        <v/>
      </c>
    </row>
    <row r="1895" spans="1:7" x14ac:dyDescent="0.3">
      <c r="A1895" s="89" t="str">
        <v/>
      </c>
      <c r="B1895" s="89" t="str">
        <v>Seguridad para Trabajos en Caliente</v>
      </c>
      <c r="C1895" s="90" t="str">
        <v/>
      </c>
      <c r="D1895" s="89" t="str">
        <v>Periódica</v>
      </c>
      <c r="E1895" s="89">
        <v>365</v>
      </c>
      <c r="F1895" s="89" t="str">
        <v/>
      </c>
      <c r="G1895" s="89" t="str">
        <f ca="1"/>
        <v/>
      </c>
    </row>
    <row r="1896" spans="1:7" x14ac:dyDescent="0.3">
      <c r="A1896" s="89" t="str">
        <v/>
      </c>
      <c r="B1896" s="89" t="str">
        <v>Seguridad con la Radiacion</v>
      </c>
      <c r="C1896" s="90" t="str">
        <v/>
      </c>
      <c r="D1896" s="89" t="str">
        <v>Periódica</v>
      </c>
      <c r="E1896" s="89">
        <v>365</v>
      </c>
      <c r="F1896" s="89" t="str">
        <v/>
      </c>
      <c r="G1896" s="89" t="str">
        <f ca="1"/>
        <v/>
      </c>
    </row>
    <row r="1897" spans="1:7" x14ac:dyDescent="0.3">
      <c r="A1897" s="89" t="str">
        <v/>
      </c>
      <c r="B1897" s="89" t="str">
        <v>Equipo de Proteccion Personal (PPE)</v>
      </c>
      <c r="C1897" s="90" t="str">
        <v/>
      </c>
      <c r="D1897" s="89" t="str">
        <v>Periódica</v>
      </c>
      <c r="E1897" s="89">
        <v>365</v>
      </c>
      <c r="F1897" s="89" t="str">
        <v/>
      </c>
      <c r="G1897" s="89" t="str">
        <f ca="1"/>
        <v/>
      </c>
    </row>
    <row r="1898" spans="1:7" x14ac:dyDescent="0.3">
      <c r="A1898" s="89" t="str">
        <v/>
      </c>
      <c r="B1898" s="89" t="str">
        <v>Proteccion Respiratoria</v>
      </c>
      <c r="C1898" s="90" t="str">
        <v/>
      </c>
      <c r="D1898" s="89" t="str">
        <v>Periódica</v>
      </c>
      <c r="E1898" s="89">
        <v>365</v>
      </c>
      <c r="F1898" s="89" t="str">
        <v/>
      </c>
      <c r="G1898" s="89" t="str">
        <f ca="1"/>
        <v/>
      </c>
    </row>
    <row r="1899" spans="1:7" x14ac:dyDescent="0.3">
      <c r="A1899" s="89" t="str">
        <v/>
      </c>
      <c r="B1899" s="89" t="str">
        <v xml:space="preserve">Seguridad con Escaleras </v>
      </c>
      <c r="C1899" s="90" t="str">
        <v/>
      </c>
      <c r="D1899" s="89" t="str">
        <v>Periódica</v>
      </c>
      <c r="E1899" s="89">
        <v>365</v>
      </c>
      <c r="F1899" s="89" t="str">
        <v/>
      </c>
      <c r="G1899" s="89" t="str">
        <f ca="1"/>
        <v/>
      </c>
    </row>
    <row r="1900" spans="1:7" x14ac:dyDescent="0.3">
      <c r="A1900" s="89" t="str">
        <v/>
      </c>
      <c r="B1900" s="89" t="str">
        <v>Seguridad con Escaleras // Estantes de Almacenamiento</v>
      </c>
      <c r="C1900" s="90" t="str">
        <v/>
      </c>
      <c r="D1900" s="89" t="str">
        <v>Periódica</v>
      </c>
      <c r="E1900" s="89">
        <v>365</v>
      </c>
      <c r="F1900" s="89" t="str">
        <v/>
      </c>
      <c r="G1900" s="89" t="str">
        <f ca="1"/>
        <v/>
      </c>
    </row>
    <row r="1901" spans="1:7" x14ac:dyDescent="0.3">
      <c r="A1901" s="89" t="str">
        <v/>
      </c>
      <c r="B1901" s="89" t="str">
        <v>Responsabilidades del Supervisor</v>
      </c>
      <c r="C1901" s="90" t="str">
        <v/>
      </c>
      <c r="D1901" s="89" t="str">
        <v>Periódica</v>
      </c>
      <c r="E1901" s="89">
        <v>365</v>
      </c>
      <c r="F1901" s="89" t="str">
        <v/>
      </c>
      <c r="G1901" s="89" t="str">
        <f ca="1"/>
        <v/>
      </c>
    </row>
    <row r="1902" spans="1:7" x14ac:dyDescent="0.3">
      <c r="A1902" s="89" t="str">
        <v/>
      </c>
      <c r="B1902" s="89" t="str">
        <v>Espacios Confinados (Todos)</v>
      </c>
      <c r="C1902" s="90" t="str">
        <v/>
      </c>
      <c r="D1902" s="89" t="str">
        <v>Periódica</v>
      </c>
      <c r="E1902" s="89">
        <v>365</v>
      </c>
      <c r="F1902" s="89" t="str">
        <v/>
      </c>
      <c r="G1902" s="89" t="str">
        <f ca="1"/>
        <v/>
      </c>
    </row>
    <row r="1903" spans="1:7" x14ac:dyDescent="0.3">
      <c r="A1903" s="89" t="str">
        <v/>
      </c>
      <c r="B1903" s="89" t="str">
        <v>HSMS.017 / Espacios Confinados (Entrantes)</v>
      </c>
      <c r="C1903" s="90" t="str">
        <v/>
      </c>
      <c r="D1903" s="89" t="str">
        <v>Evento</v>
      </c>
      <c r="E1903" s="89">
        <v>0</v>
      </c>
      <c r="F1903" s="89" t="str">
        <v/>
      </c>
      <c r="G1903" s="89" t="str">
        <f ca="1"/>
        <v/>
      </c>
    </row>
    <row r="1904" spans="1:7" x14ac:dyDescent="0.3">
      <c r="A1904" s="89" t="str">
        <v/>
      </c>
      <c r="B1904" s="89" t="str">
        <v>Programa de Agua (Todos)</v>
      </c>
      <c r="C1904" s="90" t="str">
        <v/>
      </c>
      <c r="D1904" s="89" t="str">
        <v>Evento</v>
      </c>
      <c r="E1904" s="89">
        <v>0</v>
      </c>
      <c r="F1904" s="89" t="str">
        <v/>
      </c>
      <c r="G1904" s="89" t="str">
        <f ca="1"/>
        <v/>
      </c>
    </row>
    <row r="1905" spans="1:7" x14ac:dyDescent="0.3">
      <c r="A1905" s="89" t="str">
        <v/>
      </c>
      <c r="B1905" s="89" t="str">
        <v>Programa de Agua (HSE)</v>
      </c>
      <c r="C1905" s="90" t="str">
        <v/>
      </c>
      <c r="D1905" s="89" t="str">
        <v>Evento</v>
      </c>
      <c r="E1905" s="89">
        <v>0</v>
      </c>
      <c r="F1905" s="89" t="str">
        <v/>
      </c>
      <c r="G1905" s="89" t="str">
        <f ca="1"/>
        <v/>
      </c>
    </row>
    <row r="1906" spans="1:7" x14ac:dyDescent="0.3">
      <c r="A1906" s="89" t="str">
        <v/>
      </c>
      <c r="B1906" s="89" t="str">
        <v>HIV/SIDA y otras enfermedades de transmisión sexual (ETS)</v>
      </c>
      <c r="C1906" s="90" t="str">
        <v/>
      </c>
      <c r="D1906" s="89" t="str">
        <v>Periódica</v>
      </c>
      <c r="E1906" s="89">
        <v>365</v>
      </c>
      <c r="F1906" s="89" t="str">
        <v/>
      </c>
      <c r="G1906" s="89" t="str">
        <f ca="1"/>
        <v/>
      </c>
    </row>
    <row r="1907" spans="1:7" x14ac:dyDescent="0.3">
      <c r="A1907" s="89" t="str">
        <v/>
      </c>
      <c r="B1907" s="89" t="str">
        <v>Drogas de abuso (concientización y prevención)</v>
      </c>
      <c r="C1907" s="90" t="str">
        <v/>
      </c>
      <c r="D1907" s="89" t="str">
        <v>Periódica</v>
      </c>
      <c r="E1907" s="89">
        <v>365</v>
      </c>
      <c r="F1907" s="89" t="str">
        <v/>
      </c>
      <c r="G1907" s="89" t="str">
        <f ca="1"/>
        <v/>
      </c>
    </row>
    <row r="1908" spans="1:7" x14ac:dyDescent="0.3">
      <c r="A1908" s="89" t="str">
        <v/>
      </c>
      <c r="B1908" s="89" t="str">
        <v>Vida saludable (hábitos, autocuidado y bienestar)</v>
      </c>
      <c r="C1908" s="90" t="str">
        <v/>
      </c>
      <c r="D1908" s="89" t="str">
        <v>Periódica</v>
      </c>
      <c r="E1908" s="89">
        <v>365</v>
      </c>
      <c r="F1908" s="89" t="str">
        <v/>
      </c>
      <c r="G1908" s="89" t="str">
        <f ca="1"/>
        <v/>
      </c>
    </row>
    <row r="1909" spans="1:7" x14ac:dyDescent="0.3">
      <c r="A1909" s="89" t="str">
        <v/>
      </c>
      <c r="B1909" s="89" t="str">
        <v>Primeros auxilios y Reanimación Cardio Pulmonar (RCP)</v>
      </c>
      <c r="C1909" s="90" t="str">
        <v/>
      </c>
      <c r="D1909" s="89" t="str">
        <v>Periódica</v>
      </c>
      <c r="E1909" s="89">
        <v>365</v>
      </c>
      <c r="F1909" s="89" t="str">
        <v/>
      </c>
      <c r="G1909" s="89" t="str">
        <f ca="1"/>
        <v/>
      </c>
    </row>
    <row r="1910" spans="1:7" x14ac:dyDescent="0.3">
      <c r="A1910" s="89" t="str">
        <v/>
      </c>
      <c r="B1910" s="89" t="str">
        <v>Prevención cardiovascular (factores de riesgo y señales de alarma)</v>
      </c>
      <c r="C1910" s="90" t="str">
        <v/>
      </c>
      <c r="D1910" s="89" t="str">
        <v>Periódica</v>
      </c>
      <c r="E1910" s="89">
        <v>365</v>
      </c>
      <c r="F1910" s="89" t="str">
        <v/>
      </c>
      <c r="G1910" s="89" t="str">
        <f ca="1"/>
        <v/>
      </c>
    </row>
    <row r="1911" spans="1:7" x14ac:dyDescent="0.3">
      <c r="A1911" s="89" t="str">
        <v/>
      </c>
      <c r="B1911" s="89" t="str">
        <v>Efectos del tabaco sobre la salud</v>
      </c>
      <c r="C1911" s="90" t="str">
        <v/>
      </c>
      <c r="D1911" s="89" t="str">
        <v>Periódica</v>
      </c>
      <c r="E1911" s="89">
        <v>365</v>
      </c>
      <c r="F1911" s="89" t="str">
        <v/>
      </c>
      <c r="G1911" s="89" t="str">
        <f ca="1"/>
        <v/>
      </c>
    </row>
    <row r="1912" spans="1:7" x14ac:dyDescent="0.3">
      <c r="A1912" s="89" t="str">
        <v/>
      </c>
      <c r="B1912" s="89" t="str">
        <v>Cargadora (Op. Montacargas)</v>
      </c>
      <c r="C1912" s="90" t="str">
        <v/>
      </c>
      <c r="D1912" s="89" t="str">
        <v>Periódica</v>
      </c>
      <c r="E1912" s="89">
        <v>365</v>
      </c>
      <c r="F1912" s="89" t="str">
        <v/>
      </c>
      <c r="G1912" s="89" t="str">
        <f ca="1"/>
        <v/>
      </c>
    </row>
    <row r="1913" spans="1:7" x14ac:dyDescent="0.3">
      <c r="A1913" s="89" t="str">
        <v/>
      </c>
      <c r="B1913" s="89">
        <v>0</v>
      </c>
      <c r="C1913" s="90" t="str">
        <v/>
      </c>
      <c r="D1913" s="89" t="str">
        <v/>
      </c>
      <c r="E1913" s="89" t="str">
        <v/>
      </c>
      <c r="F1913" s="89" t="str">
        <v/>
      </c>
      <c r="G1913" s="89" t="str">
        <f ca="1"/>
        <v/>
      </c>
    </row>
    <row r="1914" spans="1:7" x14ac:dyDescent="0.3">
      <c r="A1914" s="89" t="str">
        <v/>
      </c>
      <c r="B1914" s="89">
        <v>0</v>
      </c>
      <c r="C1914" s="90" t="str">
        <v/>
      </c>
      <c r="D1914" s="89" t="str">
        <v/>
      </c>
      <c r="E1914" s="89" t="str">
        <v/>
      </c>
      <c r="F1914" s="89" t="str">
        <v/>
      </c>
      <c r="G1914" s="89" t="str">
        <f ca="1"/>
        <v/>
      </c>
    </row>
    <row r="1915" spans="1:7" x14ac:dyDescent="0.3">
      <c r="A1915" s="89" t="str">
        <v/>
      </c>
      <c r="B1915" s="89">
        <v>0</v>
      </c>
      <c r="C1915" s="90" t="str">
        <v/>
      </c>
      <c r="D1915" s="89" t="str">
        <v/>
      </c>
      <c r="E1915" s="89" t="str">
        <v/>
      </c>
      <c r="F1915" s="89" t="str">
        <v/>
      </c>
      <c r="G1915" s="89" t="str">
        <f ca="1"/>
        <v/>
      </c>
    </row>
    <row r="1916" spans="1:7" x14ac:dyDescent="0.3">
      <c r="A1916" s="89" t="str">
        <v/>
      </c>
      <c r="B1916" s="89">
        <v>0</v>
      </c>
      <c r="C1916" s="90" t="str">
        <v/>
      </c>
      <c r="D1916" s="89" t="str">
        <v/>
      </c>
      <c r="E1916" s="89" t="str">
        <v/>
      </c>
      <c r="F1916" s="89" t="str">
        <v/>
      </c>
      <c r="G1916" s="89" t="str">
        <f ca="1"/>
        <v/>
      </c>
    </row>
    <row r="1917" spans="1:7" x14ac:dyDescent="0.3">
      <c r="A1917" s="89" t="str">
        <v/>
      </c>
      <c r="B1917" s="89">
        <v>0</v>
      </c>
      <c r="C1917" s="90" t="str">
        <v/>
      </c>
      <c r="D1917" s="89" t="str">
        <v/>
      </c>
      <c r="E1917" s="89" t="str">
        <v/>
      </c>
      <c r="F1917" s="89" t="str">
        <v/>
      </c>
      <c r="G1917" s="89" t="str">
        <f ca="1"/>
        <v/>
      </c>
    </row>
    <row r="1918" spans="1:7" x14ac:dyDescent="0.3">
      <c r="A1918" s="89" t="str">
        <v/>
      </c>
      <c r="B1918" s="89">
        <v>0</v>
      </c>
      <c r="C1918" s="90" t="str">
        <v/>
      </c>
      <c r="D1918" s="89" t="str">
        <v/>
      </c>
      <c r="E1918" s="89" t="str">
        <v/>
      </c>
      <c r="F1918" s="89" t="str">
        <v/>
      </c>
      <c r="G1918" s="89" t="str">
        <f ca="1"/>
        <v/>
      </c>
    </row>
    <row r="1919" spans="1:7" x14ac:dyDescent="0.3">
      <c r="A1919" s="89" t="str">
        <v/>
      </c>
      <c r="B1919" s="89">
        <v>0</v>
      </c>
      <c r="C1919" s="90" t="str">
        <v/>
      </c>
      <c r="D1919" s="89" t="str">
        <v/>
      </c>
      <c r="E1919" s="89" t="str">
        <v/>
      </c>
      <c r="F1919" s="89" t="str">
        <v/>
      </c>
      <c r="G1919" s="89" t="str">
        <f ca="1"/>
        <v/>
      </c>
    </row>
    <row r="1920" spans="1:7" x14ac:dyDescent="0.3">
      <c r="A1920" s="89" t="str">
        <v/>
      </c>
      <c r="B1920" s="89">
        <v>0</v>
      </c>
      <c r="C1920" s="90" t="str">
        <v/>
      </c>
      <c r="D1920" s="89" t="str">
        <v/>
      </c>
      <c r="E1920" s="89" t="str">
        <v/>
      </c>
      <c r="F1920" s="89" t="str">
        <v/>
      </c>
      <c r="G1920" s="89" t="str">
        <f ca="1"/>
        <v/>
      </c>
    </row>
    <row r="1921" spans="1:7" x14ac:dyDescent="0.3">
      <c r="A1921" s="89" t="str">
        <v/>
      </c>
      <c r="B1921" s="89">
        <v>0</v>
      </c>
      <c r="C1921" s="90" t="str">
        <v/>
      </c>
      <c r="D1921" s="89" t="str">
        <v/>
      </c>
      <c r="E1921" s="89" t="str">
        <v/>
      </c>
      <c r="F1921" s="89" t="str">
        <v/>
      </c>
      <c r="G1921" s="89" t="str">
        <f ca="1"/>
        <v/>
      </c>
    </row>
    <row r="1922" spans="1:7" x14ac:dyDescent="0.3">
      <c r="A1922" s="89" t="str">
        <v/>
      </c>
      <c r="B1922" s="89" t="str">
        <v>Programa de Aire</v>
      </c>
      <c r="C1922" s="90" t="str">
        <v/>
      </c>
      <c r="D1922" s="89" t="str">
        <v>Evento</v>
      </c>
      <c r="E1922" s="89">
        <v>0</v>
      </c>
      <c r="F1922" s="89" t="str">
        <v/>
      </c>
      <c r="G1922" s="89" t="str">
        <f ca="1"/>
        <v/>
      </c>
    </row>
    <row r="1923" spans="1:7" x14ac:dyDescent="0.3">
      <c r="A1923" s="89" t="str">
        <v/>
      </c>
      <c r="B1923" s="89" t="str">
        <v>Conciencia Ambiental</v>
      </c>
      <c r="C1923" s="90" t="str">
        <v/>
      </c>
      <c r="D1923" s="89" t="str">
        <v>Periódica</v>
      </c>
      <c r="E1923" s="89">
        <v>365</v>
      </c>
      <c r="F1923" s="89" t="str">
        <v/>
      </c>
      <c r="G1923" s="89" t="str">
        <f ca="1"/>
        <v/>
      </c>
    </row>
    <row r="1924" spans="1:7" x14ac:dyDescent="0.3">
      <c r="A1924" s="89" t="str">
        <v/>
      </c>
      <c r="B1924" s="89" t="str">
        <v xml:space="preserve">Control de Documentos e Informacion de HSE </v>
      </c>
      <c r="C1924" s="90" t="str">
        <v/>
      </c>
      <c r="D1924" s="89" t="str">
        <v>Evento</v>
      </c>
      <c r="E1924" s="89">
        <v>0</v>
      </c>
      <c r="F1924" s="89" t="str">
        <v/>
      </c>
      <c r="G1924" s="89" t="str">
        <f ca="1"/>
        <v/>
      </c>
    </row>
    <row r="1925" spans="1:7" x14ac:dyDescent="0.3">
      <c r="A1925" s="89" t="str">
        <v/>
      </c>
      <c r="B1925" s="89" t="str">
        <v xml:space="preserve"> Acciones Correctivas y Preventivas (CAPA)</v>
      </c>
      <c r="C1925" s="90" t="str">
        <v/>
      </c>
      <c r="D1925" s="89" t="str">
        <v>Evento</v>
      </c>
      <c r="E1925" s="89">
        <v>0</v>
      </c>
      <c r="F1925" s="89" t="str">
        <v/>
      </c>
      <c r="G1925" s="89" t="str">
        <f ca="1"/>
        <v/>
      </c>
    </row>
    <row r="1926" spans="1:7" x14ac:dyDescent="0.3">
      <c r="A1926" s="89" t="str">
        <v/>
      </c>
      <c r="B1926" s="89" t="str">
        <v>Seguridad Basada en el Comportamiento (Observation Program) // HSMS.043 / Autoridad de Detener el Trabajo</v>
      </c>
      <c r="C1926" s="90" t="str">
        <v/>
      </c>
      <c r="D1926" s="89" t="str">
        <v>Periódica</v>
      </c>
      <c r="E1926" s="89">
        <v>365</v>
      </c>
      <c r="F1926" s="89" t="str">
        <v/>
      </c>
      <c r="G1926" s="89" t="str">
        <f ca="1"/>
        <v/>
      </c>
    </row>
    <row r="1927" spans="1:7" x14ac:dyDescent="0.3">
      <c r="A1927" s="89" t="str">
        <v/>
      </c>
      <c r="B1927" s="89" t="str">
        <v>Identificacion de Peligros y Evaluacion de Riesgos</v>
      </c>
      <c r="C1927" s="90" t="str">
        <v/>
      </c>
      <c r="D1927" s="89" t="str">
        <v>Evento</v>
      </c>
      <c r="E1927" s="89">
        <v>0</v>
      </c>
      <c r="F1927" s="89" t="str">
        <v/>
      </c>
      <c r="G1927" s="89" t="str">
        <f ca="1"/>
        <v/>
      </c>
    </row>
    <row r="1928" spans="1:7" x14ac:dyDescent="0.3">
      <c r="A1928" s="89" t="str">
        <v/>
      </c>
      <c r="B1928" s="89" t="str">
        <v xml:space="preserve"> Plan de Respuesta ante Eemergencias / HSMS.010 /Primeros Axulios &amp; RCP/DEA / HSMSWT-002 / Patogenos Trasnmitidos por la Sangre</v>
      </c>
      <c r="C1928" s="90" t="str">
        <v/>
      </c>
      <c r="D1928" s="89" t="str">
        <v>Periódica</v>
      </c>
      <c r="E1928" s="89">
        <v>365</v>
      </c>
      <c r="F1928" s="89" t="str">
        <v/>
      </c>
      <c r="G1928" s="89" t="str">
        <f ca="1"/>
        <v/>
      </c>
    </row>
    <row r="1929" spans="1:7" x14ac:dyDescent="0.3">
      <c r="A1929" s="89" t="str">
        <v/>
      </c>
      <c r="B1929" s="89" t="str">
        <v>Reporte y Gestion de Incidentes HSE (Todos)</v>
      </c>
      <c r="C1929" s="90" t="str">
        <v/>
      </c>
      <c r="D1929" s="89" t="str">
        <v>Periódica</v>
      </c>
      <c r="E1929" s="89">
        <v>365</v>
      </c>
      <c r="F1929" s="89" t="str">
        <v/>
      </c>
      <c r="G1929" s="89" t="str">
        <f ca="1"/>
        <v/>
      </c>
    </row>
    <row r="1930" spans="1:7" x14ac:dyDescent="0.3">
      <c r="A1930" s="89" t="str">
        <v/>
      </c>
      <c r="B1930" s="89" t="str">
        <v>Reporte, Gestion e Investigacion de Incidentes HSE (supervisores / investigadores (rol))</v>
      </c>
      <c r="C1930" s="90" t="str">
        <v/>
      </c>
      <c r="D1930" s="89" t="str">
        <v>Periódica</v>
      </c>
      <c r="E1930" s="89">
        <v>1095</v>
      </c>
      <c r="F1930" s="89" t="str">
        <v/>
      </c>
      <c r="G1930" s="89" t="str">
        <f ca="1"/>
        <v/>
      </c>
    </row>
    <row r="1931" spans="1:7" x14ac:dyDescent="0.3">
      <c r="A1931" s="89" t="str">
        <v/>
      </c>
      <c r="B1931" s="89" t="str">
        <v>Gruas y Equipos de Izaje (Todos)</v>
      </c>
      <c r="C1931" s="90" t="str">
        <v/>
      </c>
      <c r="D1931" s="89" t="str">
        <v>Periódica</v>
      </c>
      <c r="E1931" s="89">
        <v>365</v>
      </c>
      <c r="F1931" s="89" t="str">
        <v/>
      </c>
      <c r="G1931" s="89" t="str">
        <f ca="1"/>
        <v/>
      </c>
    </row>
    <row r="1932" spans="1:7" x14ac:dyDescent="0.3">
      <c r="A1932" s="89" t="str">
        <v/>
      </c>
      <c r="B1932" s="89" t="str">
        <v>HSMS.007 / Gruas y Equipos de Izaje (Operadores)</v>
      </c>
      <c r="C1932" s="90" t="str">
        <v/>
      </c>
      <c r="D1932" s="89" t="str">
        <v>Periódica</v>
      </c>
      <c r="E1932" s="89">
        <v>365</v>
      </c>
      <c r="F1932" s="89" t="str">
        <v/>
      </c>
      <c r="G1932" s="89" t="str">
        <f ca="1"/>
        <v/>
      </c>
    </row>
    <row r="1933" spans="1:7" x14ac:dyDescent="0.3">
      <c r="A1933" s="89" t="str">
        <v/>
      </c>
      <c r="B1933" s="89" t="str">
        <v>Proteccion Contra Incendios (Todos)</v>
      </c>
      <c r="C1933" s="90" t="str">
        <v/>
      </c>
      <c r="D1933" s="89" t="str">
        <v>Periódica</v>
      </c>
      <c r="E1933" s="89">
        <v>365</v>
      </c>
      <c r="F1933" s="89" t="str">
        <v/>
      </c>
      <c r="G1933" s="89" t="str">
        <f ca="1"/>
        <v/>
      </c>
    </row>
    <row r="1934" spans="1:7" x14ac:dyDescent="0.3">
      <c r="A1934" s="89" t="str">
        <v/>
      </c>
      <c r="B1934" s="89" t="str">
        <v>Proteccion Contra Incendios (Brigadistas)</v>
      </c>
      <c r="C1934" s="90" t="str">
        <v/>
      </c>
      <c r="D1934" s="89" t="str">
        <v>Periódica</v>
      </c>
      <c r="E1934" s="89">
        <v>365</v>
      </c>
      <c r="F1934" s="89" t="str">
        <v/>
      </c>
      <c r="G1934" s="89" t="str">
        <f ca="1"/>
        <v/>
      </c>
    </row>
    <row r="1935" spans="1:7" x14ac:dyDescent="0.3">
      <c r="A1935" s="89" t="str">
        <v/>
      </c>
      <c r="B1935" s="89" t="str">
        <v>Primeros Auxilios (Brigadistas)</v>
      </c>
      <c r="C1935" s="90" t="str">
        <v/>
      </c>
      <c r="D1935" s="89" t="str">
        <v>Periódica</v>
      </c>
      <c r="E1935" s="89">
        <v>365</v>
      </c>
      <c r="F1935" s="89" t="str">
        <v/>
      </c>
      <c r="G1935" s="89" t="str">
        <f ca="1"/>
        <v/>
      </c>
    </row>
    <row r="1936" spans="1:7" x14ac:dyDescent="0.3">
      <c r="A1936" s="89" t="str">
        <v/>
      </c>
      <c r="B1936" s="89" t="str">
        <v>Seguridad Electrica (Todos)</v>
      </c>
      <c r="C1936" s="90" t="str">
        <v/>
      </c>
      <c r="D1936" s="89" t="str">
        <v>Periódica</v>
      </c>
      <c r="E1936" s="89">
        <v>365</v>
      </c>
      <c r="F1936" s="89" t="str">
        <v/>
      </c>
      <c r="G1936" s="89" t="str">
        <f ca="1"/>
        <v/>
      </c>
    </row>
    <row r="1937" spans="1:7" x14ac:dyDescent="0.3">
      <c r="A1937" s="89" t="str">
        <v/>
      </c>
      <c r="B1937" s="89" t="str">
        <v>Seguridad Electrica (Personal Autorizado)</v>
      </c>
      <c r="C1937" s="90" t="str">
        <v/>
      </c>
      <c r="D1937" s="89" t="str">
        <v>Periódica</v>
      </c>
      <c r="E1937" s="89">
        <v>1095</v>
      </c>
      <c r="F1937" s="89" t="str">
        <v/>
      </c>
      <c r="G1937" s="89" t="str">
        <f ca="1"/>
        <v/>
      </c>
    </row>
    <row r="1938" spans="1:7" x14ac:dyDescent="0.3">
      <c r="A1938" s="89" t="str">
        <v/>
      </c>
      <c r="B1938" s="89" t="str">
        <v>Camiones Industriales Motorizados (PIT) (Todos)</v>
      </c>
      <c r="C1938" s="90" t="str">
        <v/>
      </c>
      <c r="D1938" s="89" t="str">
        <v>Periódica</v>
      </c>
      <c r="E1938" s="89">
        <v>365</v>
      </c>
      <c r="F1938" s="89" t="str">
        <v/>
      </c>
      <c r="G1938" s="89" t="str">
        <f ca="1"/>
        <v/>
      </c>
    </row>
    <row r="1939" spans="1:7" x14ac:dyDescent="0.3">
      <c r="A1939" s="89" t="str">
        <v/>
      </c>
      <c r="B1939" s="89" t="str">
        <v>Camiones Industriales Motorizados (PIT) (Op. Montacargas)</v>
      </c>
      <c r="C1939" s="90" t="str">
        <v/>
      </c>
      <c r="D1939" s="89" t="str">
        <v>Periódica</v>
      </c>
      <c r="E1939" s="89">
        <v>365</v>
      </c>
      <c r="F1939" s="89" t="str">
        <v/>
      </c>
      <c r="G1939" s="89" t="str">
        <f ca="1"/>
        <v/>
      </c>
    </row>
    <row r="1940" spans="1:7" x14ac:dyDescent="0.3">
      <c r="A1940" s="89" t="str">
        <v/>
      </c>
      <c r="B1940" s="89" t="str">
        <v>Control de Energias Peligrosas (LOTO) (Todos)</v>
      </c>
      <c r="C1940" s="90" t="str">
        <v/>
      </c>
      <c r="D1940" s="89" t="str">
        <v>Evento</v>
      </c>
      <c r="E1940" s="89">
        <v>0</v>
      </c>
      <c r="F1940" s="89" t="str">
        <v/>
      </c>
      <c r="G1940" s="89" t="str">
        <f ca="1"/>
        <v/>
      </c>
    </row>
    <row r="1941" spans="1:7" x14ac:dyDescent="0.3">
      <c r="A1941" s="89" t="str">
        <v/>
      </c>
      <c r="B1941" s="89" t="str">
        <v>Control de Energias Peligrosas (LOTO) (Empleados Autorizados)</v>
      </c>
      <c r="C1941" s="90" t="str">
        <v/>
      </c>
      <c r="D1941" s="89" t="str">
        <v>Periódica</v>
      </c>
      <c r="E1941" s="89">
        <v>365</v>
      </c>
      <c r="F1941" s="89" t="str">
        <v/>
      </c>
      <c r="G1941" s="89" t="str">
        <f ca="1"/>
        <v/>
      </c>
    </row>
    <row r="1942" spans="1:7" x14ac:dyDescent="0.3">
      <c r="A1942" s="89" t="str">
        <v/>
      </c>
      <c r="B1942" s="89" t="str">
        <v>Seguridad aplicada al Pozo &amp; Yacimiento</v>
      </c>
      <c r="C1942" s="90" t="str">
        <v/>
      </c>
      <c r="D1942" s="89" t="str">
        <v>Periódica</v>
      </c>
      <c r="E1942" s="89">
        <v>365</v>
      </c>
      <c r="F1942" s="89" t="str">
        <v/>
      </c>
      <c r="G1942" s="89" t="str">
        <f ca="1"/>
        <v/>
      </c>
    </row>
    <row r="1943" spans="1:7" x14ac:dyDescent="0.3">
      <c r="A1943" s="89" t="str">
        <v/>
      </c>
      <c r="B1943" s="89" t="str">
        <v>Las Reglas que Salvan Vidas</v>
      </c>
      <c r="C1943" s="90" t="str">
        <v/>
      </c>
      <c r="D1943" s="89" t="str">
        <v>Periódica</v>
      </c>
      <c r="E1943" s="89">
        <v>365</v>
      </c>
      <c r="F1943" s="89" t="str">
        <v/>
      </c>
      <c r="G1943" s="89" t="str">
        <f ca="1"/>
        <v/>
      </c>
    </row>
    <row r="1944" spans="1:7" x14ac:dyDescent="0.3">
      <c r="A1944" s="89" t="str">
        <v/>
      </c>
      <c r="B1944" s="89" t="str">
        <v xml:space="preserve">Resguardo de Maquinas &amp; Equipos </v>
      </c>
      <c r="C1944" s="90" t="str">
        <v/>
      </c>
      <c r="D1944" s="89" t="str">
        <v>Periódica</v>
      </c>
      <c r="E1944" s="89">
        <v>365</v>
      </c>
      <c r="F1944" s="89" t="str">
        <v/>
      </c>
      <c r="G1944" s="89" t="str">
        <f ca="1"/>
        <v/>
      </c>
    </row>
    <row r="1945" spans="1:7" x14ac:dyDescent="0.3">
      <c r="A1945" s="89" t="str">
        <v/>
      </c>
      <c r="B1945" s="89" t="str">
        <v>Conduccion y Gestion de Viajes (Todos)</v>
      </c>
      <c r="C1945" s="90" t="str">
        <v/>
      </c>
      <c r="D1945" s="89" t="str">
        <v>Periódica</v>
      </c>
      <c r="E1945" s="89">
        <v>730</v>
      </c>
      <c r="F1945" s="89" t="str">
        <v/>
      </c>
      <c r="G1945" s="89" t="str">
        <f ca="1"/>
        <v/>
      </c>
    </row>
    <row r="1946" spans="1:7" x14ac:dyDescent="0.3">
      <c r="A1946" s="89" t="str">
        <v/>
      </c>
      <c r="B1946" s="89" t="str">
        <v>Conduccion y Gestion de Viajes (Conductores)</v>
      </c>
      <c r="C1946" s="90" t="str">
        <v/>
      </c>
      <c r="D1946" s="89" t="str">
        <v>Periódica</v>
      </c>
      <c r="E1946" s="89">
        <v>1095</v>
      </c>
      <c r="F1946" s="89" t="str">
        <v/>
      </c>
      <c r="G1946" s="89" t="str">
        <f ca="1"/>
        <v/>
      </c>
    </row>
    <row r="1947" spans="1:7" x14ac:dyDescent="0.3">
      <c r="A1947" s="89" t="str">
        <v/>
      </c>
      <c r="B1947" s="89" t="str">
        <v>Patogenos Transmitidos por la Sangre</v>
      </c>
      <c r="C1947" s="90" t="str">
        <v/>
      </c>
      <c r="D1947" s="89" t="str">
        <v>Periódica</v>
      </c>
      <c r="E1947" s="89">
        <v>365</v>
      </c>
      <c r="F1947" s="89" t="str">
        <v/>
      </c>
      <c r="G1947" s="89" t="str">
        <f ca="1"/>
        <v/>
      </c>
    </row>
    <row r="1948" spans="1:7" x14ac:dyDescent="0.3">
      <c r="A1948" s="89" t="str">
        <v/>
      </c>
      <c r="B1948" s="89" t="str">
        <v>Conservacion Auditiva</v>
      </c>
      <c r="C1948" s="90" t="str">
        <v/>
      </c>
      <c r="D1948" s="89" t="str">
        <v>Periódica</v>
      </c>
      <c r="E1948" s="89">
        <v>365</v>
      </c>
      <c r="F1948" s="89" t="str">
        <v/>
      </c>
      <c r="G1948" s="89" t="str">
        <f ca="1"/>
        <v/>
      </c>
    </row>
    <row r="1949" spans="1:7" x14ac:dyDescent="0.3">
      <c r="A1949" s="89" t="str">
        <v/>
      </c>
      <c r="B1949" s="89" t="str">
        <v xml:space="preserve">Ergonomia //  / Levantamiento &amp; Seguridad en la Espalda </v>
      </c>
      <c r="C1949" s="90" t="str">
        <v/>
      </c>
      <c r="D1949" s="89" t="str">
        <v>Periódica</v>
      </c>
      <c r="E1949" s="89">
        <v>365</v>
      </c>
      <c r="F1949" s="89" t="str">
        <v/>
      </c>
      <c r="G1949" s="89" t="str">
        <f ca="1"/>
        <v/>
      </c>
    </row>
    <row r="1950" spans="1:7" x14ac:dyDescent="0.3">
      <c r="A1950" s="89" t="str">
        <v/>
      </c>
      <c r="B1950" s="89" t="str">
        <v>Superficies Elevadas (Todos)</v>
      </c>
      <c r="C1950" s="90" t="str">
        <v/>
      </c>
      <c r="D1950" s="89" t="str">
        <v>Periódica</v>
      </c>
      <c r="E1950" s="89">
        <v>365</v>
      </c>
      <c r="F1950" s="89" t="str">
        <v/>
      </c>
      <c r="G1950" s="89" t="str">
        <f ca="1"/>
        <v/>
      </c>
    </row>
    <row r="1951" spans="1:7" x14ac:dyDescent="0.3">
      <c r="A1951" s="89" t="str">
        <v/>
      </c>
      <c r="B1951" s="89" t="str">
        <v>Superficies Elevadas (Personal Habilitado)</v>
      </c>
      <c r="C1951" s="90" t="str">
        <v/>
      </c>
      <c r="D1951" s="89" t="str">
        <v>Periódica</v>
      </c>
      <c r="E1951" s="89">
        <v>365</v>
      </c>
      <c r="F1951" s="89" t="str">
        <v/>
      </c>
      <c r="G1951" s="89" t="str">
        <f ca="1"/>
        <v/>
      </c>
    </row>
    <row r="1952" spans="1:7" x14ac:dyDescent="0.3">
      <c r="A1952" s="89" t="str">
        <v/>
      </c>
      <c r="B1952" s="89" t="str">
        <v>Seguridad Quimica (Todos)</v>
      </c>
      <c r="C1952" s="90" t="str">
        <v/>
      </c>
      <c r="D1952" s="89" t="str">
        <v>Periódica</v>
      </c>
      <c r="E1952" s="89">
        <v>730</v>
      </c>
      <c r="F1952" s="89" t="str">
        <v/>
      </c>
      <c r="G1952" s="89" t="str">
        <f ca="1"/>
        <v/>
      </c>
    </row>
    <row r="1953" spans="1:7" x14ac:dyDescent="0.3">
      <c r="A1953" s="89" t="str">
        <v/>
      </c>
      <c r="B1953" s="89" t="str">
        <v>Seguridad Quimica (Mantenimiento)</v>
      </c>
      <c r="C1953" s="90" t="str">
        <v/>
      </c>
      <c r="D1953" s="89" t="str">
        <v>Periódica</v>
      </c>
      <c r="E1953" s="89">
        <v>365</v>
      </c>
      <c r="F1953" s="89" t="str">
        <v/>
      </c>
      <c r="G1953" s="89" t="str">
        <f ca="1"/>
        <v/>
      </c>
    </row>
    <row r="1954" spans="1:7" x14ac:dyDescent="0.3">
      <c r="A1954" s="89" t="str">
        <v/>
      </c>
      <c r="B1954" s="89" t="str">
        <v>Seguridad Quimica (Contratistas)</v>
      </c>
      <c r="C1954" s="90" t="str">
        <v/>
      </c>
      <c r="D1954" s="89" t="str">
        <v>Periódica</v>
      </c>
      <c r="E1954" s="89">
        <v>365</v>
      </c>
      <c r="F1954" s="89" t="str">
        <v/>
      </c>
      <c r="G1954" s="89" t="str">
        <f ca="1"/>
        <v/>
      </c>
    </row>
    <row r="1955" spans="1:7" x14ac:dyDescent="0.3">
      <c r="A1955" s="89" t="str">
        <v/>
      </c>
      <c r="B1955" s="89" t="str">
        <v>Seguridad para Trabajos en Caliente</v>
      </c>
      <c r="C1955" s="90" t="str">
        <v/>
      </c>
      <c r="D1955" s="89" t="str">
        <v>Periódica</v>
      </c>
      <c r="E1955" s="89">
        <v>365</v>
      </c>
      <c r="F1955" s="89" t="str">
        <v/>
      </c>
      <c r="G1955" s="89" t="str">
        <f ca="1"/>
        <v/>
      </c>
    </row>
    <row r="1956" spans="1:7" x14ac:dyDescent="0.3">
      <c r="A1956" s="89" t="str">
        <v/>
      </c>
      <c r="B1956" s="89" t="str">
        <v>Seguridad con la Radiacion</v>
      </c>
      <c r="C1956" s="90" t="str">
        <v/>
      </c>
      <c r="D1956" s="89" t="str">
        <v>Periódica</v>
      </c>
      <c r="E1956" s="89">
        <v>365</v>
      </c>
      <c r="F1956" s="89" t="str">
        <v/>
      </c>
      <c r="G1956" s="89" t="str">
        <f ca="1"/>
        <v/>
      </c>
    </row>
    <row r="1957" spans="1:7" x14ac:dyDescent="0.3">
      <c r="A1957" s="89" t="str">
        <v/>
      </c>
      <c r="B1957" s="89" t="str">
        <v>Equipo de Proteccion Personal (PPE)</v>
      </c>
      <c r="C1957" s="90" t="str">
        <v/>
      </c>
      <c r="D1957" s="89" t="str">
        <v>Periódica</v>
      </c>
      <c r="E1957" s="89">
        <v>365</v>
      </c>
      <c r="F1957" s="89" t="str">
        <v/>
      </c>
      <c r="G1957" s="89" t="str">
        <f ca="1"/>
        <v/>
      </c>
    </row>
    <row r="1958" spans="1:7" x14ac:dyDescent="0.3">
      <c r="A1958" s="89" t="str">
        <v/>
      </c>
      <c r="B1958" s="89" t="str">
        <v>Proteccion Respiratoria</v>
      </c>
      <c r="C1958" s="90" t="str">
        <v/>
      </c>
      <c r="D1958" s="89" t="str">
        <v>Periódica</v>
      </c>
      <c r="E1958" s="89">
        <v>365</v>
      </c>
      <c r="F1958" s="89" t="str">
        <v/>
      </c>
      <c r="G1958" s="89" t="str">
        <f ca="1"/>
        <v/>
      </c>
    </row>
    <row r="1959" spans="1:7" x14ac:dyDescent="0.3">
      <c r="A1959" s="89" t="str">
        <v/>
      </c>
      <c r="B1959" s="89" t="str">
        <v xml:space="preserve">Seguridad con Escaleras </v>
      </c>
      <c r="C1959" s="90" t="str">
        <v/>
      </c>
      <c r="D1959" s="89" t="str">
        <v>Periódica</v>
      </c>
      <c r="E1959" s="89">
        <v>365</v>
      </c>
      <c r="F1959" s="89" t="str">
        <v/>
      </c>
      <c r="G1959" s="89" t="str">
        <f ca="1"/>
        <v/>
      </c>
    </row>
    <row r="1960" spans="1:7" x14ac:dyDescent="0.3">
      <c r="A1960" s="89" t="str">
        <v/>
      </c>
      <c r="B1960" s="89" t="str">
        <v>Seguridad con Escaleras // Estantes de Almacenamiento</v>
      </c>
      <c r="C1960" s="90" t="str">
        <v/>
      </c>
      <c r="D1960" s="89" t="str">
        <v>Periódica</v>
      </c>
      <c r="E1960" s="89">
        <v>365</v>
      </c>
      <c r="F1960" s="89" t="str">
        <v/>
      </c>
      <c r="G1960" s="89" t="str">
        <f ca="1"/>
        <v/>
      </c>
    </row>
    <row r="1961" spans="1:7" x14ac:dyDescent="0.3">
      <c r="A1961" s="89" t="str">
        <v/>
      </c>
      <c r="B1961" s="89" t="str">
        <v>Responsabilidades del Supervisor</v>
      </c>
      <c r="C1961" s="90" t="str">
        <v/>
      </c>
      <c r="D1961" s="89" t="str">
        <v>Periódica</v>
      </c>
      <c r="E1961" s="89">
        <v>365</v>
      </c>
      <c r="F1961" s="89" t="str">
        <v/>
      </c>
      <c r="G1961" s="89" t="str">
        <f ca="1"/>
        <v/>
      </c>
    </row>
    <row r="1962" spans="1:7" x14ac:dyDescent="0.3">
      <c r="A1962" s="89" t="str">
        <v/>
      </c>
      <c r="B1962" s="89" t="str">
        <v>Espacios Confinados (Todos)</v>
      </c>
      <c r="C1962" s="90" t="str">
        <v/>
      </c>
      <c r="D1962" s="89" t="str">
        <v>Periódica</v>
      </c>
      <c r="E1962" s="89">
        <v>365</v>
      </c>
      <c r="F1962" s="89" t="str">
        <v/>
      </c>
      <c r="G1962" s="89" t="str">
        <f ca="1"/>
        <v/>
      </c>
    </row>
    <row r="1963" spans="1:7" x14ac:dyDescent="0.3">
      <c r="A1963" s="89" t="str">
        <v/>
      </c>
      <c r="B1963" s="89" t="str">
        <v>HSMS.017 / Espacios Confinados (Entrantes)</v>
      </c>
      <c r="C1963" s="90" t="str">
        <v/>
      </c>
      <c r="D1963" s="89" t="str">
        <v>Evento</v>
      </c>
      <c r="E1963" s="89">
        <v>0</v>
      </c>
      <c r="F1963" s="89" t="str">
        <v/>
      </c>
      <c r="G1963" s="89" t="str">
        <f ca="1"/>
        <v/>
      </c>
    </row>
    <row r="1964" spans="1:7" x14ac:dyDescent="0.3">
      <c r="A1964" s="89" t="str">
        <v/>
      </c>
      <c r="B1964" s="89" t="str">
        <v>Programa de Agua (Todos)</v>
      </c>
      <c r="C1964" s="90" t="str">
        <v/>
      </c>
      <c r="D1964" s="89" t="str">
        <v>Evento</v>
      </c>
      <c r="E1964" s="89">
        <v>0</v>
      </c>
      <c r="F1964" s="89" t="str">
        <v/>
      </c>
      <c r="G1964" s="89" t="str">
        <f ca="1"/>
        <v/>
      </c>
    </row>
    <row r="1965" spans="1:7" x14ac:dyDescent="0.3">
      <c r="A1965" s="89" t="str">
        <v/>
      </c>
      <c r="B1965" s="89" t="str">
        <v>Programa de Agua (HSE)</v>
      </c>
      <c r="C1965" s="90" t="str">
        <v/>
      </c>
      <c r="D1965" s="89" t="str">
        <v>Evento</v>
      </c>
      <c r="E1965" s="89">
        <v>0</v>
      </c>
      <c r="F1965" s="89" t="str">
        <v/>
      </c>
      <c r="G1965" s="89" t="str">
        <f ca="1"/>
        <v/>
      </c>
    </row>
    <row r="1966" spans="1:7" x14ac:dyDescent="0.3">
      <c r="A1966" s="89" t="str">
        <v/>
      </c>
      <c r="B1966" s="89" t="str">
        <v>HIV/SIDA y otras enfermedades de transmisión sexual (ETS)</v>
      </c>
      <c r="C1966" s="90" t="str">
        <v/>
      </c>
      <c r="D1966" s="89" t="str">
        <v>Periódica</v>
      </c>
      <c r="E1966" s="89">
        <v>365</v>
      </c>
      <c r="F1966" s="89" t="str">
        <v/>
      </c>
      <c r="G1966" s="89" t="str">
        <f ca="1"/>
        <v/>
      </c>
    </row>
    <row r="1967" spans="1:7" x14ac:dyDescent="0.3">
      <c r="A1967" s="89" t="str">
        <v/>
      </c>
      <c r="B1967" s="89" t="str">
        <v>Drogas de abuso (concientización y prevención)</v>
      </c>
      <c r="C1967" s="90" t="str">
        <v/>
      </c>
      <c r="D1967" s="89" t="str">
        <v>Periódica</v>
      </c>
      <c r="E1967" s="89">
        <v>365</v>
      </c>
      <c r="F1967" s="89" t="str">
        <v/>
      </c>
      <c r="G1967" s="89" t="str">
        <f ca="1"/>
        <v/>
      </c>
    </row>
    <row r="1968" spans="1:7" x14ac:dyDescent="0.3">
      <c r="A1968" s="89" t="str">
        <v/>
      </c>
      <c r="B1968" s="89" t="str">
        <v>Vida saludable (hábitos, autocuidado y bienestar)</v>
      </c>
      <c r="C1968" s="90" t="str">
        <v/>
      </c>
      <c r="D1968" s="89" t="str">
        <v>Periódica</v>
      </c>
      <c r="E1968" s="89">
        <v>365</v>
      </c>
      <c r="F1968" s="89" t="str">
        <v/>
      </c>
      <c r="G1968" s="89" t="str">
        <f ca="1"/>
        <v/>
      </c>
    </row>
    <row r="1969" spans="1:7" x14ac:dyDescent="0.3">
      <c r="A1969" s="89" t="str">
        <v/>
      </c>
      <c r="B1969" s="89" t="str">
        <v>Primeros auxilios y Reanimación Cardio Pulmonar (RCP)</v>
      </c>
      <c r="C1969" s="90" t="str">
        <v/>
      </c>
      <c r="D1969" s="89" t="str">
        <v>Periódica</v>
      </c>
      <c r="E1969" s="89">
        <v>365</v>
      </c>
      <c r="F1969" s="89" t="str">
        <v/>
      </c>
      <c r="G1969" s="89" t="str">
        <f ca="1"/>
        <v/>
      </c>
    </row>
    <row r="1970" spans="1:7" x14ac:dyDescent="0.3">
      <c r="A1970" s="89" t="str">
        <v/>
      </c>
      <c r="B1970" s="89" t="str">
        <v>Prevención cardiovascular (factores de riesgo y señales de alarma)</v>
      </c>
      <c r="C1970" s="90" t="str">
        <v/>
      </c>
      <c r="D1970" s="89" t="str">
        <v>Periódica</v>
      </c>
      <c r="E1970" s="89">
        <v>365</v>
      </c>
      <c r="F1970" s="89" t="str">
        <v/>
      </c>
      <c r="G1970" s="89" t="str">
        <f ca="1"/>
        <v/>
      </c>
    </row>
    <row r="1971" spans="1:7" x14ac:dyDescent="0.3">
      <c r="A1971" s="89" t="str">
        <v/>
      </c>
      <c r="B1971" s="89" t="str">
        <v>Efectos del tabaco sobre la salud</v>
      </c>
      <c r="C1971" s="90" t="str">
        <v/>
      </c>
      <c r="D1971" s="89" t="str">
        <v>Periódica</v>
      </c>
      <c r="E1971" s="89">
        <v>365</v>
      </c>
      <c r="F1971" s="89" t="str">
        <v/>
      </c>
      <c r="G1971" s="89" t="str">
        <f ca="1"/>
        <v/>
      </c>
    </row>
    <row r="1972" spans="1:7" x14ac:dyDescent="0.3">
      <c r="A1972" s="89" t="str">
        <v/>
      </c>
      <c r="B1972" s="89" t="str">
        <v>Cargadora (Op. Montacargas)</v>
      </c>
      <c r="C1972" s="90" t="str">
        <v/>
      </c>
      <c r="D1972" s="89" t="str">
        <v>Periódica</v>
      </c>
      <c r="E1972" s="89">
        <v>365</v>
      </c>
      <c r="F1972" s="89" t="str">
        <v/>
      </c>
      <c r="G1972" s="89" t="str">
        <f ca="1"/>
        <v/>
      </c>
    </row>
    <row r="1973" spans="1:7" x14ac:dyDescent="0.3">
      <c r="A1973" s="89" t="str">
        <v/>
      </c>
      <c r="B1973" s="89">
        <v>0</v>
      </c>
      <c r="C1973" s="90" t="str">
        <v/>
      </c>
      <c r="D1973" s="89" t="str">
        <v/>
      </c>
      <c r="E1973" s="89" t="str">
        <v/>
      </c>
      <c r="F1973" s="89" t="str">
        <v/>
      </c>
      <c r="G1973" s="89" t="str">
        <f ca="1"/>
        <v/>
      </c>
    </row>
    <row r="1974" spans="1:7" x14ac:dyDescent="0.3">
      <c r="A1974" s="89" t="str">
        <v/>
      </c>
      <c r="B1974" s="89">
        <v>0</v>
      </c>
      <c r="C1974" s="90" t="str">
        <v/>
      </c>
      <c r="D1974" s="89" t="str">
        <v/>
      </c>
      <c r="E1974" s="89" t="str">
        <v/>
      </c>
      <c r="F1974" s="89" t="str">
        <v/>
      </c>
      <c r="G1974" s="89" t="str">
        <f ca="1"/>
        <v/>
      </c>
    </row>
    <row r="1975" spans="1:7" x14ac:dyDescent="0.3">
      <c r="A1975" s="89" t="str">
        <v/>
      </c>
      <c r="B1975" s="89">
        <v>0</v>
      </c>
      <c r="C1975" s="90" t="str">
        <v/>
      </c>
      <c r="D1975" s="89" t="str">
        <v/>
      </c>
      <c r="E1975" s="89" t="str">
        <v/>
      </c>
      <c r="F1975" s="89" t="str">
        <v/>
      </c>
      <c r="G1975" s="89" t="str">
        <f ca="1"/>
        <v/>
      </c>
    </row>
    <row r="1976" spans="1:7" x14ac:dyDescent="0.3">
      <c r="A1976" s="89" t="str">
        <v/>
      </c>
      <c r="B1976" s="89">
        <v>0</v>
      </c>
      <c r="C1976" s="90" t="str">
        <v/>
      </c>
      <c r="D1976" s="89" t="str">
        <v/>
      </c>
      <c r="E1976" s="89" t="str">
        <v/>
      </c>
      <c r="F1976" s="89" t="str">
        <v/>
      </c>
      <c r="G1976" s="89" t="str">
        <f ca="1"/>
        <v/>
      </c>
    </row>
    <row r="1977" spans="1:7" x14ac:dyDescent="0.3">
      <c r="A1977" s="89" t="str">
        <v/>
      </c>
      <c r="B1977" s="89">
        <v>0</v>
      </c>
      <c r="C1977" s="90" t="str">
        <v/>
      </c>
      <c r="D1977" s="89" t="str">
        <v/>
      </c>
      <c r="E1977" s="89" t="str">
        <v/>
      </c>
      <c r="F1977" s="89" t="str">
        <v/>
      </c>
      <c r="G1977" s="89" t="str">
        <f ca="1"/>
        <v/>
      </c>
    </row>
    <row r="1978" spans="1:7" x14ac:dyDescent="0.3">
      <c r="A1978" s="89" t="str">
        <v/>
      </c>
      <c r="B1978" s="89">
        <v>0</v>
      </c>
      <c r="C1978" s="90" t="str">
        <v/>
      </c>
      <c r="D1978" s="89" t="str">
        <v/>
      </c>
      <c r="E1978" s="89" t="str">
        <v/>
      </c>
      <c r="F1978" s="89" t="str">
        <v/>
      </c>
      <c r="G1978" s="89" t="str">
        <f ca="1"/>
        <v/>
      </c>
    </row>
    <row r="1979" spans="1:7" x14ac:dyDescent="0.3">
      <c r="A1979" s="89" t="str">
        <v/>
      </c>
      <c r="B1979" s="89">
        <v>0</v>
      </c>
      <c r="C1979" s="90" t="str">
        <v/>
      </c>
      <c r="D1979" s="89" t="str">
        <v/>
      </c>
      <c r="E1979" s="89" t="str">
        <v/>
      </c>
      <c r="F1979" s="89" t="str">
        <v/>
      </c>
      <c r="G1979" s="89" t="str">
        <f ca="1"/>
        <v/>
      </c>
    </row>
    <row r="1980" spans="1:7" x14ac:dyDescent="0.3">
      <c r="A1980" s="89" t="str">
        <v/>
      </c>
      <c r="B1980" s="89">
        <v>0</v>
      </c>
      <c r="C1980" s="90" t="str">
        <v/>
      </c>
      <c r="D1980" s="89" t="str">
        <v/>
      </c>
      <c r="E1980" s="89" t="str">
        <v/>
      </c>
      <c r="F1980" s="89" t="str">
        <v/>
      </c>
      <c r="G1980" s="89" t="str">
        <f ca="1"/>
        <v/>
      </c>
    </row>
    <row r="1981" spans="1:7" x14ac:dyDescent="0.3">
      <c r="A1981" s="89" t="str">
        <v/>
      </c>
      <c r="B1981" s="89">
        <v>0</v>
      </c>
      <c r="C1981" s="90" t="str">
        <v/>
      </c>
      <c r="D1981" s="89" t="str">
        <v/>
      </c>
      <c r="E1981" s="89" t="str">
        <v/>
      </c>
      <c r="F1981" s="89" t="str">
        <v/>
      </c>
      <c r="G1981" s="89" t="str">
        <f ca="1"/>
        <v/>
      </c>
    </row>
    <row r="1982" spans="1:7" x14ac:dyDescent="0.3">
      <c r="A1982" s="89" t="str">
        <v/>
      </c>
      <c r="B1982" s="89" t="str">
        <v>Programa de Aire</v>
      </c>
      <c r="C1982" s="90" t="str">
        <v/>
      </c>
      <c r="D1982" s="89" t="str">
        <v>Evento</v>
      </c>
      <c r="E1982" s="89">
        <v>0</v>
      </c>
      <c r="F1982" s="89" t="str">
        <v/>
      </c>
      <c r="G1982" s="89" t="str">
        <f ca="1"/>
        <v/>
      </c>
    </row>
    <row r="1983" spans="1:7" x14ac:dyDescent="0.3">
      <c r="A1983" s="89" t="str">
        <v/>
      </c>
      <c r="B1983" s="89" t="str">
        <v>Conciencia Ambiental</v>
      </c>
      <c r="C1983" s="90" t="str">
        <v/>
      </c>
      <c r="D1983" s="89" t="str">
        <v>Periódica</v>
      </c>
      <c r="E1983" s="89">
        <v>365</v>
      </c>
      <c r="F1983" s="89" t="str">
        <v/>
      </c>
      <c r="G1983" s="89" t="str">
        <f ca="1"/>
        <v/>
      </c>
    </row>
    <row r="1984" spans="1:7" x14ac:dyDescent="0.3">
      <c r="A1984" s="89" t="str">
        <v/>
      </c>
      <c r="B1984" s="89" t="str">
        <v xml:space="preserve">Control de Documentos e Informacion de HSE </v>
      </c>
      <c r="C1984" s="90" t="str">
        <v/>
      </c>
      <c r="D1984" s="89" t="str">
        <v>Evento</v>
      </c>
      <c r="E1984" s="89">
        <v>0</v>
      </c>
      <c r="F1984" s="89" t="str">
        <v/>
      </c>
      <c r="G1984" s="89" t="str">
        <f ca="1"/>
        <v/>
      </c>
    </row>
    <row r="1985" spans="1:7" x14ac:dyDescent="0.3">
      <c r="A1985" s="89" t="str">
        <v/>
      </c>
      <c r="B1985" s="89" t="str">
        <v xml:space="preserve"> Acciones Correctivas y Preventivas (CAPA)</v>
      </c>
      <c r="C1985" s="90" t="str">
        <v/>
      </c>
      <c r="D1985" s="89" t="str">
        <v>Evento</v>
      </c>
      <c r="E1985" s="89">
        <v>0</v>
      </c>
      <c r="F1985" s="89" t="str">
        <v/>
      </c>
      <c r="G1985" s="89" t="str">
        <f ca="1"/>
        <v/>
      </c>
    </row>
    <row r="1986" spans="1:7" x14ac:dyDescent="0.3">
      <c r="A1986" s="89" t="str">
        <v/>
      </c>
      <c r="B1986" s="89" t="str">
        <v>Seguridad Basada en el Comportamiento (Observation Program) // HSMS.043 / Autoridad de Detener el Trabajo</v>
      </c>
      <c r="C1986" s="90" t="str">
        <v/>
      </c>
      <c r="D1986" s="89" t="str">
        <v>Periódica</v>
      </c>
      <c r="E1986" s="89">
        <v>365</v>
      </c>
      <c r="F1986" s="89" t="str">
        <v/>
      </c>
      <c r="G1986" s="89" t="str">
        <f ca="1"/>
        <v/>
      </c>
    </row>
    <row r="1987" spans="1:7" x14ac:dyDescent="0.3">
      <c r="A1987" s="89" t="str">
        <v/>
      </c>
      <c r="B1987" s="89" t="str">
        <v>Identificacion de Peligros y Evaluacion de Riesgos</v>
      </c>
      <c r="C1987" s="90" t="str">
        <v/>
      </c>
      <c r="D1987" s="89" t="str">
        <v>Evento</v>
      </c>
      <c r="E1987" s="89">
        <v>0</v>
      </c>
      <c r="F1987" s="89" t="str">
        <v/>
      </c>
      <c r="G1987" s="89" t="str">
        <f ca="1"/>
        <v/>
      </c>
    </row>
    <row r="1988" spans="1:7" x14ac:dyDescent="0.3">
      <c r="A1988" s="89" t="str">
        <v/>
      </c>
      <c r="B1988" s="89" t="str">
        <v xml:space="preserve"> Plan de Respuesta ante Eemergencias / HSMS.010 /Primeros Axulios &amp; RCP/DEA / HSMSWT-002 / Patogenos Trasnmitidos por la Sangre</v>
      </c>
      <c r="C1988" s="90" t="str">
        <v/>
      </c>
      <c r="D1988" s="89" t="str">
        <v>Periódica</v>
      </c>
      <c r="E1988" s="89">
        <v>365</v>
      </c>
      <c r="F1988" s="89" t="str">
        <v/>
      </c>
      <c r="G1988" s="89" t="str">
        <f ca="1"/>
        <v/>
      </c>
    </row>
    <row r="1989" spans="1:7" x14ac:dyDescent="0.3">
      <c r="A1989" s="89" t="str">
        <v/>
      </c>
      <c r="B1989" s="89" t="str">
        <v>Reporte y Gestion de Incidentes HSE (Todos)</v>
      </c>
      <c r="C1989" s="90" t="str">
        <v/>
      </c>
      <c r="D1989" s="89" t="str">
        <v>Periódica</v>
      </c>
      <c r="E1989" s="89">
        <v>365</v>
      </c>
      <c r="F1989" s="89" t="str">
        <v/>
      </c>
      <c r="G1989" s="89" t="str">
        <f ca="1"/>
        <v/>
      </c>
    </row>
    <row r="1990" spans="1:7" x14ac:dyDescent="0.3">
      <c r="A1990" s="89" t="str">
        <v/>
      </c>
      <c r="B1990" s="89" t="str">
        <v>Reporte, Gestion e Investigacion de Incidentes HSE (supervisores / investigadores (rol))</v>
      </c>
      <c r="C1990" s="90" t="str">
        <v/>
      </c>
      <c r="D1990" s="89" t="str">
        <v>Periódica</v>
      </c>
      <c r="E1990" s="89">
        <v>1095</v>
      </c>
      <c r="F1990" s="89" t="str">
        <v/>
      </c>
      <c r="G1990" s="89" t="str">
        <f ca="1"/>
        <v/>
      </c>
    </row>
    <row r="1991" spans="1:7" x14ac:dyDescent="0.3">
      <c r="A1991" s="89" t="str">
        <v/>
      </c>
      <c r="B1991" s="89" t="str">
        <v>Gruas y Equipos de Izaje (Todos)</v>
      </c>
      <c r="C1991" s="90" t="str">
        <v/>
      </c>
      <c r="D1991" s="89" t="str">
        <v>Periódica</v>
      </c>
      <c r="E1991" s="89">
        <v>365</v>
      </c>
      <c r="F1991" s="89" t="str">
        <v/>
      </c>
      <c r="G1991" s="89" t="str">
        <f ca="1"/>
        <v/>
      </c>
    </row>
    <row r="1992" spans="1:7" x14ac:dyDescent="0.3">
      <c r="A1992" s="89" t="str">
        <v/>
      </c>
      <c r="B1992" s="89" t="str">
        <v>HSMS.007 / Gruas y Equipos de Izaje (Operadores)</v>
      </c>
      <c r="C1992" s="90" t="str">
        <v/>
      </c>
      <c r="D1992" s="89" t="str">
        <v>Periódica</v>
      </c>
      <c r="E1992" s="89">
        <v>365</v>
      </c>
      <c r="F1992" s="89" t="str">
        <v/>
      </c>
      <c r="G1992" s="89" t="str">
        <f ca="1"/>
        <v/>
      </c>
    </row>
    <row r="1993" spans="1:7" x14ac:dyDescent="0.3">
      <c r="A1993" s="89" t="str">
        <v/>
      </c>
      <c r="B1993" s="89" t="str">
        <v>Proteccion Contra Incendios (Todos)</v>
      </c>
      <c r="C1993" s="90" t="str">
        <v/>
      </c>
      <c r="D1993" s="89" t="str">
        <v>Periódica</v>
      </c>
      <c r="E1993" s="89">
        <v>365</v>
      </c>
      <c r="F1993" s="89" t="str">
        <v/>
      </c>
      <c r="G1993" s="89" t="str">
        <f ca="1"/>
        <v/>
      </c>
    </row>
    <row r="1994" spans="1:7" x14ac:dyDescent="0.3">
      <c r="A1994" s="89" t="str">
        <v/>
      </c>
      <c r="B1994" s="89" t="str">
        <v>Proteccion Contra Incendios (Brigadistas)</v>
      </c>
      <c r="C1994" s="90" t="str">
        <v/>
      </c>
      <c r="D1994" s="89" t="str">
        <v>Periódica</v>
      </c>
      <c r="E1994" s="89">
        <v>365</v>
      </c>
      <c r="F1994" s="89" t="str">
        <v/>
      </c>
      <c r="G1994" s="89" t="str">
        <f ca="1"/>
        <v/>
      </c>
    </row>
    <row r="1995" spans="1:7" x14ac:dyDescent="0.3">
      <c r="A1995" s="89" t="str">
        <v/>
      </c>
      <c r="B1995" s="89" t="str">
        <v>Primeros Auxilios (Brigadistas)</v>
      </c>
      <c r="C1995" s="90" t="str">
        <v/>
      </c>
      <c r="D1995" s="89" t="str">
        <v>Periódica</v>
      </c>
      <c r="E1995" s="89">
        <v>365</v>
      </c>
      <c r="F1995" s="89" t="str">
        <v/>
      </c>
      <c r="G1995" s="89" t="str">
        <f ca="1"/>
        <v/>
      </c>
    </row>
    <row r="1996" spans="1:7" x14ac:dyDescent="0.3">
      <c r="A1996" s="89" t="str">
        <v/>
      </c>
      <c r="B1996" s="89" t="str">
        <v>Seguridad Electrica (Todos)</v>
      </c>
      <c r="C1996" s="90" t="str">
        <v/>
      </c>
      <c r="D1996" s="89" t="str">
        <v>Periódica</v>
      </c>
      <c r="E1996" s="89">
        <v>365</v>
      </c>
      <c r="F1996" s="89" t="str">
        <v/>
      </c>
      <c r="G1996" s="89" t="str">
        <f ca="1"/>
        <v/>
      </c>
    </row>
    <row r="1997" spans="1:7" x14ac:dyDescent="0.3">
      <c r="A1997" s="89" t="str">
        <v/>
      </c>
      <c r="B1997" s="89" t="str">
        <v>Seguridad Electrica (Personal Autorizado)</v>
      </c>
      <c r="C1997" s="90" t="str">
        <v/>
      </c>
      <c r="D1997" s="89" t="str">
        <v>Periódica</v>
      </c>
      <c r="E1997" s="89">
        <v>1095</v>
      </c>
      <c r="F1997" s="89" t="str">
        <v/>
      </c>
      <c r="G1997" s="89" t="str">
        <f ca="1"/>
        <v/>
      </c>
    </row>
    <row r="1998" spans="1:7" x14ac:dyDescent="0.3">
      <c r="A1998" s="89" t="str">
        <v/>
      </c>
      <c r="B1998" s="89" t="str">
        <v>Camiones Industriales Motorizados (PIT) (Todos)</v>
      </c>
      <c r="C1998" s="90" t="str">
        <v/>
      </c>
      <c r="D1998" s="89" t="str">
        <v>Periódica</v>
      </c>
      <c r="E1998" s="89">
        <v>365</v>
      </c>
      <c r="F1998" s="89" t="str">
        <v/>
      </c>
      <c r="G1998" s="89" t="str">
        <f ca="1"/>
        <v/>
      </c>
    </row>
    <row r="1999" spans="1:7" x14ac:dyDescent="0.3">
      <c r="A1999" s="89" t="str">
        <v/>
      </c>
      <c r="B1999" s="89" t="str">
        <v>Camiones Industriales Motorizados (PIT) (Op. Montacargas)</v>
      </c>
      <c r="C1999" s="90" t="str">
        <v/>
      </c>
      <c r="D1999" s="89" t="str">
        <v>Periódica</v>
      </c>
      <c r="E1999" s="89">
        <v>365</v>
      </c>
      <c r="F1999" s="89" t="str">
        <v/>
      </c>
      <c r="G1999" s="89" t="str">
        <f ca="1"/>
        <v/>
      </c>
    </row>
    <row r="2000" spans="1:7" x14ac:dyDescent="0.3">
      <c r="A2000" s="89" t="str">
        <v/>
      </c>
      <c r="B2000" s="89" t="str">
        <v>Control de Energias Peligrosas (LOTO) (Todos)</v>
      </c>
      <c r="C2000" s="90" t="str">
        <v/>
      </c>
      <c r="D2000" s="89" t="str">
        <v>Evento</v>
      </c>
      <c r="E2000" s="89">
        <v>0</v>
      </c>
      <c r="F2000" s="89" t="str">
        <v/>
      </c>
      <c r="G2000" s="89" t="str">
        <f ca="1"/>
        <v/>
      </c>
    </row>
    <row r="2001" spans="1:7" x14ac:dyDescent="0.3">
      <c r="A2001" s="89" t="str">
        <v/>
      </c>
      <c r="B2001" s="89" t="str">
        <v>Control de Energias Peligrosas (LOTO) (Empleados Autorizados)</v>
      </c>
      <c r="C2001" s="90" t="str">
        <v/>
      </c>
      <c r="D2001" s="89" t="str">
        <v>Periódica</v>
      </c>
      <c r="E2001" s="89">
        <v>365</v>
      </c>
      <c r="F2001" s="89" t="str">
        <v/>
      </c>
      <c r="G2001" s="89" t="str">
        <f ca="1"/>
        <v/>
      </c>
    </row>
    <row r="2002" spans="1:7" x14ac:dyDescent="0.3">
      <c r="A2002" s="89" t="str">
        <v/>
      </c>
      <c r="B2002" s="89" t="str">
        <v>Seguridad aplicada al Pozo &amp; Yacimiento</v>
      </c>
      <c r="C2002" s="90" t="str">
        <v/>
      </c>
      <c r="D2002" s="89" t="str">
        <v>Periódica</v>
      </c>
      <c r="E2002" s="89">
        <v>365</v>
      </c>
      <c r="F2002" s="89" t="str">
        <v/>
      </c>
      <c r="G2002" s="89" t="str">
        <f ca="1"/>
        <v/>
      </c>
    </row>
    <row r="2003" spans="1:7" x14ac:dyDescent="0.3">
      <c r="A2003" s="89" t="str">
        <v/>
      </c>
      <c r="B2003" s="89" t="str">
        <v>Las Reglas que Salvan Vidas</v>
      </c>
      <c r="C2003" s="90" t="str">
        <v/>
      </c>
      <c r="D2003" s="89" t="str">
        <v>Periódica</v>
      </c>
      <c r="E2003" s="89">
        <v>365</v>
      </c>
      <c r="F2003" s="89" t="str">
        <v/>
      </c>
      <c r="G2003" s="89" t="str">
        <f ca="1"/>
        <v/>
      </c>
    </row>
    <row r="2004" spans="1:7" x14ac:dyDescent="0.3">
      <c r="A2004" s="89" t="str">
        <v/>
      </c>
      <c r="B2004" s="89" t="str">
        <v xml:space="preserve">Resguardo de Maquinas &amp; Equipos </v>
      </c>
      <c r="C2004" s="90" t="str">
        <v/>
      </c>
      <c r="D2004" s="89" t="str">
        <v>Periódica</v>
      </c>
      <c r="E2004" s="89">
        <v>365</v>
      </c>
      <c r="F2004" s="89" t="str">
        <v/>
      </c>
      <c r="G2004" s="89" t="str">
        <f ca="1"/>
        <v/>
      </c>
    </row>
    <row r="2005" spans="1:7" x14ac:dyDescent="0.3">
      <c r="A2005" s="89" t="str">
        <v/>
      </c>
      <c r="B2005" s="89" t="str">
        <v>Conduccion y Gestion de Viajes (Todos)</v>
      </c>
      <c r="C2005" s="90" t="str">
        <v/>
      </c>
      <c r="D2005" s="89" t="str">
        <v>Periódica</v>
      </c>
      <c r="E2005" s="89">
        <v>730</v>
      </c>
      <c r="F2005" s="89" t="str">
        <v/>
      </c>
      <c r="G2005" s="89" t="str">
        <f ca="1"/>
        <v/>
      </c>
    </row>
    <row r="2006" spans="1:7" x14ac:dyDescent="0.3">
      <c r="A2006" s="89" t="str">
        <v/>
      </c>
      <c r="B2006" s="89" t="str">
        <v>Conduccion y Gestion de Viajes (Conductores)</v>
      </c>
      <c r="C2006" s="90" t="str">
        <v/>
      </c>
      <c r="D2006" s="89" t="str">
        <v>Periódica</v>
      </c>
      <c r="E2006" s="89">
        <v>1095</v>
      </c>
      <c r="F2006" s="89" t="str">
        <v/>
      </c>
      <c r="G2006" s="89" t="str">
        <f ca="1"/>
        <v/>
      </c>
    </row>
    <row r="2007" spans="1:7" x14ac:dyDescent="0.3">
      <c r="A2007" s="89" t="str">
        <v/>
      </c>
      <c r="B2007" s="89" t="str">
        <v>Patogenos Transmitidos por la Sangre</v>
      </c>
      <c r="C2007" s="90" t="str">
        <v/>
      </c>
      <c r="D2007" s="89" t="str">
        <v>Periódica</v>
      </c>
      <c r="E2007" s="89">
        <v>365</v>
      </c>
      <c r="F2007" s="89" t="str">
        <v/>
      </c>
      <c r="G2007" s="89" t="str">
        <f ca="1"/>
        <v/>
      </c>
    </row>
    <row r="2008" spans="1:7" x14ac:dyDescent="0.3">
      <c r="A2008" s="89" t="str">
        <v/>
      </c>
      <c r="B2008" s="89" t="str">
        <v>Conservacion Auditiva</v>
      </c>
      <c r="C2008" s="90" t="str">
        <v/>
      </c>
      <c r="D2008" s="89" t="str">
        <v>Periódica</v>
      </c>
      <c r="E2008" s="89">
        <v>365</v>
      </c>
      <c r="F2008" s="89" t="str">
        <v/>
      </c>
      <c r="G2008" s="89" t="str">
        <f ca="1"/>
        <v/>
      </c>
    </row>
    <row r="2009" spans="1:7" x14ac:dyDescent="0.3">
      <c r="A2009" s="89" t="str">
        <v/>
      </c>
      <c r="B2009" s="89" t="str">
        <v xml:space="preserve">Ergonomia //  / Levantamiento &amp; Seguridad en la Espalda </v>
      </c>
      <c r="C2009" s="90" t="str">
        <v/>
      </c>
      <c r="D2009" s="89" t="str">
        <v>Periódica</v>
      </c>
      <c r="E2009" s="89">
        <v>365</v>
      </c>
      <c r="F2009" s="89" t="str">
        <v/>
      </c>
      <c r="G2009" s="89" t="str">
        <f ca="1"/>
        <v/>
      </c>
    </row>
    <row r="2010" spans="1:7" x14ac:dyDescent="0.3">
      <c r="A2010" s="89" t="str">
        <v/>
      </c>
      <c r="B2010" s="89" t="str">
        <v>Superficies Elevadas (Todos)</v>
      </c>
      <c r="C2010" s="90" t="str">
        <v/>
      </c>
      <c r="D2010" s="89" t="str">
        <v>Periódica</v>
      </c>
      <c r="E2010" s="89">
        <v>365</v>
      </c>
      <c r="F2010" s="89" t="str">
        <v/>
      </c>
      <c r="G2010" s="89" t="str">
        <f ca="1"/>
        <v/>
      </c>
    </row>
    <row r="2011" spans="1:7" x14ac:dyDescent="0.3">
      <c r="A2011" s="89" t="str">
        <v/>
      </c>
      <c r="B2011" s="89" t="str">
        <v>Superficies Elevadas (Personal Habilitado)</v>
      </c>
      <c r="C2011" s="90" t="str">
        <v/>
      </c>
      <c r="D2011" s="89" t="str">
        <v>Periódica</v>
      </c>
      <c r="E2011" s="89">
        <v>365</v>
      </c>
      <c r="F2011" s="89" t="str">
        <v/>
      </c>
      <c r="G2011" s="89" t="str">
        <f ca="1"/>
        <v/>
      </c>
    </row>
    <row r="2012" spans="1:7" x14ac:dyDescent="0.3">
      <c r="A2012" s="89" t="str">
        <v/>
      </c>
      <c r="B2012" s="89" t="str">
        <v>Seguridad Quimica (Todos)</v>
      </c>
      <c r="C2012" s="90" t="str">
        <v/>
      </c>
      <c r="D2012" s="89" t="str">
        <v>Periódica</v>
      </c>
      <c r="E2012" s="89">
        <v>730</v>
      </c>
      <c r="F2012" s="89" t="str">
        <v/>
      </c>
      <c r="G2012" s="89" t="str">
        <f ca="1"/>
        <v/>
      </c>
    </row>
    <row r="2013" spans="1:7" x14ac:dyDescent="0.3">
      <c r="A2013" s="89" t="str">
        <v/>
      </c>
      <c r="B2013" s="89" t="str">
        <v>Seguridad Quimica (Mantenimiento)</v>
      </c>
      <c r="C2013" s="90" t="str">
        <v/>
      </c>
      <c r="D2013" s="89" t="str">
        <v>Periódica</v>
      </c>
      <c r="E2013" s="89">
        <v>365</v>
      </c>
      <c r="F2013" s="89" t="str">
        <v/>
      </c>
      <c r="G2013" s="89" t="str">
        <f ca="1"/>
        <v/>
      </c>
    </row>
    <row r="2014" spans="1:7" x14ac:dyDescent="0.3">
      <c r="A2014" s="89" t="str">
        <v/>
      </c>
      <c r="B2014" s="89" t="str">
        <v>Seguridad Quimica (Contratistas)</v>
      </c>
      <c r="C2014" s="90" t="str">
        <v/>
      </c>
      <c r="D2014" s="89" t="str">
        <v>Periódica</v>
      </c>
      <c r="E2014" s="89">
        <v>365</v>
      </c>
      <c r="F2014" s="89" t="str">
        <v/>
      </c>
      <c r="G2014" s="89" t="str">
        <f ca="1"/>
        <v/>
      </c>
    </row>
    <row r="2015" spans="1:7" x14ac:dyDescent="0.3">
      <c r="A2015" s="89" t="str">
        <v/>
      </c>
      <c r="B2015" s="89" t="str">
        <v>Seguridad para Trabajos en Caliente</v>
      </c>
      <c r="C2015" s="90" t="str">
        <v/>
      </c>
      <c r="D2015" s="89" t="str">
        <v>Periódica</v>
      </c>
      <c r="E2015" s="89">
        <v>365</v>
      </c>
      <c r="F2015" s="89" t="str">
        <v/>
      </c>
      <c r="G2015" s="89" t="str">
        <f ca="1"/>
        <v/>
      </c>
    </row>
    <row r="2016" spans="1:7" x14ac:dyDescent="0.3">
      <c r="A2016" s="89" t="str">
        <v/>
      </c>
      <c r="B2016" s="89" t="str">
        <v>Seguridad con la Radiacion</v>
      </c>
      <c r="C2016" s="90" t="str">
        <v/>
      </c>
      <c r="D2016" s="89" t="str">
        <v>Periódica</v>
      </c>
      <c r="E2016" s="89">
        <v>365</v>
      </c>
      <c r="F2016" s="89" t="str">
        <v/>
      </c>
      <c r="G2016" s="89" t="str">
        <f ca="1"/>
        <v/>
      </c>
    </row>
    <row r="2017" spans="1:7" x14ac:dyDescent="0.3">
      <c r="A2017" s="89" t="str">
        <v/>
      </c>
      <c r="B2017" s="89" t="str">
        <v>Equipo de Proteccion Personal (PPE)</v>
      </c>
      <c r="C2017" s="90" t="str">
        <v/>
      </c>
      <c r="D2017" s="89" t="str">
        <v>Periódica</v>
      </c>
      <c r="E2017" s="89">
        <v>365</v>
      </c>
      <c r="F2017" s="89" t="str">
        <v/>
      </c>
      <c r="G2017" s="89" t="str">
        <f ca="1"/>
        <v/>
      </c>
    </row>
    <row r="2018" spans="1:7" x14ac:dyDescent="0.3">
      <c r="A2018" s="89" t="str">
        <v/>
      </c>
      <c r="B2018" s="89" t="str">
        <v>Proteccion Respiratoria</v>
      </c>
      <c r="C2018" s="90" t="str">
        <v/>
      </c>
      <c r="D2018" s="89" t="str">
        <v>Periódica</v>
      </c>
      <c r="E2018" s="89">
        <v>365</v>
      </c>
      <c r="F2018" s="89" t="str">
        <v/>
      </c>
      <c r="G2018" s="89" t="str">
        <f ca="1"/>
        <v/>
      </c>
    </row>
    <row r="2019" spans="1:7" x14ac:dyDescent="0.3">
      <c r="A2019" s="89" t="str">
        <v/>
      </c>
      <c r="B2019" s="89" t="str">
        <v xml:space="preserve">Seguridad con Escaleras </v>
      </c>
      <c r="C2019" s="90" t="str">
        <v/>
      </c>
      <c r="D2019" s="89" t="str">
        <v>Periódica</v>
      </c>
      <c r="E2019" s="89">
        <v>365</v>
      </c>
      <c r="F2019" s="89" t="str">
        <v/>
      </c>
      <c r="G2019" s="89" t="str">
        <f ca="1"/>
        <v/>
      </c>
    </row>
    <row r="2020" spans="1:7" x14ac:dyDescent="0.3">
      <c r="A2020" s="89" t="str">
        <v/>
      </c>
      <c r="B2020" s="89" t="str">
        <v>Seguridad con Escaleras // Estantes de Almacenamiento</v>
      </c>
      <c r="C2020" s="90" t="str">
        <v/>
      </c>
      <c r="D2020" s="89" t="str">
        <v>Periódica</v>
      </c>
      <c r="E2020" s="89">
        <v>365</v>
      </c>
      <c r="F2020" s="89" t="str">
        <v/>
      </c>
      <c r="G2020" s="89" t="str">
        <f ca="1"/>
        <v/>
      </c>
    </row>
    <row r="2021" spans="1:7" x14ac:dyDescent="0.3">
      <c r="A2021" s="89" t="str">
        <v/>
      </c>
      <c r="B2021" s="89" t="str">
        <v>Responsabilidades del Supervisor</v>
      </c>
      <c r="C2021" s="90" t="str">
        <v/>
      </c>
      <c r="D2021" s="89" t="str">
        <v>Periódica</v>
      </c>
      <c r="E2021" s="89">
        <v>365</v>
      </c>
      <c r="F2021" s="89" t="str">
        <v/>
      </c>
      <c r="G2021" s="89" t="str">
        <f ca="1"/>
        <v/>
      </c>
    </row>
    <row r="2022" spans="1:7" x14ac:dyDescent="0.3">
      <c r="A2022" s="89" t="str">
        <v/>
      </c>
      <c r="B2022" s="89" t="str">
        <v>Espacios Confinados (Todos)</v>
      </c>
      <c r="C2022" s="90" t="str">
        <v/>
      </c>
      <c r="D2022" s="89" t="str">
        <v>Periódica</v>
      </c>
      <c r="E2022" s="89">
        <v>365</v>
      </c>
      <c r="F2022" s="89" t="str">
        <v/>
      </c>
      <c r="G2022" s="89" t="str">
        <f ca="1"/>
        <v/>
      </c>
    </row>
    <row r="2023" spans="1:7" x14ac:dyDescent="0.3">
      <c r="A2023" s="89" t="str">
        <v/>
      </c>
      <c r="B2023" s="89" t="str">
        <v>HSMS.017 / Espacios Confinados (Entrantes)</v>
      </c>
      <c r="C2023" s="90" t="str">
        <v/>
      </c>
      <c r="D2023" s="89" t="str">
        <v>Evento</v>
      </c>
      <c r="E2023" s="89">
        <v>0</v>
      </c>
      <c r="F2023" s="89" t="str">
        <v/>
      </c>
      <c r="G2023" s="89" t="str">
        <f ca="1"/>
        <v/>
      </c>
    </row>
    <row r="2024" spans="1:7" x14ac:dyDescent="0.3">
      <c r="A2024" s="89" t="str">
        <v/>
      </c>
      <c r="B2024" s="89" t="str">
        <v>Programa de Agua (Todos)</v>
      </c>
      <c r="C2024" s="90" t="str">
        <v/>
      </c>
      <c r="D2024" s="89" t="str">
        <v>Evento</v>
      </c>
      <c r="E2024" s="89">
        <v>0</v>
      </c>
      <c r="F2024" s="89" t="str">
        <v/>
      </c>
      <c r="G2024" s="89" t="str">
        <f ca="1"/>
        <v/>
      </c>
    </row>
    <row r="2025" spans="1:7" x14ac:dyDescent="0.3">
      <c r="A2025" s="89" t="str">
        <v/>
      </c>
      <c r="B2025" s="89" t="str">
        <v>Programa de Agua (HSE)</v>
      </c>
      <c r="C2025" s="90" t="str">
        <v/>
      </c>
      <c r="D2025" s="89" t="str">
        <v>Evento</v>
      </c>
      <c r="E2025" s="89">
        <v>0</v>
      </c>
      <c r="F2025" s="89" t="str">
        <v/>
      </c>
      <c r="G2025" s="89" t="str">
        <f ca="1"/>
        <v/>
      </c>
    </row>
    <row r="2026" spans="1:7" x14ac:dyDescent="0.3">
      <c r="A2026" s="89" t="str">
        <v/>
      </c>
      <c r="B2026" s="89" t="str">
        <v>HIV/SIDA y otras enfermedades de transmisión sexual (ETS)</v>
      </c>
      <c r="C2026" s="90" t="str">
        <v/>
      </c>
      <c r="D2026" s="89" t="str">
        <v>Periódica</v>
      </c>
      <c r="E2026" s="89">
        <v>365</v>
      </c>
      <c r="F2026" s="89" t="str">
        <v/>
      </c>
      <c r="G2026" s="89" t="str">
        <f ca="1"/>
        <v/>
      </c>
    </row>
    <row r="2027" spans="1:7" x14ac:dyDescent="0.3">
      <c r="A2027" s="89" t="str">
        <v/>
      </c>
      <c r="B2027" s="89" t="str">
        <v>Drogas de abuso (concientización y prevención)</v>
      </c>
      <c r="C2027" s="90" t="str">
        <v/>
      </c>
      <c r="D2027" s="89" t="str">
        <v>Periódica</v>
      </c>
      <c r="E2027" s="89">
        <v>365</v>
      </c>
      <c r="F2027" s="89" t="str">
        <v/>
      </c>
      <c r="G2027" s="89" t="str">
        <f ca="1"/>
        <v/>
      </c>
    </row>
    <row r="2028" spans="1:7" x14ac:dyDescent="0.3">
      <c r="A2028" s="89" t="str">
        <v/>
      </c>
      <c r="B2028" s="89" t="str">
        <v>Vida saludable (hábitos, autocuidado y bienestar)</v>
      </c>
      <c r="C2028" s="90" t="str">
        <v/>
      </c>
      <c r="D2028" s="89" t="str">
        <v>Periódica</v>
      </c>
      <c r="E2028" s="89">
        <v>365</v>
      </c>
      <c r="F2028" s="89" t="str">
        <v/>
      </c>
      <c r="G2028" s="89" t="str">
        <f ca="1"/>
        <v/>
      </c>
    </row>
    <row r="2029" spans="1:7" x14ac:dyDescent="0.3">
      <c r="A2029" s="89" t="str">
        <v/>
      </c>
      <c r="B2029" s="89" t="str">
        <v>Primeros auxilios y Reanimación Cardio Pulmonar (RCP)</v>
      </c>
      <c r="C2029" s="90" t="str">
        <v/>
      </c>
      <c r="D2029" s="89" t="str">
        <v>Periódica</v>
      </c>
      <c r="E2029" s="89">
        <v>365</v>
      </c>
      <c r="F2029" s="89" t="str">
        <v/>
      </c>
      <c r="G2029" s="89" t="str">
        <f ca="1"/>
        <v/>
      </c>
    </row>
    <row r="2030" spans="1:7" x14ac:dyDescent="0.3">
      <c r="A2030" s="89" t="str">
        <v/>
      </c>
      <c r="B2030" s="89" t="str">
        <v>Prevención cardiovascular (factores de riesgo y señales de alarma)</v>
      </c>
      <c r="C2030" s="90" t="str">
        <v/>
      </c>
      <c r="D2030" s="89" t="str">
        <v>Periódica</v>
      </c>
      <c r="E2030" s="89">
        <v>365</v>
      </c>
      <c r="F2030" s="89" t="str">
        <v/>
      </c>
      <c r="G2030" s="89" t="str">
        <f ca="1"/>
        <v/>
      </c>
    </row>
    <row r="2031" spans="1:7" x14ac:dyDescent="0.3">
      <c r="A2031" s="89" t="str">
        <v/>
      </c>
      <c r="B2031" s="89" t="str">
        <v>Efectos del tabaco sobre la salud</v>
      </c>
      <c r="C2031" s="90" t="str">
        <v/>
      </c>
      <c r="D2031" s="89" t="str">
        <v>Periódica</v>
      </c>
      <c r="E2031" s="89">
        <v>365</v>
      </c>
      <c r="F2031" s="89" t="str">
        <v/>
      </c>
      <c r="G2031" s="89" t="str">
        <f ca="1"/>
        <v/>
      </c>
    </row>
    <row r="2032" spans="1:7" x14ac:dyDescent="0.3">
      <c r="A2032" s="89" t="str">
        <v/>
      </c>
      <c r="B2032" s="89" t="str">
        <v>Cargadora (Op. Montacargas)</v>
      </c>
      <c r="C2032" s="90" t="str">
        <v/>
      </c>
      <c r="D2032" s="89" t="str">
        <v>Periódica</v>
      </c>
      <c r="E2032" s="89">
        <v>365</v>
      </c>
      <c r="F2032" s="89" t="str">
        <v/>
      </c>
      <c r="G2032" s="89" t="str">
        <f ca="1"/>
        <v/>
      </c>
    </row>
    <row r="2033" spans="1:7" x14ac:dyDescent="0.3">
      <c r="A2033" s="89" t="str">
        <v/>
      </c>
      <c r="B2033" s="89">
        <v>0</v>
      </c>
      <c r="C2033" s="90" t="str">
        <v/>
      </c>
      <c r="D2033" s="89" t="str">
        <v/>
      </c>
      <c r="E2033" s="89" t="str">
        <v/>
      </c>
      <c r="F2033" s="89" t="str">
        <v/>
      </c>
      <c r="G2033" s="89" t="str">
        <f ca="1"/>
        <v/>
      </c>
    </row>
    <row r="2034" spans="1:7" x14ac:dyDescent="0.3">
      <c r="A2034" s="89" t="str">
        <v/>
      </c>
      <c r="B2034" s="89">
        <v>0</v>
      </c>
      <c r="C2034" s="90" t="str">
        <v/>
      </c>
      <c r="D2034" s="89" t="str">
        <v/>
      </c>
      <c r="E2034" s="89" t="str">
        <v/>
      </c>
      <c r="F2034" s="89" t="str">
        <v/>
      </c>
      <c r="G2034" s="89" t="str">
        <f ca="1"/>
        <v/>
      </c>
    </row>
    <row r="2035" spans="1:7" x14ac:dyDescent="0.3">
      <c r="A2035" s="89" t="str">
        <v/>
      </c>
      <c r="B2035" s="89">
        <v>0</v>
      </c>
      <c r="C2035" s="90" t="str">
        <v/>
      </c>
      <c r="D2035" s="89" t="str">
        <v/>
      </c>
      <c r="E2035" s="89" t="str">
        <v/>
      </c>
      <c r="F2035" s="89" t="str">
        <v/>
      </c>
      <c r="G2035" s="89" t="str">
        <f ca="1"/>
        <v/>
      </c>
    </row>
    <row r="2036" spans="1:7" x14ac:dyDescent="0.3">
      <c r="A2036" s="89" t="str">
        <v/>
      </c>
      <c r="B2036" s="89">
        <v>0</v>
      </c>
      <c r="C2036" s="90" t="str">
        <v/>
      </c>
      <c r="D2036" s="89" t="str">
        <v/>
      </c>
      <c r="E2036" s="89" t="str">
        <v/>
      </c>
      <c r="F2036" s="89" t="str">
        <v/>
      </c>
      <c r="G2036" s="89" t="str">
        <f ca="1"/>
        <v/>
      </c>
    </row>
    <row r="2037" spans="1:7" x14ac:dyDescent="0.3">
      <c r="A2037" s="89" t="str">
        <v/>
      </c>
      <c r="B2037" s="89">
        <v>0</v>
      </c>
      <c r="C2037" s="90" t="str">
        <v/>
      </c>
      <c r="D2037" s="89" t="str">
        <v/>
      </c>
      <c r="E2037" s="89" t="str">
        <v/>
      </c>
      <c r="F2037" s="89" t="str">
        <v/>
      </c>
      <c r="G2037" s="89" t="str">
        <f ca="1"/>
        <v/>
      </c>
    </row>
    <row r="2038" spans="1:7" x14ac:dyDescent="0.3">
      <c r="A2038" s="89" t="str">
        <v/>
      </c>
      <c r="B2038" s="89">
        <v>0</v>
      </c>
      <c r="C2038" s="90" t="str">
        <v/>
      </c>
      <c r="D2038" s="89" t="str">
        <v/>
      </c>
      <c r="E2038" s="89" t="str">
        <v/>
      </c>
      <c r="F2038" s="89" t="str">
        <v/>
      </c>
      <c r="G2038" s="89" t="str">
        <f ca="1"/>
        <v/>
      </c>
    </row>
    <row r="2039" spans="1:7" x14ac:dyDescent="0.3">
      <c r="A2039" s="89" t="str">
        <v/>
      </c>
      <c r="B2039" s="89">
        <v>0</v>
      </c>
      <c r="C2039" s="90" t="str">
        <v/>
      </c>
      <c r="D2039" s="89" t="str">
        <v/>
      </c>
      <c r="E2039" s="89" t="str">
        <v/>
      </c>
      <c r="F2039" s="89" t="str">
        <v/>
      </c>
      <c r="G2039" s="89" t="str">
        <f ca="1"/>
        <v/>
      </c>
    </row>
    <row r="2040" spans="1:7" x14ac:dyDescent="0.3">
      <c r="A2040" s="89" t="str">
        <v/>
      </c>
      <c r="B2040" s="89">
        <v>0</v>
      </c>
      <c r="C2040" s="90" t="str">
        <v/>
      </c>
      <c r="D2040" s="89" t="str">
        <v/>
      </c>
      <c r="E2040" s="89" t="str">
        <v/>
      </c>
      <c r="F2040" s="89" t="str">
        <v/>
      </c>
      <c r="G2040" s="89" t="str">
        <f ca="1"/>
        <v/>
      </c>
    </row>
    <row r="2041" spans="1:7" x14ac:dyDescent="0.3">
      <c r="A2041" s="89" t="str">
        <v/>
      </c>
      <c r="B2041" s="89">
        <v>0</v>
      </c>
      <c r="C2041" s="90" t="str">
        <v/>
      </c>
      <c r="D2041" s="89" t="str">
        <v/>
      </c>
      <c r="E2041" s="89" t="str">
        <v/>
      </c>
      <c r="F2041" s="89" t="str">
        <v/>
      </c>
      <c r="G2041" s="89" t="str">
        <f ca="1"/>
        <v/>
      </c>
    </row>
    <row r="2042" spans="1:7" x14ac:dyDescent="0.3">
      <c r="A2042" s="89" t="str">
        <v/>
      </c>
      <c r="B2042" s="89" t="str">
        <v>Programa de Aire</v>
      </c>
      <c r="C2042" s="90" t="str">
        <v/>
      </c>
      <c r="D2042" s="89" t="str">
        <v>Evento</v>
      </c>
      <c r="E2042" s="89">
        <v>0</v>
      </c>
      <c r="F2042" s="89" t="str">
        <v/>
      </c>
      <c r="G2042" s="89" t="str">
        <f ca="1"/>
        <v/>
      </c>
    </row>
    <row r="2043" spans="1:7" x14ac:dyDescent="0.3">
      <c r="A2043" s="89" t="str">
        <v/>
      </c>
      <c r="B2043" s="89" t="str">
        <v>Conciencia Ambiental</v>
      </c>
      <c r="C2043" s="90" t="str">
        <v/>
      </c>
      <c r="D2043" s="89" t="str">
        <v>Periódica</v>
      </c>
      <c r="E2043" s="89">
        <v>365</v>
      </c>
      <c r="F2043" s="89" t="str">
        <v/>
      </c>
      <c r="G2043" s="89" t="str">
        <f ca="1"/>
        <v/>
      </c>
    </row>
    <row r="2044" spans="1:7" x14ac:dyDescent="0.3">
      <c r="A2044" s="89" t="str">
        <v/>
      </c>
      <c r="B2044" s="89" t="str">
        <v xml:space="preserve">Control de Documentos e Informacion de HSE </v>
      </c>
      <c r="C2044" s="90" t="str">
        <v/>
      </c>
      <c r="D2044" s="89" t="str">
        <v>Evento</v>
      </c>
      <c r="E2044" s="89">
        <v>0</v>
      </c>
      <c r="F2044" s="89" t="str">
        <v/>
      </c>
      <c r="G2044" s="89" t="str">
        <f ca="1"/>
        <v/>
      </c>
    </row>
    <row r="2045" spans="1:7" x14ac:dyDescent="0.3">
      <c r="A2045" s="89" t="str">
        <v/>
      </c>
      <c r="B2045" s="89" t="str">
        <v xml:space="preserve"> Acciones Correctivas y Preventivas (CAPA)</v>
      </c>
      <c r="C2045" s="90" t="str">
        <v/>
      </c>
      <c r="D2045" s="89" t="str">
        <v>Evento</v>
      </c>
      <c r="E2045" s="89">
        <v>0</v>
      </c>
      <c r="F2045" s="89" t="str">
        <v/>
      </c>
      <c r="G2045" s="89" t="str">
        <f ca="1"/>
        <v/>
      </c>
    </row>
    <row r="2046" spans="1:7" x14ac:dyDescent="0.3">
      <c r="A2046" s="89" t="str">
        <v/>
      </c>
      <c r="B2046" s="89" t="str">
        <v>Seguridad Basada en el Comportamiento (Observation Program) // HSMS.043 / Autoridad de Detener el Trabajo</v>
      </c>
      <c r="C2046" s="90" t="str">
        <v/>
      </c>
      <c r="D2046" s="89" t="str">
        <v>Periódica</v>
      </c>
      <c r="E2046" s="89">
        <v>365</v>
      </c>
      <c r="F2046" s="89" t="str">
        <v/>
      </c>
      <c r="G2046" s="89" t="str">
        <f ca="1"/>
        <v/>
      </c>
    </row>
    <row r="2047" spans="1:7" x14ac:dyDescent="0.3">
      <c r="A2047" s="89" t="str">
        <v/>
      </c>
      <c r="B2047" s="89" t="str">
        <v>Identificacion de Peligros y Evaluacion de Riesgos</v>
      </c>
      <c r="C2047" s="90" t="str">
        <v/>
      </c>
      <c r="D2047" s="89" t="str">
        <v>Evento</v>
      </c>
      <c r="E2047" s="89">
        <v>0</v>
      </c>
      <c r="F2047" s="89" t="str">
        <v/>
      </c>
      <c r="G2047" s="89" t="str">
        <f ca="1"/>
        <v/>
      </c>
    </row>
    <row r="2048" spans="1:7" x14ac:dyDescent="0.3">
      <c r="A2048" s="89" t="str">
        <v/>
      </c>
      <c r="B2048" s="89" t="str">
        <v xml:space="preserve"> Plan de Respuesta ante Eemergencias / HSMS.010 /Primeros Axulios &amp; RCP/DEA / HSMSWT-002 / Patogenos Trasnmitidos por la Sangre</v>
      </c>
      <c r="C2048" s="90" t="str">
        <v/>
      </c>
      <c r="D2048" s="89" t="str">
        <v>Periódica</v>
      </c>
      <c r="E2048" s="89">
        <v>365</v>
      </c>
      <c r="F2048" s="89" t="str">
        <v/>
      </c>
      <c r="G2048" s="89" t="str">
        <f ca="1"/>
        <v/>
      </c>
    </row>
    <row r="2049" spans="1:7" x14ac:dyDescent="0.3">
      <c r="A2049" s="89" t="str">
        <v/>
      </c>
      <c r="B2049" s="89" t="str">
        <v>Reporte y Gestion de Incidentes HSE (Todos)</v>
      </c>
      <c r="C2049" s="90" t="str">
        <v/>
      </c>
      <c r="D2049" s="89" t="str">
        <v>Periódica</v>
      </c>
      <c r="E2049" s="89">
        <v>365</v>
      </c>
      <c r="F2049" s="89" t="str">
        <v/>
      </c>
      <c r="G2049" s="89" t="str">
        <f ca="1"/>
        <v/>
      </c>
    </row>
    <row r="2050" spans="1:7" x14ac:dyDescent="0.3">
      <c r="A2050" s="89" t="str">
        <v/>
      </c>
      <c r="B2050" s="89" t="str">
        <v>Reporte, Gestion e Investigacion de Incidentes HSE (supervisores / investigadores (rol))</v>
      </c>
      <c r="C2050" s="90" t="str">
        <v/>
      </c>
      <c r="D2050" s="89" t="str">
        <v>Periódica</v>
      </c>
      <c r="E2050" s="89">
        <v>1095</v>
      </c>
      <c r="F2050" s="89" t="str">
        <v/>
      </c>
      <c r="G2050" s="89" t="str">
        <f ca="1"/>
        <v/>
      </c>
    </row>
    <row r="2051" spans="1:7" x14ac:dyDescent="0.3">
      <c r="A2051" s="89" t="str">
        <v/>
      </c>
      <c r="B2051" s="89" t="str">
        <v>Gruas y Equipos de Izaje (Todos)</v>
      </c>
      <c r="C2051" s="90" t="str">
        <v/>
      </c>
      <c r="D2051" s="89" t="str">
        <v>Periódica</v>
      </c>
      <c r="E2051" s="89">
        <v>365</v>
      </c>
      <c r="F2051" s="89" t="str">
        <v/>
      </c>
      <c r="G2051" s="89" t="str">
        <f ca="1"/>
        <v/>
      </c>
    </row>
    <row r="2052" spans="1:7" x14ac:dyDescent="0.3">
      <c r="A2052" s="89" t="str">
        <v/>
      </c>
      <c r="B2052" s="89" t="str">
        <v>HSMS.007 / Gruas y Equipos de Izaje (Operadores)</v>
      </c>
      <c r="C2052" s="90" t="str">
        <v/>
      </c>
      <c r="D2052" s="89" t="str">
        <v>Periódica</v>
      </c>
      <c r="E2052" s="89">
        <v>365</v>
      </c>
      <c r="F2052" s="89" t="str">
        <v/>
      </c>
      <c r="G2052" s="89" t="str">
        <f ca="1"/>
        <v/>
      </c>
    </row>
    <row r="2053" spans="1:7" x14ac:dyDescent="0.3">
      <c r="A2053" s="89" t="str">
        <v/>
      </c>
      <c r="B2053" s="89" t="str">
        <v>Proteccion Contra Incendios (Todos)</v>
      </c>
      <c r="C2053" s="90" t="str">
        <v/>
      </c>
      <c r="D2053" s="89" t="str">
        <v>Periódica</v>
      </c>
      <c r="E2053" s="89">
        <v>365</v>
      </c>
      <c r="F2053" s="89" t="str">
        <v/>
      </c>
      <c r="G2053" s="89" t="str">
        <f ca="1"/>
        <v/>
      </c>
    </row>
    <row r="2054" spans="1:7" x14ac:dyDescent="0.3">
      <c r="A2054" s="89" t="str">
        <v/>
      </c>
      <c r="B2054" s="89" t="str">
        <v>Proteccion Contra Incendios (Brigadistas)</v>
      </c>
      <c r="C2054" s="90" t="str">
        <v/>
      </c>
      <c r="D2054" s="89" t="str">
        <v>Periódica</v>
      </c>
      <c r="E2054" s="89">
        <v>365</v>
      </c>
      <c r="F2054" s="89" t="str">
        <v/>
      </c>
      <c r="G2054" s="89" t="str">
        <f ca="1"/>
        <v/>
      </c>
    </row>
    <row r="2055" spans="1:7" x14ac:dyDescent="0.3">
      <c r="A2055" s="89" t="str">
        <v/>
      </c>
      <c r="B2055" s="89" t="str">
        <v>Primeros Auxilios (Brigadistas)</v>
      </c>
      <c r="C2055" s="90" t="str">
        <v/>
      </c>
      <c r="D2055" s="89" t="str">
        <v>Periódica</v>
      </c>
      <c r="E2055" s="89">
        <v>365</v>
      </c>
      <c r="F2055" s="89" t="str">
        <v/>
      </c>
      <c r="G2055" s="89" t="str">
        <f ca="1"/>
        <v/>
      </c>
    </row>
    <row r="2056" spans="1:7" x14ac:dyDescent="0.3">
      <c r="A2056" s="89" t="str">
        <v/>
      </c>
      <c r="B2056" s="89" t="str">
        <v>Seguridad Electrica (Todos)</v>
      </c>
      <c r="C2056" s="90" t="str">
        <v/>
      </c>
      <c r="D2056" s="89" t="str">
        <v>Periódica</v>
      </c>
      <c r="E2056" s="89">
        <v>365</v>
      </c>
      <c r="F2056" s="89" t="str">
        <v/>
      </c>
      <c r="G2056" s="89" t="str">
        <f ca="1"/>
        <v/>
      </c>
    </row>
    <row r="2057" spans="1:7" x14ac:dyDescent="0.3">
      <c r="A2057" s="89" t="str">
        <v/>
      </c>
      <c r="B2057" s="89" t="str">
        <v>Seguridad Electrica (Personal Autorizado)</v>
      </c>
      <c r="C2057" s="90" t="str">
        <v/>
      </c>
      <c r="D2057" s="89" t="str">
        <v>Periódica</v>
      </c>
      <c r="E2057" s="89">
        <v>1095</v>
      </c>
      <c r="F2057" s="89" t="str">
        <v/>
      </c>
      <c r="G2057" s="89" t="str">
        <f ca="1"/>
        <v/>
      </c>
    </row>
    <row r="2058" spans="1:7" x14ac:dyDescent="0.3">
      <c r="A2058" s="89" t="str">
        <v/>
      </c>
      <c r="B2058" s="89" t="str">
        <v>Camiones Industriales Motorizados (PIT) (Todos)</v>
      </c>
      <c r="C2058" s="90" t="str">
        <v/>
      </c>
      <c r="D2058" s="89" t="str">
        <v>Periódica</v>
      </c>
      <c r="E2058" s="89">
        <v>365</v>
      </c>
      <c r="F2058" s="89" t="str">
        <v/>
      </c>
      <c r="G2058" s="89" t="str">
        <f ca="1"/>
        <v/>
      </c>
    </row>
    <row r="2059" spans="1:7" x14ac:dyDescent="0.3">
      <c r="A2059" s="89" t="str">
        <v/>
      </c>
      <c r="B2059" s="89" t="str">
        <v>Camiones Industriales Motorizados (PIT) (Op. Montacargas)</v>
      </c>
      <c r="C2059" s="90" t="str">
        <v/>
      </c>
      <c r="D2059" s="89" t="str">
        <v>Periódica</v>
      </c>
      <c r="E2059" s="89">
        <v>365</v>
      </c>
      <c r="F2059" s="89" t="str">
        <v/>
      </c>
      <c r="G2059" s="89" t="str">
        <f ca="1"/>
        <v/>
      </c>
    </row>
    <row r="2060" spans="1:7" x14ac:dyDescent="0.3">
      <c r="A2060" s="89" t="str">
        <v/>
      </c>
      <c r="B2060" s="89" t="str">
        <v>Control de Energias Peligrosas (LOTO) (Todos)</v>
      </c>
      <c r="C2060" s="90" t="str">
        <v/>
      </c>
      <c r="D2060" s="89" t="str">
        <v>Evento</v>
      </c>
      <c r="E2060" s="89">
        <v>0</v>
      </c>
      <c r="F2060" s="89" t="str">
        <v/>
      </c>
      <c r="G2060" s="89" t="str">
        <f ca="1"/>
        <v/>
      </c>
    </row>
    <row r="2061" spans="1:7" x14ac:dyDescent="0.3">
      <c r="A2061" s="89" t="str">
        <v/>
      </c>
      <c r="B2061" s="89" t="str">
        <v>Control de Energias Peligrosas (LOTO) (Empleados Autorizados)</v>
      </c>
      <c r="C2061" s="90" t="str">
        <v/>
      </c>
      <c r="D2061" s="89" t="str">
        <v>Periódica</v>
      </c>
      <c r="E2061" s="89">
        <v>365</v>
      </c>
      <c r="F2061" s="89" t="str">
        <v/>
      </c>
      <c r="G2061" s="89" t="str">
        <f ca="1"/>
        <v/>
      </c>
    </row>
    <row r="2062" spans="1:7" x14ac:dyDescent="0.3">
      <c r="A2062" s="89" t="str">
        <v/>
      </c>
      <c r="B2062" s="89" t="str">
        <v>Seguridad aplicada al Pozo &amp; Yacimiento</v>
      </c>
      <c r="C2062" s="90" t="str">
        <v/>
      </c>
      <c r="D2062" s="89" t="str">
        <v>Periódica</v>
      </c>
      <c r="E2062" s="89">
        <v>365</v>
      </c>
      <c r="F2062" s="89" t="str">
        <v/>
      </c>
      <c r="G2062" s="89" t="str">
        <f ca="1"/>
        <v/>
      </c>
    </row>
    <row r="2063" spans="1:7" x14ac:dyDescent="0.3">
      <c r="A2063" s="89" t="str">
        <v/>
      </c>
      <c r="B2063" s="89" t="str">
        <v>Las Reglas que Salvan Vidas</v>
      </c>
      <c r="C2063" s="90" t="str">
        <v/>
      </c>
      <c r="D2063" s="89" t="str">
        <v>Periódica</v>
      </c>
      <c r="E2063" s="89">
        <v>365</v>
      </c>
      <c r="F2063" s="89" t="str">
        <v/>
      </c>
      <c r="G2063" s="89" t="str">
        <f ca="1"/>
        <v/>
      </c>
    </row>
    <row r="2064" spans="1:7" x14ac:dyDescent="0.3">
      <c r="A2064" s="89" t="str">
        <v/>
      </c>
      <c r="B2064" s="89" t="str">
        <v xml:space="preserve">Resguardo de Maquinas &amp; Equipos </v>
      </c>
      <c r="C2064" s="90" t="str">
        <v/>
      </c>
      <c r="D2064" s="89" t="str">
        <v>Periódica</v>
      </c>
      <c r="E2064" s="89">
        <v>365</v>
      </c>
      <c r="F2064" s="89" t="str">
        <v/>
      </c>
      <c r="G2064" s="89" t="str">
        <f ca="1"/>
        <v/>
      </c>
    </row>
    <row r="2065" spans="1:7" x14ac:dyDescent="0.3">
      <c r="A2065" s="89" t="str">
        <v/>
      </c>
      <c r="B2065" s="89" t="str">
        <v>Conduccion y Gestion de Viajes (Todos)</v>
      </c>
      <c r="C2065" s="90" t="str">
        <v/>
      </c>
      <c r="D2065" s="89" t="str">
        <v>Periódica</v>
      </c>
      <c r="E2065" s="89">
        <v>730</v>
      </c>
      <c r="F2065" s="89" t="str">
        <v/>
      </c>
      <c r="G2065" s="89" t="str">
        <f ca="1"/>
        <v/>
      </c>
    </row>
    <row r="2066" spans="1:7" x14ac:dyDescent="0.3">
      <c r="A2066" s="89" t="str">
        <v/>
      </c>
      <c r="B2066" s="89" t="str">
        <v>Conduccion y Gestion de Viajes (Conductores)</v>
      </c>
      <c r="C2066" s="90" t="str">
        <v/>
      </c>
      <c r="D2066" s="89" t="str">
        <v>Periódica</v>
      </c>
      <c r="E2066" s="89">
        <v>1095</v>
      </c>
      <c r="F2066" s="89" t="str">
        <v/>
      </c>
      <c r="G2066" s="89" t="str">
        <f ca="1"/>
        <v/>
      </c>
    </row>
    <row r="2067" spans="1:7" x14ac:dyDescent="0.3">
      <c r="A2067" s="89" t="str">
        <v/>
      </c>
      <c r="B2067" s="89" t="str">
        <v>Patogenos Transmitidos por la Sangre</v>
      </c>
      <c r="C2067" s="90" t="str">
        <v/>
      </c>
      <c r="D2067" s="89" t="str">
        <v>Periódica</v>
      </c>
      <c r="E2067" s="89">
        <v>365</v>
      </c>
      <c r="F2067" s="89" t="str">
        <v/>
      </c>
      <c r="G2067" s="89" t="str">
        <f ca="1"/>
        <v/>
      </c>
    </row>
    <row r="2068" spans="1:7" x14ac:dyDescent="0.3">
      <c r="A2068" s="89" t="str">
        <v/>
      </c>
      <c r="B2068" s="89" t="str">
        <v>Conservacion Auditiva</v>
      </c>
      <c r="C2068" s="90" t="str">
        <v/>
      </c>
      <c r="D2068" s="89" t="str">
        <v>Periódica</v>
      </c>
      <c r="E2068" s="89">
        <v>365</v>
      </c>
      <c r="F2068" s="89" t="str">
        <v/>
      </c>
      <c r="G2068" s="89" t="str">
        <f ca="1"/>
        <v/>
      </c>
    </row>
    <row r="2069" spans="1:7" x14ac:dyDescent="0.3">
      <c r="A2069" s="89" t="str">
        <v/>
      </c>
      <c r="B2069" s="89" t="str">
        <v xml:space="preserve">Ergonomia //  / Levantamiento &amp; Seguridad en la Espalda </v>
      </c>
      <c r="C2069" s="90" t="str">
        <v/>
      </c>
      <c r="D2069" s="89" t="str">
        <v>Periódica</v>
      </c>
      <c r="E2069" s="89">
        <v>365</v>
      </c>
      <c r="F2069" s="89" t="str">
        <v/>
      </c>
      <c r="G2069" s="89" t="str">
        <f ca="1"/>
        <v/>
      </c>
    </row>
    <row r="2070" spans="1:7" x14ac:dyDescent="0.3">
      <c r="A2070" s="89" t="str">
        <v/>
      </c>
      <c r="B2070" s="89" t="str">
        <v>Superficies Elevadas (Todos)</v>
      </c>
      <c r="C2070" s="90" t="str">
        <v/>
      </c>
      <c r="D2070" s="89" t="str">
        <v>Periódica</v>
      </c>
      <c r="E2070" s="89">
        <v>365</v>
      </c>
      <c r="F2070" s="89" t="str">
        <v/>
      </c>
      <c r="G2070" s="89" t="str">
        <f ca="1"/>
        <v/>
      </c>
    </row>
    <row r="2071" spans="1:7" x14ac:dyDescent="0.3">
      <c r="A2071" s="89" t="str">
        <v/>
      </c>
      <c r="B2071" s="89" t="str">
        <v>Superficies Elevadas (Personal Habilitado)</v>
      </c>
      <c r="C2071" s="90" t="str">
        <v/>
      </c>
      <c r="D2071" s="89" t="str">
        <v>Periódica</v>
      </c>
      <c r="E2071" s="89">
        <v>365</v>
      </c>
      <c r="F2071" s="89" t="str">
        <v/>
      </c>
      <c r="G2071" s="89" t="str">
        <f ca="1"/>
        <v/>
      </c>
    </row>
    <row r="2072" spans="1:7" x14ac:dyDescent="0.3">
      <c r="A2072" s="89" t="str">
        <v/>
      </c>
      <c r="B2072" s="89" t="str">
        <v>Seguridad Quimica (Todos)</v>
      </c>
      <c r="C2072" s="90" t="str">
        <v/>
      </c>
      <c r="D2072" s="89" t="str">
        <v>Periódica</v>
      </c>
      <c r="E2072" s="89">
        <v>730</v>
      </c>
      <c r="F2072" s="89" t="str">
        <v/>
      </c>
      <c r="G2072" s="89" t="str">
        <f ca="1"/>
        <v/>
      </c>
    </row>
    <row r="2073" spans="1:7" x14ac:dyDescent="0.3">
      <c r="A2073" s="89" t="str">
        <v/>
      </c>
      <c r="B2073" s="89" t="str">
        <v>Seguridad Quimica (Mantenimiento)</v>
      </c>
      <c r="C2073" s="90" t="str">
        <v/>
      </c>
      <c r="D2073" s="89" t="str">
        <v>Periódica</v>
      </c>
      <c r="E2073" s="89">
        <v>365</v>
      </c>
      <c r="F2073" s="89" t="str">
        <v/>
      </c>
      <c r="G2073" s="89" t="str">
        <f ca="1"/>
        <v/>
      </c>
    </row>
    <row r="2074" spans="1:7" x14ac:dyDescent="0.3">
      <c r="A2074" s="89" t="str">
        <v/>
      </c>
      <c r="B2074" s="89" t="str">
        <v>Seguridad Quimica (Contratistas)</v>
      </c>
      <c r="C2074" s="90" t="str">
        <v/>
      </c>
      <c r="D2074" s="89" t="str">
        <v>Periódica</v>
      </c>
      <c r="E2074" s="89">
        <v>365</v>
      </c>
      <c r="F2074" s="89" t="str">
        <v/>
      </c>
      <c r="G2074" s="89" t="str">
        <f ca="1"/>
        <v/>
      </c>
    </row>
    <row r="2075" spans="1:7" x14ac:dyDescent="0.3">
      <c r="A2075" s="89" t="str">
        <v/>
      </c>
      <c r="B2075" s="89" t="str">
        <v>Seguridad para Trabajos en Caliente</v>
      </c>
      <c r="C2075" s="90" t="str">
        <v/>
      </c>
      <c r="D2075" s="89" t="str">
        <v>Periódica</v>
      </c>
      <c r="E2075" s="89">
        <v>365</v>
      </c>
      <c r="F2075" s="89" t="str">
        <v/>
      </c>
      <c r="G2075" s="89" t="str">
        <f ca="1"/>
        <v/>
      </c>
    </row>
    <row r="2076" spans="1:7" x14ac:dyDescent="0.3">
      <c r="A2076" s="89" t="str">
        <v/>
      </c>
      <c r="B2076" s="89" t="str">
        <v>Seguridad con la Radiacion</v>
      </c>
      <c r="C2076" s="90" t="str">
        <v/>
      </c>
      <c r="D2076" s="89" t="str">
        <v>Periódica</v>
      </c>
      <c r="E2076" s="89">
        <v>365</v>
      </c>
      <c r="F2076" s="89" t="str">
        <v/>
      </c>
      <c r="G2076" s="89" t="str">
        <f ca="1"/>
        <v/>
      </c>
    </row>
    <row r="2077" spans="1:7" x14ac:dyDescent="0.3">
      <c r="A2077" s="89" t="str">
        <v/>
      </c>
      <c r="B2077" s="89" t="str">
        <v>Equipo de Proteccion Personal (PPE)</v>
      </c>
      <c r="C2077" s="90" t="str">
        <v/>
      </c>
      <c r="D2077" s="89" t="str">
        <v>Periódica</v>
      </c>
      <c r="E2077" s="89">
        <v>365</v>
      </c>
      <c r="F2077" s="89" t="str">
        <v/>
      </c>
      <c r="G2077" s="89" t="str">
        <f ca="1"/>
        <v/>
      </c>
    </row>
    <row r="2078" spans="1:7" x14ac:dyDescent="0.3">
      <c r="A2078" s="89" t="str">
        <v/>
      </c>
      <c r="B2078" s="89" t="str">
        <v>Proteccion Respiratoria</v>
      </c>
      <c r="C2078" s="90" t="str">
        <v/>
      </c>
      <c r="D2078" s="89" t="str">
        <v>Periódica</v>
      </c>
      <c r="E2078" s="89">
        <v>365</v>
      </c>
      <c r="F2078" s="89" t="str">
        <v/>
      </c>
      <c r="G2078" s="89" t="str">
        <f ca="1"/>
        <v/>
      </c>
    </row>
    <row r="2079" spans="1:7" x14ac:dyDescent="0.3">
      <c r="A2079" s="89" t="str">
        <v/>
      </c>
      <c r="B2079" s="89" t="str">
        <v xml:space="preserve">Seguridad con Escaleras </v>
      </c>
      <c r="C2079" s="90" t="str">
        <v/>
      </c>
      <c r="D2079" s="89" t="str">
        <v>Periódica</v>
      </c>
      <c r="E2079" s="89">
        <v>365</v>
      </c>
      <c r="F2079" s="89" t="str">
        <v/>
      </c>
      <c r="G2079" s="89" t="str">
        <f ca="1"/>
        <v/>
      </c>
    </row>
    <row r="2080" spans="1:7" x14ac:dyDescent="0.3">
      <c r="A2080" s="89" t="str">
        <v/>
      </c>
      <c r="B2080" s="89" t="str">
        <v>Seguridad con Escaleras // Estantes de Almacenamiento</v>
      </c>
      <c r="C2080" s="90" t="str">
        <v/>
      </c>
      <c r="D2080" s="89" t="str">
        <v>Periódica</v>
      </c>
      <c r="E2080" s="89">
        <v>365</v>
      </c>
      <c r="F2080" s="89" t="str">
        <v/>
      </c>
      <c r="G2080" s="89" t="str">
        <f ca="1"/>
        <v/>
      </c>
    </row>
    <row r="2081" spans="1:7" x14ac:dyDescent="0.3">
      <c r="A2081" s="89" t="str">
        <v/>
      </c>
      <c r="B2081" s="89" t="str">
        <v>Responsabilidades del Supervisor</v>
      </c>
      <c r="C2081" s="90" t="str">
        <v/>
      </c>
      <c r="D2081" s="89" t="str">
        <v>Periódica</v>
      </c>
      <c r="E2081" s="89">
        <v>365</v>
      </c>
      <c r="F2081" s="89" t="str">
        <v/>
      </c>
      <c r="G2081" s="89" t="str">
        <f ca="1"/>
        <v/>
      </c>
    </row>
    <row r="2082" spans="1:7" x14ac:dyDescent="0.3">
      <c r="A2082" s="89" t="str">
        <v/>
      </c>
      <c r="B2082" s="89" t="str">
        <v>Espacios Confinados (Todos)</v>
      </c>
      <c r="C2082" s="90" t="str">
        <v/>
      </c>
      <c r="D2082" s="89" t="str">
        <v>Periódica</v>
      </c>
      <c r="E2082" s="89">
        <v>365</v>
      </c>
      <c r="F2082" s="89" t="str">
        <v/>
      </c>
      <c r="G2082" s="89" t="str">
        <f ca="1"/>
        <v/>
      </c>
    </row>
    <row r="2083" spans="1:7" x14ac:dyDescent="0.3">
      <c r="A2083" s="89" t="str">
        <v/>
      </c>
      <c r="B2083" s="89" t="str">
        <v>HSMS.017 / Espacios Confinados (Entrantes)</v>
      </c>
      <c r="C2083" s="90" t="str">
        <v/>
      </c>
      <c r="D2083" s="89" t="str">
        <v>Evento</v>
      </c>
      <c r="E2083" s="89">
        <v>0</v>
      </c>
      <c r="F2083" s="89" t="str">
        <v/>
      </c>
      <c r="G2083" s="89" t="str">
        <f ca="1"/>
        <v/>
      </c>
    </row>
    <row r="2084" spans="1:7" x14ac:dyDescent="0.3">
      <c r="A2084" s="89" t="str">
        <v/>
      </c>
      <c r="B2084" s="89" t="str">
        <v>Programa de Agua (Todos)</v>
      </c>
      <c r="C2084" s="90" t="str">
        <v/>
      </c>
      <c r="D2084" s="89" t="str">
        <v>Evento</v>
      </c>
      <c r="E2084" s="89">
        <v>0</v>
      </c>
      <c r="F2084" s="89" t="str">
        <v/>
      </c>
      <c r="G2084" s="89" t="str">
        <f ca="1"/>
        <v/>
      </c>
    </row>
    <row r="2085" spans="1:7" x14ac:dyDescent="0.3">
      <c r="A2085" s="89" t="str">
        <v/>
      </c>
      <c r="B2085" s="89" t="str">
        <v>Programa de Agua (HSE)</v>
      </c>
      <c r="C2085" s="90" t="str">
        <v/>
      </c>
      <c r="D2085" s="89" t="str">
        <v>Evento</v>
      </c>
      <c r="E2085" s="89">
        <v>0</v>
      </c>
      <c r="F2085" s="89" t="str">
        <v/>
      </c>
      <c r="G2085" s="89" t="str">
        <f ca="1"/>
        <v/>
      </c>
    </row>
    <row r="2086" spans="1:7" x14ac:dyDescent="0.3">
      <c r="A2086" s="89" t="str">
        <v/>
      </c>
      <c r="B2086" s="89" t="str">
        <v>HIV/SIDA y otras enfermedades de transmisión sexual (ETS)</v>
      </c>
      <c r="C2086" s="90" t="str">
        <v/>
      </c>
      <c r="D2086" s="89" t="str">
        <v>Periódica</v>
      </c>
      <c r="E2086" s="89">
        <v>365</v>
      </c>
      <c r="F2086" s="89" t="str">
        <v/>
      </c>
      <c r="G2086" s="89" t="str">
        <f ca="1"/>
        <v/>
      </c>
    </row>
    <row r="2087" spans="1:7" x14ac:dyDescent="0.3">
      <c r="A2087" s="89" t="str">
        <v/>
      </c>
      <c r="B2087" s="89" t="str">
        <v>Drogas de abuso (concientización y prevención)</v>
      </c>
      <c r="C2087" s="90" t="str">
        <v/>
      </c>
      <c r="D2087" s="89" t="str">
        <v>Periódica</v>
      </c>
      <c r="E2087" s="89">
        <v>365</v>
      </c>
      <c r="F2087" s="89" t="str">
        <v/>
      </c>
      <c r="G2087" s="89" t="str">
        <f ca="1"/>
        <v/>
      </c>
    </row>
    <row r="2088" spans="1:7" x14ac:dyDescent="0.3">
      <c r="A2088" s="89" t="str">
        <v/>
      </c>
      <c r="B2088" s="89" t="str">
        <v>Vida saludable (hábitos, autocuidado y bienestar)</v>
      </c>
      <c r="C2088" s="90" t="str">
        <v/>
      </c>
      <c r="D2088" s="89" t="str">
        <v>Periódica</v>
      </c>
      <c r="E2088" s="89">
        <v>365</v>
      </c>
      <c r="F2088" s="89" t="str">
        <v/>
      </c>
      <c r="G2088" s="89" t="str">
        <f ca="1"/>
        <v/>
      </c>
    </row>
    <row r="2089" spans="1:7" x14ac:dyDescent="0.3">
      <c r="A2089" s="89" t="str">
        <v/>
      </c>
      <c r="B2089" s="89" t="str">
        <v>Primeros auxilios y Reanimación Cardio Pulmonar (RCP)</v>
      </c>
      <c r="C2089" s="90" t="str">
        <v/>
      </c>
      <c r="D2089" s="89" t="str">
        <v>Periódica</v>
      </c>
      <c r="E2089" s="89">
        <v>365</v>
      </c>
      <c r="F2089" s="89" t="str">
        <v/>
      </c>
      <c r="G2089" s="89" t="str">
        <f ca="1"/>
        <v/>
      </c>
    </row>
    <row r="2090" spans="1:7" x14ac:dyDescent="0.3">
      <c r="A2090" s="89" t="str">
        <v/>
      </c>
      <c r="B2090" s="89" t="str">
        <v>Prevención cardiovascular (factores de riesgo y señales de alarma)</v>
      </c>
      <c r="C2090" s="90" t="str">
        <v/>
      </c>
      <c r="D2090" s="89" t="str">
        <v>Periódica</v>
      </c>
      <c r="E2090" s="89">
        <v>365</v>
      </c>
      <c r="F2090" s="89" t="str">
        <v/>
      </c>
      <c r="G2090" s="89" t="str">
        <f ca="1"/>
        <v/>
      </c>
    </row>
    <row r="2091" spans="1:7" x14ac:dyDescent="0.3">
      <c r="A2091" s="89" t="str">
        <v/>
      </c>
      <c r="B2091" s="89" t="str">
        <v>Efectos del tabaco sobre la salud</v>
      </c>
      <c r="C2091" s="90" t="str">
        <v/>
      </c>
      <c r="D2091" s="89" t="str">
        <v>Periódica</v>
      </c>
      <c r="E2091" s="89">
        <v>365</v>
      </c>
      <c r="F2091" s="89" t="str">
        <v/>
      </c>
      <c r="G2091" s="89" t="str">
        <f ca="1"/>
        <v/>
      </c>
    </row>
    <row r="2092" spans="1:7" x14ac:dyDescent="0.3">
      <c r="A2092" s="89" t="str">
        <v/>
      </c>
      <c r="B2092" s="89" t="str">
        <v>Cargadora (Op. Montacargas)</v>
      </c>
      <c r="C2092" s="90" t="str">
        <v/>
      </c>
      <c r="D2092" s="89" t="str">
        <v>Periódica</v>
      </c>
      <c r="E2092" s="89">
        <v>365</v>
      </c>
      <c r="F2092" s="89" t="str">
        <v/>
      </c>
      <c r="G2092" s="89" t="str">
        <f ca="1"/>
        <v/>
      </c>
    </row>
    <row r="2093" spans="1:7" x14ac:dyDescent="0.3">
      <c r="A2093" s="89" t="str">
        <v/>
      </c>
      <c r="B2093" s="89">
        <v>0</v>
      </c>
      <c r="C2093" s="90" t="str">
        <v/>
      </c>
      <c r="D2093" s="89" t="str">
        <v/>
      </c>
      <c r="E2093" s="89" t="str">
        <v/>
      </c>
      <c r="F2093" s="89" t="str">
        <v/>
      </c>
      <c r="G2093" s="89" t="str">
        <f ca="1"/>
        <v/>
      </c>
    </row>
    <row r="2094" spans="1:7" x14ac:dyDescent="0.3">
      <c r="A2094" s="89" t="str">
        <v/>
      </c>
      <c r="B2094" s="89">
        <v>0</v>
      </c>
      <c r="C2094" s="90" t="str">
        <v/>
      </c>
      <c r="D2094" s="89" t="str">
        <v/>
      </c>
      <c r="E2094" s="89" t="str">
        <v/>
      </c>
      <c r="F2094" s="89" t="str">
        <v/>
      </c>
      <c r="G2094" s="89" t="str">
        <f ca="1"/>
        <v/>
      </c>
    </row>
    <row r="2095" spans="1:7" x14ac:dyDescent="0.3">
      <c r="A2095" s="89" t="str">
        <v/>
      </c>
      <c r="B2095" s="89">
        <v>0</v>
      </c>
      <c r="C2095" s="90" t="str">
        <v/>
      </c>
      <c r="D2095" s="89" t="str">
        <v/>
      </c>
      <c r="E2095" s="89" t="str">
        <v/>
      </c>
      <c r="F2095" s="89" t="str">
        <v/>
      </c>
      <c r="G2095" s="89" t="str">
        <f ca="1"/>
        <v/>
      </c>
    </row>
    <row r="2096" spans="1:7" x14ac:dyDescent="0.3">
      <c r="A2096" s="89" t="str">
        <v/>
      </c>
      <c r="B2096" s="89">
        <v>0</v>
      </c>
      <c r="C2096" s="90" t="str">
        <v/>
      </c>
      <c r="D2096" s="89" t="str">
        <v/>
      </c>
      <c r="E2096" s="89" t="str">
        <v/>
      </c>
      <c r="F2096" s="89" t="str">
        <v/>
      </c>
      <c r="G2096" s="89" t="str">
        <f ca="1"/>
        <v/>
      </c>
    </row>
    <row r="2097" spans="1:7" x14ac:dyDescent="0.3">
      <c r="A2097" s="89" t="str">
        <v/>
      </c>
      <c r="B2097" s="89">
        <v>0</v>
      </c>
      <c r="C2097" s="90" t="str">
        <v/>
      </c>
      <c r="D2097" s="89" t="str">
        <v/>
      </c>
      <c r="E2097" s="89" t="str">
        <v/>
      </c>
      <c r="F2097" s="89" t="str">
        <v/>
      </c>
      <c r="G2097" s="89" t="str">
        <f ca="1"/>
        <v/>
      </c>
    </row>
    <row r="2098" spans="1:7" x14ac:dyDescent="0.3">
      <c r="A2098" s="89" t="str">
        <v/>
      </c>
      <c r="B2098" s="89">
        <v>0</v>
      </c>
      <c r="C2098" s="90" t="str">
        <v/>
      </c>
      <c r="D2098" s="89" t="str">
        <v/>
      </c>
      <c r="E2098" s="89" t="str">
        <v/>
      </c>
      <c r="F2098" s="89" t="str">
        <v/>
      </c>
      <c r="G2098" s="89" t="str">
        <f ca="1"/>
        <v/>
      </c>
    </row>
    <row r="2099" spans="1:7" x14ac:dyDescent="0.3">
      <c r="A2099" s="89" t="str">
        <v/>
      </c>
      <c r="B2099" s="89">
        <v>0</v>
      </c>
      <c r="C2099" s="90" t="str">
        <v/>
      </c>
      <c r="D2099" s="89" t="str">
        <v/>
      </c>
      <c r="E2099" s="89" t="str">
        <v/>
      </c>
      <c r="F2099" s="89" t="str">
        <v/>
      </c>
      <c r="G2099" s="89" t="str">
        <f ca="1"/>
        <v/>
      </c>
    </row>
    <row r="2100" spans="1:7" x14ac:dyDescent="0.3">
      <c r="A2100" s="89" t="str">
        <v/>
      </c>
      <c r="B2100" s="89">
        <v>0</v>
      </c>
      <c r="C2100" s="90" t="str">
        <v/>
      </c>
      <c r="D2100" s="89" t="str">
        <v/>
      </c>
      <c r="E2100" s="89" t="str">
        <v/>
      </c>
      <c r="F2100" s="89" t="str">
        <v/>
      </c>
      <c r="G2100" s="89" t="str">
        <f ca="1"/>
        <v/>
      </c>
    </row>
    <row r="2101" spans="1:7" x14ac:dyDescent="0.3">
      <c r="A2101" s="89" t="str">
        <v/>
      </c>
      <c r="B2101" s="89">
        <v>0</v>
      </c>
      <c r="C2101" s="90" t="str">
        <v/>
      </c>
      <c r="D2101" s="89" t="str">
        <v/>
      </c>
      <c r="E2101" s="89" t="str">
        <v/>
      </c>
      <c r="F2101" s="89" t="str">
        <v/>
      </c>
      <c r="G2101" s="89" t="str">
        <f ca="1"/>
        <v/>
      </c>
    </row>
    <row r="2102" spans="1:7" x14ac:dyDescent="0.3">
      <c r="A2102" s="89" t="str">
        <v/>
      </c>
      <c r="B2102" s="89" t="str">
        <v>Programa de Aire</v>
      </c>
      <c r="C2102" s="90" t="str">
        <v/>
      </c>
      <c r="D2102" s="89" t="str">
        <v>Evento</v>
      </c>
      <c r="E2102" s="89">
        <v>0</v>
      </c>
      <c r="F2102" s="89" t="str">
        <v/>
      </c>
      <c r="G2102" s="89" t="str">
        <f ca="1"/>
        <v/>
      </c>
    </row>
    <row r="2103" spans="1:7" x14ac:dyDescent="0.3">
      <c r="A2103" s="89" t="str">
        <v/>
      </c>
      <c r="B2103" s="89" t="str">
        <v>Conciencia Ambiental</v>
      </c>
      <c r="C2103" s="90" t="str">
        <v/>
      </c>
      <c r="D2103" s="89" t="str">
        <v>Periódica</v>
      </c>
      <c r="E2103" s="89">
        <v>365</v>
      </c>
      <c r="F2103" s="89" t="str">
        <v/>
      </c>
      <c r="G2103" s="89" t="str">
        <f ca="1"/>
        <v/>
      </c>
    </row>
    <row r="2104" spans="1:7" x14ac:dyDescent="0.3">
      <c r="A2104" s="89" t="str">
        <v/>
      </c>
      <c r="B2104" s="89" t="str">
        <v xml:space="preserve">Control de Documentos e Informacion de HSE </v>
      </c>
      <c r="C2104" s="90" t="str">
        <v/>
      </c>
      <c r="D2104" s="89" t="str">
        <v>Evento</v>
      </c>
      <c r="E2104" s="89">
        <v>0</v>
      </c>
      <c r="F2104" s="89" t="str">
        <v/>
      </c>
      <c r="G2104" s="89" t="str">
        <f ca="1"/>
        <v/>
      </c>
    </row>
    <row r="2105" spans="1:7" x14ac:dyDescent="0.3">
      <c r="A2105" s="89" t="str">
        <v/>
      </c>
      <c r="B2105" s="89" t="str">
        <v xml:space="preserve"> Acciones Correctivas y Preventivas (CAPA)</v>
      </c>
      <c r="C2105" s="90" t="str">
        <v/>
      </c>
      <c r="D2105" s="89" t="str">
        <v>Evento</v>
      </c>
      <c r="E2105" s="89">
        <v>0</v>
      </c>
      <c r="F2105" s="89" t="str">
        <v/>
      </c>
      <c r="G2105" s="89" t="str">
        <f ca="1"/>
        <v/>
      </c>
    </row>
    <row r="2106" spans="1:7" x14ac:dyDescent="0.3">
      <c r="A2106" s="89" t="str">
        <v/>
      </c>
      <c r="B2106" s="89" t="str">
        <v>Seguridad Basada en el Comportamiento (Observation Program) // HSMS.043 / Autoridad de Detener el Trabajo</v>
      </c>
      <c r="C2106" s="90" t="str">
        <v/>
      </c>
      <c r="D2106" s="89" t="str">
        <v>Periódica</v>
      </c>
      <c r="E2106" s="89">
        <v>365</v>
      </c>
      <c r="F2106" s="89" t="str">
        <v/>
      </c>
      <c r="G2106" s="89" t="str">
        <f ca="1"/>
        <v/>
      </c>
    </row>
    <row r="2107" spans="1:7" x14ac:dyDescent="0.3">
      <c r="A2107" s="89" t="str">
        <v/>
      </c>
      <c r="B2107" s="89" t="str">
        <v>Identificacion de Peligros y Evaluacion de Riesgos</v>
      </c>
      <c r="C2107" s="90" t="str">
        <v/>
      </c>
      <c r="D2107" s="89" t="str">
        <v>Evento</v>
      </c>
      <c r="E2107" s="89">
        <v>0</v>
      </c>
      <c r="F2107" s="89" t="str">
        <v/>
      </c>
      <c r="G2107" s="89" t="str">
        <f ca="1"/>
        <v/>
      </c>
    </row>
    <row r="2108" spans="1:7" x14ac:dyDescent="0.3">
      <c r="A2108" s="89" t="str">
        <v/>
      </c>
      <c r="B2108" s="89" t="str">
        <v xml:space="preserve"> Plan de Respuesta ante Eemergencias / HSMS.010 /Primeros Axulios &amp; RCP/DEA / HSMSWT-002 / Patogenos Trasnmitidos por la Sangre</v>
      </c>
      <c r="C2108" s="90" t="str">
        <v/>
      </c>
      <c r="D2108" s="89" t="str">
        <v>Periódica</v>
      </c>
      <c r="E2108" s="89">
        <v>365</v>
      </c>
      <c r="F2108" s="89" t="str">
        <v/>
      </c>
      <c r="G2108" s="89" t="str">
        <f ca="1"/>
        <v/>
      </c>
    </row>
    <row r="2109" spans="1:7" x14ac:dyDescent="0.3">
      <c r="A2109" s="89" t="str">
        <v/>
      </c>
      <c r="B2109" s="89" t="str">
        <v>Reporte y Gestion de Incidentes HSE (Todos)</v>
      </c>
      <c r="C2109" s="90" t="str">
        <v/>
      </c>
      <c r="D2109" s="89" t="str">
        <v>Periódica</v>
      </c>
      <c r="E2109" s="89">
        <v>365</v>
      </c>
      <c r="F2109" s="89" t="str">
        <v/>
      </c>
      <c r="G2109" s="89" t="str">
        <f ca="1"/>
        <v/>
      </c>
    </row>
    <row r="2110" spans="1:7" x14ac:dyDescent="0.3">
      <c r="A2110" s="89" t="str">
        <v/>
      </c>
      <c r="B2110" s="89" t="str">
        <v>Reporte, Gestion e Investigacion de Incidentes HSE (supervisores / investigadores (rol))</v>
      </c>
      <c r="C2110" s="90" t="str">
        <v/>
      </c>
      <c r="D2110" s="89" t="str">
        <v>Periódica</v>
      </c>
      <c r="E2110" s="89">
        <v>1095</v>
      </c>
      <c r="F2110" s="89" t="str">
        <v/>
      </c>
      <c r="G2110" s="89" t="str">
        <f ca="1"/>
        <v/>
      </c>
    </row>
    <row r="2111" spans="1:7" x14ac:dyDescent="0.3">
      <c r="A2111" s="89" t="str">
        <v/>
      </c>
      <c r="B2111" s="89" t="str">
        <v>Gruas y Equipos de Izaje (Todos)</v>
      </c>
      <c r="C2111" s="90" t="str">
        <v/>
      </c>
      <c r="D2111" s="89" t="str">
        <v>Periódica</v>
      </c>
      <c r="E2111" s="89">
        <v>365</v>
      </c>
      <c r="F2111" s="89" t="str">
        <v/>
      </c>
      <c r="G2111" s="89" t="str">
        <f ca="1"/>
        <v/>
      </c>
    </row>
    <row r="2112" spans="1:7" x14ac:dyDescent="0.3">
      <c r="A2112" s="89" t="str">
        <v/>
      </c>
      <c r="B2112" s="89" t="str">
        <v>HSMS.007 / Gruas y Equipos de Izaje (Operadores)</v>
      </c>
      <c r="C2112" s="90" t="str">
        <v/>
      </c>
      <c r="D2112" s="89" t="str">
        <v>Periódica</v>
      </c>
      <c r="E2112" s="89">
        <v>365</v>
      </c>
      <c r="F2112" s="89" t="str">
        <v/>
      </c>
      <c r="G2112" s="89" t="str">
        <f ca="1"/>
        <v/>
      </c>
    </row>
    <row r="2113" spans="1:7" x14ac:dyDescent="0.3">
      <c r="A2113" s="89" t="str">
        <v/>
      </c>
      <c r="B2113" s="89" t="str">
        <v>Proteccion Contra Incendios (Todos)</v>
      </c>
      <c r="C2113" s="90" t="str">
        <v/>
      </c>
      <c r="D2113" s="89" t="str">
        <v>Periódica</v>
      </c>
      <c r="E2113" s="89">
        <v>365</v>
      </c>
      <c r="F2113" s="89" t="str">
        <v/>
      </c>
      <c r="G2113" s="89" t="str">
        <f ca="1"/>
        <v/>
      </c>
    </row>
    <row r="2114" spans="1:7" x14ac:dyDescent="0.3">
      <c r="A2114" s="89" t="str">
        <v/>
      </c>
      <c r="B2114" s="89" t="str">
        <v>Proteccion Contra Incendios (Brigadistas)</v>
      </c>
      <c r="C2114" s="90" t="str">
        <v/>
      </c>
      <c r="D2114" s="89" t="str">
        <v>Periódica</v>
      </c>
      <c r="E2114" s="89">
        <v>365</v>
      </c>
      <c r="F2114" s="89" t="str">
        <v/>
      </c>
      <c r="G2114" s="89" t="str">
        <f ca="1"/>
        <v/>
      </c>
    </row>
    <row r="2115" spans="1:7" x14ac:dyDescent="0.3">
      <c r="A2115" s="89" t="str">
        <v/>
      </c>
      <c r="B2115" s="89" t="str">
        <v>Primeros Auxilios (Brigadistas)</v>
      </c>
      <c r="C2115" s="90" t="str">
        <v/>
      </c>
      <c r="D2115" s="89" t="str">
        <v>Periódica</v>
      </c>
      <c r="E2115" s="89">
        <v>365</v>
      </c>
      <c r="F2115" s="89" t="str">
        <v/>
      </c>
      <c r="G2115" s="89" t="str">
        <f ca="1"/>
        <v/>
      </c>
    </row>
    <row r="2116" spans="1:7" x14ac:dyDescent="0.3">
      <c r="A2116" s="89" t="str">
        <v/>
      </c>
      <c r="B2116" s="89" t="str">
        <v>Seguridad Electrica (Todos)</v>
      </c>
      <c r="C2116" s="90" t="str">
        <v/>
      </c>
      <c r="D2116" s="89" t="str">
        <v>Periódica</v>
      </c>
      <c r="E2116" s="89">
        <v>365</v>
      </c>
      <c r="F2116" s="89" t="str">
        <v/>
      </c>
      <c r="G2116" s="89" t="str">
        <f ca="1"/>
        <v/>
      </c>
    </row>
    <row r="2117" spans="1:7" x14ac:dyDescent="0.3">
      <c r="A2117" s="89" t="str">
        <v/>
      </c>
      <c r="B2117" s="89" t="str">
        <v>Seguridad Electrica (Personal Autorizado)</v>
      </c>
      <c r="C2117" s="90" t="str">
        <v/>
      </c>
      <c r="D2117" s="89" t="str">
        <v>Periódica</v>
      </c>
      <c r="E2117" s="89">
        <v>1095</v>
      </c>
      <c r="F2117" s="89" t="str">
        <v/>
      </c>
      <c r="G2117" s="89" t="str">
        <f ca="1"/>
        <v/>
      </c>
    </row>
    <row r="2118" spans="1:7" x14ac:dyDescent="0.3">
      <c r="A2118" s="89" t="str">
        <v/>
      </c>
      <c r="B2118" s="89" t="str">
        <v>Camiones Industriales Motorizados (PIT) (Todos)</v>
      </c>
      <c r="C2118" s="90" t="str">
        <v/>
      </c>
      <c r="D2118" s="89" t="str">
        <v>Periódica</v>
      </c>
      <c r="E2118" s="89">
        <v>365</v>
      </c>
      <c r="F2118" s="89" t="str">
        <v/>
      </c>
      <c r="G2118" s="89" t="str">
        <f ca="1"/>
        <v/>
      </c>
    </row>
    <row r="2119" spans="1:7" x14ac:dyDescent="0.3">
      <c r="A2119" s="89" t="str">
        <v/>
      </c>
      <c r="B2119" s="89" t="str">
        <v>Camiones Industriales Motorizados (PIT) (Op. Montacargas)</v>
      </c>
      <c r="C2119" s="90" t="str">
        <v/>
      </c>
      <c r="D2119" s="89" t="str">
        <v>Periódica</v>
      </c>
      <c r="E2119" s="89">
        <v>365</v>
      </c>
      <c r="F2119" s="89" t="str">
        <v/>
      </c>
      <c r="G2119" s="89" t="str">
        <f ca="1"/>
        <v/>
      </c>
    </row>
    <row r="2120" spans="1:7" x14ac:dyDescent="0.3">
      <c r="A2120" s="89" t="str">
        <v/>
      </c>
      <c r="B2120" s="89" t="str">
        <v>Control de Energias Peligrosas (LOTO) (Todos)</v>
      </c>
      <c r="C2120" s="90" t="str">
        <v/>
      </c>
      <c r="D2120" s="89" t="str">
        <v>Evento</v>
      </c>
      <c r="E2120" s="89">
        <v>0</v>
      </c>
      <c r="F2120" s="89" t="str">
        <v/>
      </c>
      <c r="G2120" s="89" t="str">
        <f ca="1"/>
        <v/>
      </c>
    </row>
    <row r="2121" spans="1:7" x14ac:dyDescent="0.3">
      <c r="A2121" s="89" t="str">
        <v/>
      </c>
      <c r="B2121" s="89" t="str">
        <v>Control de Energias Peligrosas (LOTO) (Empleados Autorizados)</v>
      </c>
      <c r="C2121" s="90" t="str">
        <v/>
      </c>
      <c r="D2121" s="89" t="str">
        <v>Periódica</v>
      </c>
      <c r="E2121" s="89">
        <v>365</v>
      </c>
      <c r="F2121" s="89" t="str">
        <v/>
      </c>
      <c r="G2121" s="89" t="str">
        <f ca="1"/>
        <v/>
      </c>
    </row>
    <row r="2122" spans="1:7" x14ac:dyDescent="0.3">
      <c r="A2122" s="89" t="str">
        <v/>
      </c>
      <c r="B2122" s="89" t="str">
        <v>Seguridad aplicada al Pozo &amp; Yacimiento</v>
      </c>
      <c r="C2122" s="90" t="str">
        <v/>
      </c>
      <c r="D2122" s="89" t="str">
        <v>Periódica</v>
      </c>
      <c r="E2122" s="89">
        <v>365</v>
      </c>
      <c r="F2122" s="89" t="str">
        <v/>
      </c>
      <c r="G2122" s="89" t="str">
        <f ca="1"/>
        <v/>
      </c>
    </row>
    <row r="2123" spans="1:7" x14ac:dyDescent="0.3">
      <c r="A2123" s="89" t="str">
        <v/>
      </c>
      <c r="B2123" s="89" t="str">
        <v>Las Reglas que Salvan Vidas</v>
      </c>
      <c r="C2123" s="90" t="str">
        <v/>
      </c>
      <c r="D2123" s="89" t="str">
        <v>Periódica</v>
      </c>
      <c r="E2123" s="89">
        <v>365</v>
      </c>
      <c r="F2123" s="89" t="str">
        <v/>
      </c>
      <c r="G2123" s="89" t="str">
        <f ca="1"/>
        <v/>
      </c>
    </row>
    <row r="2124" spans="1:7" x14ac:dyDescent="0.3">
      <c r="A2124" s="89" t="str">
        <v/>
      </c>
      <c r="B2124" s="89" t="str">
        <v xml:space="preserve">Resguardo de Maquinas &amp; Equipos </v>
      </c>
      <c r="C2124" s="90" t="str">
        <v/>
      </c>
      <c r="D2124" s="89" t="str">
        <v>Periódica</v>
      </c>
      <c r="E2124" s="89">
        <v>365</v>
      </c>
      <c r="F2124" s="89" t="str">
        <v/>
      </c>
      <c r="G2124" s="89" t="str">
        <f ca="1"/>
        <v/>
      </c>
    </row>
    <row r="2125" spans="1:7" x14ac:dyDescent="0.3">
      <c r="A2125" s="89" t="str">
        <v/>
      </c>
      <c r="B2125" s="89" t="str">
        <v>Conduccion y Gestion de Viajes (Todos)</v>
      </c>
      <c r="C2125" s="90" t="str">
        <v/>
      </c>
      <c r="D2125" s="89" t="str">
        <v>Periódica</v>
      </c>
      <c r="E2125" s="89">
        <v>730</v>
      </c>
      <c r="F2125" s="89" t="str">
        <v/>
      </c>
      <c r="G2125" s="89" t="str">
        <f ca="1"/>
        <v/>
      </c>
    </row>
    <row r="2126" spans="1:7" x14ac:dyDescent="0.3">
      <c r="A2126" s="89" t="str">
        <v/>
      </c>
      <c r="B2126" s="89" t="str">
        <v>Conduccion y Gestion de Viajes (Conductores)</v>
      </c>
      <c r="C2126" s="90" t="str">
        <v/>
      </c>
      <c r="D2126" s="89" t="str">
        <v>Periódica</v>
      </c>
      <c r="E2126" s="89">
        <v>1095</v>
      </c>
      <c r="F2126" s="89" t="str">
        <v/>
      </c>
      <c r="G2126" s="89" t="str">
        <f ca="1"/>
        <v/>
      </c>
    </row>
    <row r="2127" spans="1:7" x14ac:dyDescent="0.3">
      <c r="A2127" s="89" t="str">
        <v/>
      </c>
      <c r="B2127" s="89" t="str">
        <v>Patogenos Transmitidos por la Sangre</v>
      </c>
      <c r="C2127" s="90" t="str">
        <v/>
      </c>
      <c r="D2127" s="89" t="str">
        <v>Periódica</v>
      </c>
      <c r="E2127" s="89">
        <v>365</v>
      </c>
      <c r="F2127" s="89" t="str">
        <v/>
      </c>
      <c r="G2127" s="89" t="str">
        <f ca="1"/>
        <v/>
      </c>
    </row>
    <row r="2128" spans="1:7" x14ac:dyDescent="0.3">
      <c r="A2128" s="89" t="str">
        <v/>
      </c>
      <c r="B2128" s="89" t="str">
        <v>Conservacion Auditiva</v>
      </c>
      <c r="C2128" s="90" t="str">
        <v/>
      </c>
      <c r="D2128" s="89" t="str">
        <v>Periódica</v>
      </c>
      <c r="E2128" s="89">
        <v>365</v>
      </c>
      <c r="F2128" s="89" t="str">
        <v/>
      </c>
      <c r="G2128" s="89" t="str">
        <f ca="1"/>
        <v/>
      </c>
    </row>
    <row r="2129" spans="1:7" x14ac:dyDescent="0.3">
      <c r="A2129" s="89" t="str">
        <v/>
      </c>
      <c r="B2129" s="89" t="str">
        <v xml:space="preserve">Ergonomia //  / Levantamiento &amp; Seguridad en la Espalda </v>
      </c>
      <c r="C2129" s="90" t="str">
        <v/>
      </c>
      <c r="D2129" s="89" t="str">
        <v>Periódica</v>
      </c>
      <c r="E2129" s="89">
        <v>365</v>
      </c>
      <c r="F2129" s="89" t="str">
        <v/>
      </c>
      <c r="G2129" s="89" t="str">
        <f ca="1"/>
        <v/>
      </c>
    </row>
    <row r="2130" spans="1:7" x14ac:dyDescent="0.3">
      <c r="A2130" s="89" t="str">
        <v/>
      </c>
      <c r="B2130" s="89" t="str">
        <v>Superficies Elevadas (Todos)</v>
      </c>
      <c r="C2130" s="90" t="str">
        <v/>
      </c>
      <c r="D2130" s="89" t="str">
        <v>Periódica</v>
      </c>
      <c r="E2130" s="89">
        <v>365</v>
      </c>
      <c r="F2130" s="89" t="str">
        <v/>
      </c>
      <c r="G2130" s="89" t="str">
        <f ca="1"/>
        <v/>
      </c>
    </row>
    <row r="2131" spans="1:7" x14ac:dyDescent="0.3">
      <c r="A2131" s="89" t="str">
        <v/>
      </c>
      <c r="B2131" s="89" t="str">
        <v>Superficies Elevadas (Personal Habilitado)</v>
      </c>
      <c r="C2131" s="90" t="str">
        <v/>
      </c>
      <c r="D2131" s="89" t="str">
        <v>Periódica</v>
      </c>
      <c r="E2131" s="89">
        <v>365</v>
      </c>
      <c r="F2131" s="89" t="str">
        <v/>
      </c>
      <c r="G2131" s="89" t="str">
        <f ca="1"/>
        <v/>
      </c>
    </row>
    <row r="2132" spans="1:7" x14ac:dyDescent="0.3">
      <c r="A2132" s="89" t="str">
        <v/>
      </c>
      <c r="B2132" s="89" t="str">
        <v>Seguridad Quimica (Todos)</v>
      </c>
      <c r="C2132" s="90" t="str">
        <v/>
      </c>
      <c r="D2132" s="89" t="str">
        <v>Periódica</v>
      </c>
      <c r="E2132" s="89">
        <v>730</v>
      </c>
      <c r="F2132" s="89" t="str">
        <v/>
      </c>
      <c r="G2132" s="89" t="str">
        <f ca="1"/>
        <v/>
      </c>
    </row>
    <row r="2133" spans="1:7" x14ac:dyDescent="0.3">
      <c r="A2133" s="89" t="str">
        <v/>
      </c>
      <c r="B2133" s="89" t="str">
        <v>Seguridad Quimica (Mantenimiento)</v>
      </c>
      <c r="C2133" s="90" t="str">
        <v/>
      </c>
      <c r="D2133" s="89" t="str">
        <v>Periódica</v>
      </c>
      <c r="E2133" s="89">
        <v>365</v>
      </c>
      <c r="F2133" s="89" t="str">
        <v/>
      </c>
      <c r="G2133" s="89" t="str">
        <f ca="1"/>
        <v/>
      </c>
    </row>
    <row r="2134" spans="1:7" x14ac:dyDescent="0.3">
      <c r="A2134" s="89" t="str">
        <v/>
      </c>
      <c r="B2134" s="89" t="str">
        <v>Seguridad Quimica (Contratistas)</v>
      </c>
      <c r="C2134" s="90" t="str">
        <v/>
      </c>
      <c r="D2134" s="89" t="str">
        <v>Periódica</v>
      </c>
      <c r="E2134" s="89">
        <v>365</v>
      </c>
      <c r="F2134" s="89" t="str">
        <v/>
      </c>
      <c r="G2134" s="89" t="str">
        <f ca="1"/>
        <v/>
      </c>
    </row>
    <row r="2135" spans="1:7" x14ac:dyDescent="0.3">
      <c r="A2135" s="89" t="str">
        <v/>
      </c>
      <c r="B2135" s="89" t="str">
        <v>Seguridad para Trabajos en Caliente</v>
      </c>
      <c r="C2135" s="90" t="str">
        <v/>
      </c>
      <c r="D2135" s="89" t="str">
        <v>Periódica</v>
      </c>
      <c r="E2135" s="89">
        <v>365</v>
      </c>
      <c r="F2135" s="89" t="str">
        <v/>
      </c>
      <c r="G2135" s="89" t="str">
        <f ca="1"/>
        <v/>
      </c>
    </row>
    <row r="2136" spans="1:7" x14ac:dyDescent="0.3">
      <c r="A2136" s="89" t="str">
        <v/>
      </c>
      <c r="B2136" s="89" t="str">
        <v>Seguridad con la Radiacion</v>
      </c>
      <c r="C2136" s="90" t="str">
        <v/>
      </c>
      <c r="D2136" s="89" t="str">
        <v>Periódica</v>
      </c>
      <c r="E2136" s="89">
        <v>365</v>
      </c>
      <c r="F2136" s="89" t="str">
        <v/>
      </c>
      <c r="G2136" s="89" t="str">
        <f ca="1"/>
        <v/>
      </c>
    </row>
    <row r="2137" spans="1:7" x14ac:dyDescent="0.3">
      <c r="A2137" s="89" t="str">
        <v/>
      </c>
      <c r="B2137" s="89" t="str">
        <v>Equipo de Proteccion Personal (PPE)</v>
      </c>
      <c r="C2137" s="90" t="str">
        <v/>
      </c>
      <c r="D2137" s="89" t="str">
        <v>Periódica</v>
      </c>
      <c r="E2137" s="89">
        <v>365</v>
      </c>
      <c r="F2137" s="89" t="str">
        <v/>
      </c>
      <c r="G2137" s="89" t="str">
        <f ca="1"/>
        <v/>
      </c>
    </row>
    <row r="2138" spans="1:7" x14ac:dyDescent="0.3">
      <c r="A2138" s="89" t="str">
        <v/>
      </c>
      <c r="B2138" s="89" t="str">
        <v>Proteccion Respiratoria</v>
      </c>
      <c r="C2138" s="90" t="str">
        <v/>
      </c>
      <c r="D2138" s="89" t="str">
        <v>Periódica</v>
      </c>
      <c r="E2138" s="89">
        <v>365</v>
      </c>
      <c r="F2138" s="89" t="str">
        <v/>
      </c>
      <c r="G2138" s="89" t="str">
        <f ca="1"/>
        <v/>
      </c>
    </row>
    <row r="2139" spans="1:7" x14ac:dyDescent="0.3">
      <c r="A2139" s="89" t="str">
        <v/>
      </c>
      <c r="B2139" s="89" t="str">
        <v xml:space="preserve">Seguridad con Escaleras </v>
      </c>
      <c r="C2139" s="90" t="str">
        <v/>
      </c>
      <c r="D2139" s="89" t="str">
        <v>Periódica</v>
      </c>
      <c r="E2139" s="89">
        <v>365</v>
      </c>
      <c r="F2139" s="89" t="str">
        <v/>
      </c>
      <c r="G2139" s="89" t="str">
        <f ca="1"/>
        <v/>
      </c>
    </row>
    <row r="2140" spans="1:7" x14ac:dyDescent="0.3">
      <c r="A2140" s="89" t="str">
        <v/>
      </c>
      <c r="B2140" s="89" t="str">
        <v>Seguridad con Escaleras // Estantes de Almacenamiento</v>
      </c>
      <c r="C2140" s="90" t="str">
        <v/>
      </c>
      <c r="D2140" s="89" t="str">
        <v>Periódica</v>
      </c>
      <c r="E2140" s="89">
        <v>365</v>
      </c>
      <c r="F2140" s="89" t="str">
        <v/>
      </c>
      <c r="G2140" s="89" t="str">
        <f ca="1"/>
        <v/>
      </c>
    </row>
    <row r="2141" spans="1:7" x14ac:dyDescent="0.3">
      <c r="A2141" s="89" t="str">
        <v/>
      </c>
      <c r="B2141" s="89" t="str">
        <v>Responsabilidades del Supervisor</v>
      </c>
      <c r="C2141" s="90" t="str">
        <v/>
      </c>
      <c r="D2141" s="89" t="str">
        <v>Periódica</v>
      </c>
      <c r="E2141" s="89">
        <v>365</v>
      </c>
      <c r="F2141" s="89" t="str">
        <v/>
      </c>
      <c r="G2141" s="89" t="str">
        <f ca="1"/>
        <v/>
      </c>
    </row>
    <row r="2142" spans="1:7" x14ac:dyDescent="0.3">
      <c r="A2142" s="89" t="str">
        <v/>
      </c>
      <c r="B2142" s="89" t="str">
        <v>Espacios Confinados (Todos)</v>
      </c>
      <c r="C2142" s="90" t="str">
        <v/>
      </c>
      <c r="D2142" s="89" t="str">
        <v>Periódica</v>
      </c>
      <c r="E2142" s="89">
        <v>365</v>
      </c>
      <c r="F2142" s="89" t="str">
        <v/>
      </c>
      <c r="G2142" s="89" t="str">
        <f ca="1"/>
        <v/>
      </c>
    </row>
    <row r="2143" spans="1:7" x14ac:dyDescent="0.3">
      <c r="A2143" s="89" t="str">
        <v/>
      </c>
      <c r="B2143" s="89" t="str">
        <v>HSMS.017 / Espacios Confinados (Entrantes)</v>
      </c>
      <c r="C2143" s="90" t="str">
        <v/>
      </c>
      <c r="D2143" s="89" t="str">
        <v>Evento</v>
      </c>
      <c r="E2143" s="89">
        <v>0</v>
      </c>
      <c r="F2143" s="89" t="str">
        <v/>
      </c>
      <c r="G2143" s="89" t="str">
        <f ca="1"/>
        <v/>
      </c>
    </row>
    <row r="2144" spans="1:7" x14ac:dyDescent="0.3">
      <c r="A2144" s="89" t="str">
        <v/>
      </c>
      <c r="B2144" s="89" t="str">
        <v>Programa de Agua (Todos)</v>
      </c>
      <c r="C2144" s="90" t="str">
        <v/>
      </c>
      <c r="D2144" s="89" t="str">
        <v>Evento</v>
      </c>
      <c r="E2144" s="89">
        <v>0</v>
      </c>
      <c r="F2144" s="89" t="str">
        <v/>
      </c>
      <c r="G2144" s="89" t="str">
        <f ca="1"/>
        <v/>
      </c>
    </row>
    <row r="2145" spans="1:7" x14ac:dyDescent="0.3">
      <c r="A2145" s="89" t="str">
        <v/>
      </c>
      <c r="B2145" s="89" t="str">
        <v>Programa de Agua (HSE)</v>
      </c>
      <c r="C2145" s="90" t="str">
        <v/>
      </c>
      <c r="D2145" s="89" t="str">
        <v>Evento</v>
      </c>
      <c r="E2145" s="89">
        <v>0</v>
      </c>
      <c r="F2145" s="89" t="str">
        <v/>
      </c>
      <c r="G2145" s="89" t="str">
        <f ca="1"/>
        <v/>
      </c>
    </row>
    <row r="2146" spans="1:7" x14ac:dyDescent="0.3">
      <c r="A2146" s="89" t="str">
        <v/>
      </c>
      <c r="B2146" s="89" t="str">
        <v>HIV/SIDA y otras enfermedades de transmisión sexual (ETS)</v>
      </c>
      <c r="C2146" s="90" t="str">
        <v/>
      </c>
      <c r="D2146" s="89" t="str">
        <v>Periódica</v>
      </c>
      <c r="E2146" s="89">
        <v>365</v>
      </c>
      <c r="F2146" s="89" t="str">
        <v/>
      </c>
      <c r="G2146" s="89" t="str">
        <f ca="1"/>
        <v/>
      </c>
    </row>
    <row r="2147" spans="1:7" x14ac:dyDescent="0.3">
      <c r="A2147" s="89" t="str">
        <v/>
      </c>
      <c r="B2147" s="89" t="str">
        <v>Drogas de abuso (concientización y prevención)</v>
      </c>
      <c r="C2147" s="90" t="str">
        <v/>
      </c>
      <c r="D2147" s="89" t="str">
        <v>Periódica</v>
      </c>
      <c r="E2147" s="89">
        <v>365</v>
      </c>
      <c r="F2147" s="89" t="str">
        <v/>
      </c>
      <c r="G2147" s="89" t="str">
        <f ca="1"/>
        <v/>
      </c>
    </row>
    <row r="2148" spans="1:7" x14ac:dyDescent="0.3">
      <c r="A2148" s="89" t="str">
        <v/>
      </c>
      <c r="B2148" s="89" t="str">
        <v>Vida saludable (hábitos, autocuidado y bienestar)</v>
      </c>
      <c r="C2148" s="90" t="str">
        <v/>
      </c>
      <c r="D2148" s="89" t="str">
        <v>Periódica</v>
      </c>
      <c r="E2148" s="89">
        <v>365</v>
      </c>
      <c r="F2148" s="89" t="str">
        <v/>
      </c>
      <c r="G2148" s="89" t="str">
        <f ca="1"/>
        <v/>
      </c>
    </row>
    <row r="2149" spans="1:7" x14ac:dyDescent="0.3">
      <c r="A2149" s="89" t="str">
        <v/>
      </c>
      <c r="B2149" s="89" t="str">
        <v>Primeros auxilios y Reanimación Cardio Pulmonar (RCP)</v>
      </c>
      <c r="C2149" s="90" t="str">
        <v/>
      </c>
      <c r="D2149" s="89" t="str">
        <v>Periódica</v>
      </c>
      <c r="E2149" s="89">
        <v>365</v>
      </c>
      <c r="F2149" s="89" t="str">
        <v/>
      </c>
      <c r="G2149" s="89" t="str">
        <f ca="1"/>
        <v/>
      </c>
    </row>
    <row r="2150" spans="1:7" x14ac:dyDescent="0.3">
      <c r="A2150" s="89" t="str">
        <v/>
      </c>
      <c r="B2150" s="89" t="str">
        <v>Prevención cardiovascular (factores de riesgo y señales de alarma)</v>
      </c>
      <c r="C2150" s="90" t="str">
        <v/>
      </c>
      <c r="D2150" s="89" t="str">
        <v>Periódica</v>
      </c>
      <c r="E2150" s="89">
        <v>365</v>
      </c>
      <c r="F2150" s="89" t="str">
        <v/>
      </c>
      <c r="G2150" s="89" t="str">
        <f ca="1"/>
        <v/>
      </c>
    </row>
    <row r="2151" spans="1:7" x14ac:dyDescent="0.3">
      <c r="A2151" s="89" t="str">
        <v/>
      </c>
      <c r="B2151" s="89" t="str">
        <v>Efectos del tabaco sobre la salud</v>
      </c>
      <c r="C2151" s="90" t="str">
        <v/>
      </c>
      <c r="D2151" s="89" t="str">
        <v>Periódica</v>
      </c>
      <c r="E2151" s="89">
        <v>365</v>
      </c>
      <c r="F2151" s="89" t="str">
        <v/>
      </c>
      <c r="G2151" s="89" t="str">
        <f ca="1"/>
        <v/>
      </c>
    </row>
    <row r="2152" spans="1:7" x14ac:dyDescent="0.3">
      <c r="A2152" s="89" t="str">
        <v/>
      </c>
      <c r="B2152" s="89" t="str">
        <v>Cargadora (Op. Montacargas)</v>
      </c>
      <c r="C2152" s="90" t="str">
        <v/>
      </c>
      <c r="D2152" s="89" t="str">
        <v>Periódica</v>
      </c>
      <c r="E2152" s="89">
        <v>365</v>
      </c>
      <c r="F2152" s="89" t="str">
        <v/>
      </c>
      <c r="G2152" s="89" t="str">
        <f ca="1"/>
        <v/>
      </c>
    </row>
    <row r="2153" spans="1:7" x14ac:dyDescent="0.3">
      <c r="A2153" s="89" t="str">
        <v/>
      </c>
      <c r="B2153" s="89">
        <v>0</v>
      </c>
      <c r="C2153" s="90" t="str">
        <v/>
      </c>
      <c r="D2153" s="89" t="str">
        <v/>
      </c>
      <c r="E2153" s="89" t="str">
        <v/>
      </c>
      <c r="F2153" s="89" t="str">
        <v/>
      </c>
      <c r="G2153" s="89" t="str">
        <f ca="1"/>
        <v/>
      </c>
    </row>
    <row r="2154" spans="1:7" x14ac:dyDescent="0.3">
      <c r="A2154" s="89" t="str">
        <v/>
      </c>
      <c r="B2154" s="89">
        <v>0</v>
      </c>
      <c r="C2154" s="90" t="str">
        <v/>
      </c>
      <c r="D2154" s="89" t="str">
        <v/>
      </c>
      <c r="E2154" s="89" t="str">
        <v/>
      </c>
      <c r="F2154" s="89" t="str">
        <v/>
      </c>
      <c r="G2154" s="89" t="str">
        <f ca="1"/>
        <v/>
      </c>
    </row>
    <row r="2155" spans="1:7" x14ac:dyDescent="0.3">
      <c r="A2155" s="89" t="str">
        <v/>
      </c>
      <c r="B2155" s="89">
        <v>0</v>
      </c>
      <c r="C2155" s="90" t="str">
        <v/>
      </c>
      <c r="D2155" s="89" t="str">
        <v/>
      </c>
      <c r="E2155" s="89" t="str">
        <v/>
      </c>
      <c r="F2155" s="89" t="str">
        <v/>
      </c>
      <c r="G2155" s="89" t="str">
        <f ca="1"/>
        <v/>
      </c>
    </row>
    <row r="2156" spans="1:7" x14ac:dyDescent="0.3">
      <c r="A2156" s="89" t="str">
        <v/>
      </c>
      <c r="B2156" s="89">
        <v>0</v>
      </c>
      <c r="C2156" s="90" t="str">
        <v/>
      </c>
      <c r="D2156" s="89" t="str">
        <v/>
      </c>
      <c r="E2156" s="89" t="str">
        <v/>
      </c>
      <c r="F2156" s="89" t="str">
        <v/>
      </c>
      <c r="G2156" s="89" t="str">
        <f ca="1"/>
        <v/>
      </c>
    </row>
    <row r="2157" spans="1:7" x14ac:dyDescent="0.3">
      <c r="A2157" s="89" t="str">
        <v/>
      </c>
      <c r="B2157" s="89">
        <v>0</v>
      </c>
      <c r="C2157" s="90" t="str">
        <v/>
      </c>
      <c r="D2157" s="89" t="str">
        <v/>
      </c>
      <c r="E2157" s="89" t="str">
        <v/>
      </c>
      <c r="F2157" s="89" t="str">
        <v/>
      </c>
      <c r="G2157" s="89" t="str">
        <f ca="1"/>
        <v/>
      </c>
    </row>
    <row r="2158" spans="1:7" x14ac:dyDescent="0.3">
      <c r="A2158" s="89" t="str">
        <v/>
      </c>
      <c r="B2158" s="89">
        <v>0</v>
      </c>
      <c r="C2158" s="90" t="str">
        <v/>
      </c>
      <c r="D2158" s="89" t="str">
        <v/>
      </c>
      <c r="E2158" s="89" t="str">
        <v/>
      </c>
      <c r="F2158" s="89" t="str">
        <v/>
      </c>
      <c r="G2158" s="89" t="str">
        <f ca="1"/>
        <v/>
      </c>
    </row>
    <row r="2159" spans="1:7" x14ac:dyDescent="0.3">
      <c r="A2159" s="89" t="str">
        <v/>
      </c>
      <c r="B2159" s="89">
        <v>0</v>
      </c>
      <c r="C2159" s="90" t="str">
        <v/>
      </c>
      <c r="D2159" s="89" t="str">
        <v/>
      </c>
      <c r="E2159" s="89" t="str">
        <v/>
      </c>
      <c r="F2159" s="89" t="str">
        <v/>
      </c>
      <c r="G2159" s="89" t="str">
        <f ca="1"/>
        <v/>
      </c>
    </row>
    <row r="2160" spans="1:7" x14ac:dyDescent="0.3">
      <c r="A2160" s="89" t="str">
        <v/>
      </c>
      <c r="B2160" s="89">
        <v>0</v>
      </c>
      <c r="C2160" s="90" t="str">
        <v/>
      </c>
      <c r="D2160" s="89" t="str">
        <v/>
      </c>
      <c r="E2160" s="89" t="str">
        <v/>
      </c>
      <c r="F2160" s="89" t="str">
        <v/>
      </c>
      <c r="G2160" s="89" t="str">
        <f ca="1"/>
        <v/>
      </c>
    </row>
    <row r="2161" spans="1:7" x14ac:dyDescent="0.3">
      <c r="A2161" s="89" t="str">
        <v/>
      </c>
      <c r="B2161" s="89">
        <v>0</v>
      </c>
      <c r="C2161" s="90" t="str">
        <v/>
      </c>
      <c r="D2161" s="89" t="str">
        <v/>
      </c>
      <c r="E2161" s="89" t="str">
        <v/>
      </c>
      <c r="F2161" s="89" t="str">
        <v/>
      </c>
      <c r="G2161" s="89" t="str">
        <f ca="1"/>
        <v/>
      </c>
    </row>
    <row r="2162" spans="1:7" x14ac:dyDescent="0.3">
      <c r="A2162" s="89" t="str">
        <v/>
      </c>
      <c r="B2162" s="89" t="str">
        <v>Programa de Aire</v>
      </c>
      <c r="C2162" s="90" t="str">
        <v/>
      </c>
      <c r="D2162" s="89" t="str">
        <v>Evento</v>
      </c>
      <c r="E2162" s="89">
        <v>0</v>
      </c>
      <c r="F2162" s="89" t="str">
        <v/>
      </c>
      <c r="G2162" s="89" t="str">
        <f ca="1"/>
        <v/>
      </c>
    </row>
    <row r="2163" spans="1:7" x14ac:dyDescent="0.3">
      <c r="A2163" s="89" t="str">
        <v/>
      </c>
      <c r="B2163" s="89" t="str">
        <v>Conciencia Ambiental</v>
      </c>
      <c r="C2163" s="90" t="str">
        <v/>
      </c>
      <c r="D2163" s="89" t="str">
        <v>Periódica</v>
      </c>
      <c r="E2163" s="89">
        <v>365</v>
      </c>
      <c r="F2163" s="89" t="str">
        <v/>
      </c>
      <c r="G2163" s="89" t="str">
        <f ca="1"/>
        <v/>
      </c>
    </row>
    <row r="2164" spans="1:7" x14ac:dyDescent="0.3">
      <c r="A2164" s="89" t="str">
        <v/>
      </c>
      <c r="B2164" s="89" t="str">
        <v xml:space="preserve">Control de Documentos e Informacion de HSE </v>
      </c>
      <c r="C2164" s="90" t="str">
        <v/>
      </c>
      <c r="D2164" s="89" t="str">
        <v>Evento</v>
      </c>
      <c r="E2164" s="89">
        <v>0</v>
      </c>
      <c r="F2164" s="89" t="str">
        <v/>
      </c>
      <c r="G2164" s="89" t="str">
        <f ca="1"/>
        <v/>
      </c>
    </row>
    <row r="2165" spans="1:7" x14ac:dyDescent="0.3">
      <c r="A2165" s="89" t="str">
        <v/>
      </c>
      <c r="B2165" s="89" t="str">
        <v xml:space="preserve"> Acciones Correctivas y Preventivas (CAPA)</v>
      </c>
      <c r="C2165" s="90" t="str">
        <v/>
      </c>
      <c r="D2165" s="89" t="str">
        <v>Evento</v>
      </c>
      <c r="E2165" s="89">
        <v>0</v>
      </c>
      <c r="F2165" s="89" t="str">
        <v/>
      </c>
      <c r="G2165" s="89" t="str">
        <f ca="1"/>
        <v/>
      </c>
    </row>
    <row r="2166" spans="1:7" x14ac:dyDescent="0.3">
      <c r="A2166" s="89" t="str">
        <v/>
      </c>
      <c r="B2166" s="89" t="str">
        <v>Seguridad Basada en el Comportamiento (Observation Program) // HSMS.043 / Autoridad de Detener el Trabajo</v>
      </c>
      <c r="C2166" s="90" t="str">
        <v/>
      </c>
      <c r="D2166" s="89" t="str">
        <v>Periódica</v>
      </c>
      <c r="E2166" s="89">
        <v>365</v>
      </c>
      <c r="F2166" s="89" t="str">
        <v/>
      </c>
      <c r="G2166" s="89" t="str">
        <f ca="1"/>
        <v/>
      </c>
    </row>
    <row r="2167" spans="1:7" x14ac:dyDescent="0.3">
      <c r="A2167" s="89" t="str">
        <v/>
      </c>
      <c r="B2167" s="89" t="str">
        <v>Identificacion de Peligros y Evaluacion de Riesgos</v>
      </c>
      <c r="C2167" s="90" t="str">
        <v/>
      </c>
      <c r="D2167" s="89" t="str">
        <v>Evento</v>
      </c>
      <c r="E2167" s="89">
        <v>0</v>
      </c>
      <c r="F2167" s="89" t="str">
        <v/>
      </c>
      <c r="G2167" s="89" t="str">
        <f ca="1"/>
        <v/>
      </c>
    </row>
    <row r="2168" spans="1:7" x14ac:dyDescent="0.3">
      <c r="A2168" s="89" t="str">
        <v/>
      </c>
      <c r="B2168" s="89" t="str">
        <v xml:space="preserve"> Plan de Respuesta ante Eemergencias / HSMS.010 /Primeros Axulios &amp; RCP/DEA / HSMSWT-002 / Patogenos Trasnmitidos por la Sangre</v>
      </c>
      <c r="C2168" s="90" t="str">
        <v/>
      </c>
      <c r="D2168" s="89" t="str">
        <v>Periódica</v>
      </c>
      <c r="E2168" s="89">
        <v>365</v>
      </c>
      <c r="F2168" s="89" t="str">
        <v/>
      </c>
      <c r="G2168" s="89" t="str">
        <f ca="1"/>
        <v/>
      </c>
    </row>
    <row r="2169" spans="1:7" x14ac:dyDescent="0.3">
      <c r="A2169" s="89" t="str">
        <v/>
      </c>
      <c r="B2169" s="89" t="str">
        <v>Reporte y Gestion de Incidentes HSE (Todos)</v>
      </c>
      <c r="C2169" s="90" t="str">
        <v/>
      </c>
      <c r="D2169" s="89" t="str">
        <v>Periódica</v>
      </c>
      <c r="E2169" s="89">
        <v>365</v>
      </c>
      <c r="F2169" s="89" t="str">
        <v/>
      </c>
      <c r="G2169" s="89" t="str">
        <f ca="1"/>
        <v/>
      </c>
    </row>
    <row r="2170" spans="1:7" x14ac:dyDescent="0.3">
      <c r="A2170" s="89" t="str">
        <v/>
      </c>
      <c r="B2170" s="89" t="str">
        <v>Reporte, Gestion e Investigacion de Incidentes HSE (supervisores / investigadores (rol))</v>
      </c>
      <c r="C2170" s="90" t="str">
        <v/>
      </c>
      <c r="D2170" s="89" t="str">
        <v>Periódica</v>
      </c>
      <c r="E2170" s="89">
        <v>1095</v>
      </c>
      <c r="F2170" s="89" t="str">
        <v/>
      </c>
      <c r="G2170" s="89" t="str">
        <f ca="1"/>
        <v/>
      </c>
    </row>
    <row r="2171" spans="1:7" x14ac:dyDescent="0.3">
      <c r="A2171" s="89" t="str">
        <v/>
      </c>
      <c r="B2171" s="89" t="str">
        <v>Gruas y Equipos de Izaje (Todos)</v>
      </c>
      <c r="C2171" s="90" t="str">
        <v/>
      </c>
      <c r="D2171" s="89" t="str">
        <v>Periódica</v>
      </c>
      <c r="E2171" s="89">
        <v>365</v>
      </c>
      <c r="F2171" s="89" t="str">
        <v/>
      </c>
      <c r="G2171" s="89" t="str">
        <f ca="1"/>
        <v/>
      </c>
    </row>
    <row r="2172" spans="1:7" x14ac:dyDescent="0.3">
      <c r="A2172" s="89" t="str">
        <v/>
      </c>
      <c r="B2172" s="89" t="str">
        <v>HSMS.007 / Gruas y Equipos de Izaje (Operadores)</v>
      </c>
      <c r="C2172" s="90" t="str">
        <v/>
      </c>
      <c r="D2172" s="89" t="str">
        <v>Periódica</v>
      </c>
      <c r="E2172" s="89">
        <v>365</v>
      </c>
      <c r="F2172" s="89" t="str">
        <v/>
      </c>
      <c r="G2172" s="89" t="str">
        <f ca="1"/>
        <v/>
      </c>
    </row>
    <row r="2173" spans="1:7" x14ac:dyDescent="0.3">
      <c r="A2173" s="89" t="str">
        <v/>
      </c>
      <c r="B2173" s="89" t="str">
        <v>Proteccion Contra Incendios (Todos)</v>
      </c>
      <c r="C2173" s="90" t="str">
        <v/>
      </c>
      <c r="D2173" s="89" t="str">
        <v>Periódica</v>
      </c>
      <c r="E2173" s="89">
        <v>365</v>
      </c>
      <c r="F2173" s="89" t="str">
        <v/>
      </c>
      <c r="G2173" s="89" t="str">
        <f ca="1"/>
        <v/>
      </c>
    </row>
    <row r="2174" spans="1:7" x14ac:dyDescent="0.3">
      <c r="A2174" s="89" t="str">
        <v/>
      </c>
      <c r="B2174" s="89" t="str">
        <v>Proteccion Contra Incendios (Brigadistas)</v>
      </c>
      <c r="C2174" s="90" t="str">
        <v/>
      </c>
      <c r="D2174" s="89" t="str">
        <v>Periódica</v>
      </c>
      <c r="E2174" s="89">
        <v>365</v>
      </c>
      <c r="F2174" s="89" t="str">
        <v/>
      </c>
      <c r="G2174" s="89" t="str">
        <f ca="1"/>
        <v/>
      </c>
    </row>
    <row r="2175" spans="1:7" x14ac:dyDescent="0.3">
      <c r="A2175" s="89" t="str">
        <v/>
      </c>
      <c r="B2175" s="89" t="str">
        <v>Primeros Auxilios (Brigadistas)</v>
      </c>
      <c r="C2175" s="90" t="str">
        <v/>
      </c>
      <c r="D2175" s="89" t="str">
        <v>Periódica</v>
      </c>
      <c r="E2175" s="89">
        <v>365</v>
      </c>
      <c r="F2175" s="89" t="str">
        <v/>
      </c>
      <c r="G2175" s="89" t="str">
        <f ca="1"/>
        <v/>
      </c>
    </row>
    <row r="2176" spans="1:7" x14ac:dyDescent="0.3">
      <c r="A2176" s="89" t="str">
        <v/>
      </c>
      <c r="B2176" s="89" t="str">
        <v>Seguridad Electrica (Todos)</v>
      </c>
      <c r="C2176" s="90" t="str">
        <v/>
      </c>
      <c r="D2176" s="89" t="str">
        <v>Periódica</v>
      </c>
      <c r="E2176" s="89">
        <v>365</v>
      </c>
      <c r="F2176" s="89" t="str">
        <v/>
      </c>
      <c r="G2176" s="89" t="str">
        <f ca="1"/>
        <v/>
      </c>
    </row>
    <row r="2177" spans="1:7" x14ac:dyDescent="0.3">
      <c r="A2177" s="89" t="str">
        <v/>
      </c>
      <c r="B2177" s="89" t="str">
        <v>Seguridad Electrica (Personal Autorizado)</v>
      </c>
      <c r="C2177" s="90" t="str">
        <v/>
      </c>
      <c r="D2177" s="89" t="str">
        <v>Periódica</v>
      </c>
      <c r="E2177" s="89">
        <v>1095</v>
      </c>
      <c r="F2177" s="89" t="str">
        <v/>
      </c>
      <c r="G2177" s="89" t="str">
        <f ca="1"/>
        <v/>
      </c>
    </row>
    <row r="2178" spans="1:7" x14ac:dyDescent="0.3">
      <c r="A2178" s="89" t="str">
        <v/>
      </c>
      <c r="B2178" s="89" t="str">
        <v>Camiones Industriales Motorizados (PIT) (Todos)</v>
      </c>
      <c r="C2178" s="90" t="str">
        <v/>
      </c>
      <c r="D2178" s="89" t="str">
        <v>Periódica</v>
      </c>
      <c r="E2178" s="89">
        <v>365</v>
      </c>
      <c r="F2178" s="89" t="str">
        <v/>
      </c>
      <c r="G2178" s="89" t="str">
        <f ca="1"/>
        <v/>
      </c>
    </row>
    <row r="2179" spans="1:7" x14ac:dyDescent="0.3">
      <c r="A2179" s="89" t="str">
        <v/>
      </c>
      <c r="B2179" s="89" t="str">
        <v>Camiones Industriales Motorizados (PIT) (Op. Montacargas)</v>
      </c>
      <c r="C2179" s="90" t="str">
        <v/>
      </c>
      <c r="D2179" s="89" t="str">
        <v>Periódica</v>
      </c>
      <c r="E2179" s="89">
        <v>365</v>
      </c>
      <c r="F2179" s="89" t="str">
        <v/>
      </c>
      <c r="G2179" s="89" t="str">
        <f ca="1"/>
        <v/>
      </c>
    </row>
    <row r="2180" spans="1:7" x14ac:dyDescent="0.3">
      <c r="A2180" s="89" t="str">
        <v/>
      </c>
      <c r="B2180" s="89" t="str">
        <v>Control de Energias Peligrosas (LOTO) (Todos)</v>
      </c>
      <c r="C2180" s="90" t="str">
        <v/>
      </c>
      <c r="D2180" s="89" t="str">
        <v>Evento</v>
      </c>
      <c r="E2180" s="89">
        <v>0</v>
      </c>
      <c r="F2180" s="89" t="str">
        <v/>
      </c>
      <c r="G2180" s="89" t="str">
        <f ca="1"/>
        <v/>
      </c>
    </row>
    <row r="2181" spans="1:7" x14ac:dyDescent="0.3">
      <c r="A2181" s="89" t="str">
        <v/>
      </c>
      <c r="B2181" s="89" t="str">
        <v>Control de Energias Peligrosas (LOTO) (Empleados Autorizados)</v>
      </c>
      <c r="C2181" s="90" t="str">
        <v/>
      </c>
      <c r="D2181" s="89" t="str">
        <v>Periódica</v>
      </c>
      <c r="E2181" s="89">
        <v>365</v>
      </c>
      <c r="F2181" s="89" t="str">
        <v/>
      </c>
      <c r="G2181" s="89" t="str">
        <f ca="1"/>
        <v/>
      </c>
    </row>
    <row r="2182" spans="1:7" x14ac:dyDescent="0.3">
      <c r="A2182" s="89" t="str">
        <v/>
      </c>
      <c r="B2182" s="89" t="str">
        <v>Seguridad aplicada al Pozo &amp; Yacimiento</v>
      </c>
      <c r="C2182" s="90" t="str">
        <v/>
      </c>
      <c r="D2182" s="89" t="str">
        <v>Periódica</v>
      </c>
      <c r="E2182" s="89">
        <v>365</v>
      </c>
      <c r="F2182" s="89" t="str">
        <v/>
      </c>
      <c r="G2182" s="89" t="str">
        <f ca="1"/>
        <v/>
      </c>
    </row>
    <row r="2183" spans="1:7" x14ac:dyDescent="0.3">
      <c r="A2183" s="89" t="str">
        <v/>
      </c>
      <c r="B2183" s="89" t="str">
        <v>Las Reglas que Salvan Vidas</v>
      </c>
      <c r="C2183" s="90" t="str">
        <v/>
      </c>
      <c r="D2183" s="89" t="str">
        <v>Periódica</v>
      </c>
      <c r="E2183" s="89">
        <v>365</v>
      </c>
      <c r="F2183" s="89" t="str">
        <v/>
      </c>
      <c r="G2183" s="89" t="str">
        <f ca="1"/>
        <v/>
      </c>
    </row>
    <row r="2184" spans="1:7" x14ac:dyDescent="0.3">
      <c r="A2184" s="89" t="str">
        <v/>
      </c>
      <c r="B2184" s="89" t="str">
        <v xml:space="preserve">Resguardo de Maquinas &amp; Equipos </v>
      </c>
      <c r="C2184" s="90" t="str">
        <v/>
      </c>
      <c r="D2184" s="89" t="str">
        <v>Periódica</v>
      </c>
      <c r="E2184" s="89">
        <v>365</v>
      </c>
      <c r="F2184" s="89" t="str">
        <v/>
      </c>
      <c r="G2184" s="89" t="str">
        <f ca="1"/>
        <v/>
      </c>
    </row>
    <row r="2185" spans="1:7" x14ac:dyDescent="0.3">
      <c r="A2185" s="89" t="str">
        <v/>
      </c>
      <c r="B2185" s="89" t="str">
        <v>Conduccion y Gestion de Viajes (Todos)</v>
      </c>
      <c r="C2185" s="90" t="str">
        <v/>
      </c>
      <c r="D2185" s="89" t="str">
        <v>Periódica</v>
      </c>
      <c r="E2185" s="89">
        <v>730</v>
      </c>
      <c r="F2185" s="89" t="str">
        <v/>
      </c>
      <c r="G2185" s="89" t="str">
        <f ca="1"/>
        <v/>
      </c>
    </row>
    <row r="2186" spans="1:7" x14ac:dyDescent="0.3">
      <c r="A2186" s="89" t="str">
        <v/>
      </c>
      <c r="B2186" s="89" t="str">
        <v>Conduccion y Gestion de Viajes (Conductores)</v>
      </c>
      <c r="C2186" s="90" t="str">
        <v/>
      </c>
      <c r="D2186" s="89" t="str">
        <v>Periódica</v>
      </c>
      <c r="E2186" s="89">
        <v>1095</v>
      </c>
      <c r="F2186" s="89" t="str">
        <v/>
      </c>
      <c r="G2186" s="89" t="str">
        <f ca="1"/>
        <v/>
      </c>
    </row>
    <row r="2187" spans="1:7" x14ac:dyDescent="0.3">
      <c r="A2187" s="89" t="str">
        <v/>
      </c>
      <c r="B2187" s="89" t="str">
        <v>Patogenos Transmitidos por la Sangre</v>
      </c>
      <c r="C2187" s="90" t="str">
        <v/>
      </c>
      <c r="D2187" s="89" t="str">
        <v>Periódica</v>
      </c>
      <c r="E2187" s="89">
        <v>365</v>
      </c>
      <c r="F2187" s="89" t="str">
        <v/>
      </c>
      <c r="G2187" s="89" t="str">
        <f ca="1"/>
        <v/>
      </c>
    </row>
    <row r="2188" spans="1:7" x14ac:dyDescent="0.3">
      <c r="A2188" s="89" t="str">
        <v/>
      </c>
      <c r="B2188" s="89" t="str">
        <v>Conservacion Auditiva</v>
      </c>
      <c r="C2188" s="90" t="str">
        <v/>
      </c>
      <c r="D2188" s="89" t="str">
        <v>Periódica</v>
      </c>
      <c r="E2188" s="89">
        <v>365</v>
      </c>
      <c r="F2188" s="89" t="str">
        <v/>
      </c>
      <c r="G2188" s="89" t="str">
        <f ca="1"/>
        <v/>
      </c>
    </row>
    <row r="2189" spans="1:7" x14ac:dyDescent="0.3">
      <c r="A2189" s="89" t="str">
        <v/>
      </c>
      <c r="B2189" s="89" t="str">
        <v xml:space="preserve">Ergonomia //  / Levantamiento &amp; Seguridad en la Espalda </v>
      </c>
      <c r="C2189" s="90" t="str">
        <v/>
      </c>
      <c r="D2189" s="89" t="str">
        <v>Periódica</v>
      </c>
      <c r="E2189" s="89">
        <v>365</v>
      </c>
      <c r="F2189" s="89" t="str">
        <v/>
      </c>
      <c r="G2189" s="89" t="str">
        <f ca="1"/>
        <v/>
      </c>
    </row>
    <row r="2190" spans="1:7" x14ac:dyDescent="0.3">
      <c r="A2190" s="89" t="str">
        <v/>
      </c>
      <c r="B2190" s="89" t="str">
        <v>Superficies Elevadas (Todos)</v>
      </c>
      <c r="C2190" s="90" t="str">
        <v/>
      </c>
      <c r="D2190" s="89" t="str">
        <v>Periódica</v>
      </c>
      <c r="E2190" s="89">
        <v>365</v>
      </c>
      <c r="F2190" s="89" t="str">
        <v/>
      </c>
      <c r="G2190" s="89" t="str">
        <f ca="1"/>
        <v/>
      </c>
    </row>
    <row r="2191" spans="1:7" x14ac:dyDescent="0.3">
      <c r="A2191" s="89" t="str">
        <v/>
      </c>
      <c r="B2191" s="89" t="str">
        <v>Superficies Elevadas (Personal Habilitado)</v>
      </c>
      <c r="C2191" s="90" t="str">
        <v/>
      </c>
      <c r="D2191" s="89" t="str">
        <v>Periódica</v>
      </c>
      <c r="E2191" s="89">
        <v>365</v>
      </c>
      <c r="F2191" s="89" t="str">
        <v/>
      </c>
      <c r="G2191" s="89" t="str">
        <f ca="1"/>
        <v/>
      </c>
    </row>
    <row r="2192" spans="1:7" x14ac:dyDescent="0.3">
      <c r="A2192" s="89" t="str">
        <v/>
      </c>
      <c r="B2192" s="89" t="str">
        <v>Seguridad Quimica (Todos)</v>
      </c>
      <c r="C2192" s="90" t="str">
        <v/>
      </c>
      <c r="D2192" s="89" t="str">
        <v>Periódica</v>
      </c>
      <c r="E2192" s="89">
        <v>730</v>
      </c>
      <c r="F2192" s="89" t="str">
        <v/>
      </c>
      <c r="G2192" s="89" t="str">
        <f ca="1"/>
        <v/>
      </c>
    </row>
    <row r="2193" spans="1:7" x14ac:dyDescent="0.3">
      <c r="A2193" s="89" t="str">
        <v/>
      </c>
      <c r="B2193" s="89" t="str">
        <v>Seguridad Quimica (Mantenimiento)</v>
      </c>
      <c r="C2193" s="90" t="str">
        <v/>
      </c>
      <c r="D2193" s="89" t="str">
        <v>Periódica</v>
      </c>
      <c r="E2193" s="89">
        <v>365</v>
      </c>
      <c r="F2193" s="89" t="str">
        <v/>
      </c>
      <c r="G2193" s="89" t="str">
        <f ca="1"/>
        <v/>
      </c>
    </row>
    <row r="2194" spans="1:7" x14ac:dyDescent="0.3">
      <c r="A2194" s="89" t="str">
        <v/>
      </c>
      <c r="B2194" s="89" t="str">
        <v>Seguridad Quimica (Contratistas)</v>
      </c>
      <c r="C2194" s="90" t="str">
        <v/>
      </c>
      <c r="D2194" s="89" t="str">
        <v>Periódica</v>
      </c>
      <c r="E2194" s="89">
        <v>365</v>
      </c>
      <c r="F2194" s="89" t="str">
        <v/>
      </c>
      <c r="G2194" s="89" t="str">
        <f ca="1"/>
        <v/>
      </c>
    </row>
    <row r="2195" spans="1:7" x14ac:dyDescent="0.3">
      <c r="A2195" s="89" t="str">
        <v/>
      </c>
      <c r="B2195" s="89" t="str">
        <v>Seguridad para Trabajos en Caliente</v>
      </c>
      <c r="C2195" s="90" t="str">
        <v/>
      </c>
      <c r="D2195" s="89" t="str">
        <v>Periódica</v>
      </c>
      <c r="E2195" s="89">
        <v>365</v>
      </c>
      <c r="F2195" s="89" t="str">
        <v/>
      </c>
      <c r="G2195" s="89" t="str">
        <f ca="1"/>
        <v/>
      </c>
    </row>
    <row r="2196" spans="1:7" x14ac:dyDescent="0.3">
      <c r="A2196" s="89" t="str">
        <v/>
      </c>
      <c r="B2196" s="89" t="str">
        <v>Seguridad con la Radiacion</v>
      </c>
      <c r="C2196" s="90" t="str">
        <v/>
      </c>
      <c r="D2196" s="89" t="str">
        <v>Periódica</v>
      </c>
      <c r="E2196" s="89">
        <v>365</v>
      </c>
      <c r="F2196" s="89" t="str">
        <v/>
      </c>
      <c r="G2196" s="89" t="str">
        <f ca="1"/>
        <v/>
      </c>
    </row>
    <row r="2197" spans="1:7" x14ac:dyDescent="0.3">
      <c r="A2197" s="89" t="str">
        <v/>
      </c>
      <c r="B2197" s="89" t="str">
        <v>Equipo de Proteccion Personal (PPE)</v>
      </c>
      <c r="C2197" s="90" t="str">
        <v/>
      </c>
      <c r="D2197" s="89" t="str">
        <v>Periódica</v>
      </c>
      <c r="E2197" s="89">
        <v>365</v>
      </c>
      <c r="F2197" s="89" t="str">
        <v/>
      </c>
      <c r="G2197" s="89" t="str">
        <f ca="1"/>
        <v/>
      </c>
    </row>
    <row r="2198" spans="1:7" x14ac:dyDescent="0.3">
      <c r="A2198" s="89" t="str">
        <v/>
      </c>
      <c r="B2198" s="89" t="str">
        <v>Proteccion Respiratoria</v>
      </c>
      <c r="C2198" s="90" t="str">
        <v/>
      </c>
      <c r="D2198" s="89" t="str">
        <v>Periódica</v>
      </c>
      <c r="E2198" s="89">
        <v>365</v>
      </c>
      <c r="F2198" s="89" t="str">
        <v/>
      </c>
      <c r="G2198" s="89" t="str">
        <f ca="1"/>
        <v/>
      </c>
    </row>
    <row r="2199" spans="1:7" x14ac:dyDescent="0.3">
      <c r="A2199" s="89" t="str">
        <v/>
      </c>
      <c r="B2199" s="89" t="str">
        <v xml:space="preserve">Seguridad con Escaleras </v>
      </c>
      <c r="C2199" s="90" t="str">
        <v/>
      </c>
      <c r="D2199" s="89" t="str">
        <v>Periódica</v>
      </c>
      <c r="E2199" s="89">
        <v>365</v>
      </c>
      <c r="F2199" s="89" t="str">
        <v/>
      </c>
      <c r="G2199" s="89" t="str">
        <f ca="1"/>
        <v/>
      </c>
    </row>
    <row r="2200" spans="1:7" x14ac:dyDescent="0.3">
      <c r="A2200" s="89" t="str">
        <v/>
      </c>
      <c r="B2200" s="89" t="str">
        <v>Seguridad con Escaleras // Estantes de Almacenamiento</v>
      </c>
      <c r="C2200" s="90" t="str">
        <v/>
      </c>
      <c r="D2200" s="89" t="str">
        <v>Periódica</v>
      </c>
      <c r="E2200" s="89">
        <v>365</v>
      </c>
      <c r="F2200" s="89" t="str">
        <v/>
      </c>
      <c r="G2200" s="89" t="str">
        <f ca="1"/>
        <v/>
      </c>
    </row>
    <row r="2201" spans="1:7" x14ac:dyDescent="0.3">
      <c r="A2201" s="89" t="str">
        <v/>
      </c>
      <c r="B2201" s="89" t="str">
        <v>Responsabilidades del Supervisor</v>
      </c>
      <c r="C2201" s="90" t="str">
        <v/>
      </c>
      <c r="D2201" s="89" t="str">
        <v>Periódica</v>
      </c>
      <c r="E2201" s="89">
        <v>365</v>
      </c>
      <c r="F2201" s="89" t="str">
        <v/>
      </c>
      <c r="G2201" s="89" t="str">
        <f ca="1"/>
        <v/>
      </c>
    </row>
    <row r="2202" spans="1:7" x14ac:dyDescent="0.3">
      <c r="A2202" s="89" t="str">
        <v/>
      </c>
      <c r="B2202" s="89" t="str">
        <v>Espacios Confinados (Todos)</v>
      </c>
      <c r="C2202" s="90" t="str">
        <v/>
      </c>
      <c r="D2202" s="89" t="str">
        <v>Periódica</v>
      </c>
      <c r="E2202" s="89">
        <v>365</v>
      </c>
      <c r="F2202" s="89" t="str">
        <v/>
      </c>
      <c r="G2202" s="89" t="str">
        <f ca="1"/>
        <v/>
      </c>
    </row>
    <row r="2203" spans="1:7" x14ac:dyDescent="0.3">
      <c r="A2203" s="89" t="str">
        <v/>
      </c>
      <c r="B2203" s="89" t="str">
        <v>HSMS.017 / Espacios Confinados (Entrantes)</v>
      </c>
      <c r="C2203" s="90" t="str">
        <v/>
      </c>
      <c r="D2203" s="89" t="str">
        <v>Evento</v>
      </c>
      <c r="E2203" s="89">
        <v>0</v>
      </c>
      <c r="F2203" s="89" t="str">
        <v/>
      </c>
      <c r="G2203" s="89" t="str">
        <f ca="1"/>
        <v/>
      </c>
    </row>
    <row r="2204" spans="1:7" x14ac:dyDescent="0.3">
      <c r="A2204" s="89" t="str">
        <v/>
      </c>
      <c r="B2204" s="89" t="str">
        <v>Programa de Agua (Todos)</v>
      </c>
      <c r="C2204" s="90" t="str">
        <v/>
      </c>
      <c r="D2204" s="89" t="str">
        <v>Evento</v>
      </c>
      <c r="E2204" s="89">
        <v>0</v>
      </c>
      <c r="F2204" s="89" t="str">
        <v/>
      </c>
      <c r="G2204" s="89" t="str">
        <f ca="1"/>
        <v/>
      </c>
    </row>
    <row r="2205" spans="1:7" x14ac:dyDescent="0.3">
      <c r="A2205" s="89" t="str">
        <v/>
      </c>
      <c r="B2205" s="89" t="str">
        <v>Programa de Agua (HSE)</v>
      </c>
      <c r="C2205" s="90" t="str">
        <v/>
      </c>
      <c r="D2205" s="89" t="str">
        <v>Evento</v>
      </c>
      <c r="E2205" s="89">
        <v>0</v>
      </c>
      <c r="F2205" s="89" t="str">
        <v/>
      </c>
      <c r="G2205" s="89" t="str">
        <f ca="1"/>
        <v/>
      </c>
    </row>
    <row r="2206" spans="1:7" x14ac:dyDescent="0.3">
      <c r="A2206" s="89" t="str">
        <v/>
      </c>
      <c r="B2206" s="89" t="str">
        <v>HIV/SIDA y otras enfermedades de transmisión sexual (ETS)</v>
      </c>
      <c r="C2206" s="90" t="str">
        <v/>
      </c>
      <c r="D2206" s="89" t="str">
        <v>Periódica</v>
      </c>
      <c r="E2206" s="89">
        <v>365</v>
      </c>
      <c r="F2206" s="89" t="str">
        <v/>
      </c>
      <c r="G2206" s="89" t="str">
        <f ca="1"/>
        <v/>
      </c>
    </row>
    <row r="2207" spans="1:7" x14ac:dyDescent="0.3">
      <c r="A2207" s="89" t="str">
        <v/>
      </c>
      <c r="B2207" s="89" t="str">
        <v>Drogas de abuso (concientización y prevención)</v>
      </c>
      <c r="C2207" s="90" t="str">
        <v/>
      </c>
      <c r="D2207" s="89" t="str">
        <v>Periódica</v>
      </c>
      <c r="E2207" s="89">
        <v>365</v>
      </c>
      <c r="F2207" s="89" t="str">
        <v/>
      </c>
      <c r="G2207" s="89" t="str">
        <f ca="1"/>
        <v/>
      </c>
    </row>
    <row r="2208" spans="1:7" x14ac:dyDescent="0.3">
      <c r="A2208" s="89" t="str">
        <v/>
      </c>
      <c r="B2208" s="89" t="str">
        <v>Vida saludable (hábitos, autocuidado y bienestar)</v>
      </c>
      <c r="C2208" s="90" t="str">
        <v/>
      </c>
      <c r="D2208" s="89" t="str">
        <v>Periódica</v>
      </c>
      <c r="E2208" s="89">
        <v>365</v>
      </c>
      <c r="F2208" s="89" t="str">
        <v/>
      </c>
      <c r="G2208" s="89" t="str">
        <f ca="1"/>
        <v/>
      </c>
    </row>
    <row r="2209" spans="1:7" x14ac:dyDescent="0.3">
      <c r="A2209" s="89" t="str">
        <v/>
      </c>
      <c r="B2209" s="89" t="str">
        <v>Primeros auxilios y Reanimación Cardio Pulmonar (RCP)</v>
      </c>
      <c r="C2209" s="90" t="str">
        <v/>
      </c>
      <c r="D2209" s="89" t="str">
        <v>Periódica</v>
      </c>
      <c r="E2209" s="89">
        <v>365</v>
      </c>
      <c r="F2209" s="89" t="str">
        <v/>
      </c>
      <c r="G2209" s="89" t="str">
        <f ca="1"/>
        <v/>
      </c>
    </row>
    <row r="2210" spans="1:7" x14ac:dyDescent="0.3">
      <c r="A2210" s="89" t="str">
        <v/>
      </c>
      <c r="B2210" s="89" t="str">
        <v>Prevención cardiovascular (factores de riesgo y señales de alarma)</v>
      </c>
      <c r="C2210" s="90" t="str">
        <v/>
      </c>
      <c r="D2210" s="89" t="str">
        <v>Periódica</v>
      </c>
      <c r="E2210" s="89">
        <v>365</v>
      </c>
      <c r="F2210" s="89" t="str">
        <v/>
      </c>
      <c r="G2210" s="89" t="str">
        <f ca="1"/>
        <v/>
      </c>
    </row>
    <row r="2211" spans="1:7" x14ac:dyDescent="0.3">
      <c r="A2211" s="89" t="str">
        <v/>
      </c>
      <c r="B2211" s="89" t="str">
        <v>Efectos del tabaco sobre la salud</v>
      </c>
      <c r="C2211" s="90" t="str">
        <v/>
      </c>
      <c r="D2211" s="89" t="str">
        <v>Periódica</v>
      </c>
      <c r="E2211" s="89">
        <v>365</v>
      </c>
      <c r="F2211" s="89" t="str">
        <v/>
      </c>
      <c r="G2211" s="89" t="str">
        <f ca="1"/>
        <v/>
      </c>
    </row>
    <row r="2212" spans="1:7" x14ac:dyDescent="0.3">
      <c r="A2212" s="89" t="str">
        <v/>
      </c>
      <c r="B2212" s="89" t="str">
        <v>Cargadora (Op. Montacargas)</v>
      </c>
      <c r="C2212" s="90" t="str">
        <v/>
      </c>
      <c r="D2212" s="89" t="str">
        <v>Periódica</v>
      </c>
      <c r="E2212" s="89">
        <v>365</v>
      </c>
      <c r="F2212" s="89" t="str">
        <v/>
      </c>
      <c r="G2212" s="89" t="str">
        <f ca="1"/>
        <v/>
      </c>
    </row>
    <row r="2213" spans="1:7" x14ac:dyDescent="0.3">
      <c r="A2213" s="89" t="str">
        <v/>
      </c>
      <c r="B2213" s="89">
        <v>0</v>
      </c>
      <c r="C2213" s="90" t="str">
        <v/>
      </c>
      <c r="D2213" s="89" t="str">
        <v/>
      </c>
      <c r="E2213" s="89" t="str">
        <v/>
      </c>
      <c r="F2213" s="89" t="str">
        <v/>
      </c>
      <c r="G2213" s="89" t="str">
        <f ca="1"/>
        <v/>
      </c>
    </row>
    <row r="2214" spans="1:7" x14ac:dyDescent="0.3">
      <c r="A2214" s="89" t="str">
        <v/>
      </c>
      <c r="B2214" s="89">
        <v>0</v>
      </c>
      <c r="C2214" s="90" t="str">
        <v/>
      </c>
      <c r="D2214" s="89" t="str">
        <v/>
      </c>
      <c r="E2214" s="89" t="str">
        <v/>
      </c>
      <c r="F2214" s="89" t="str">
        <v/>
      </c>
      <c r="G2214" s="89" t="str">
        <f ca="1"/>
        <v/>
      </c>
    </row>
    <row r="2215" spans="1:7" x14ac:dyDescent="0.3">
      <c r="A2215" s="89" t="str">
        <v/>
      </c>
      <c r="B2215" s="89">
        <v>0</v>
      </c>
      <c r="C2215" s="90" t="str">
        <v/>
      </c>
      <c r="D2215" s="89" t="str">
        <v/>
      </c>
      <c r="E2215" s="89" t="str">
        <v/>
      </c>
      <c r="F2215" s="89" t="str">
        <v/>
      </c>
      <c r="G2215" s="89" t="str">
        <f ca="1"/>
        <v/>
      </c>
    </row>
    <row r="2216" spans="1:7" x14ac:dyDescent="0.3">
      <c r="A2216" s="89" t="str">
        <v/>
      </c>
      <c r="B2216" s="89">
        <v>0</v>
      </c>
      <c r="C2216" s="90" t="str">
        <v/>
      </c>
      <c r="D2216" s="89" t="str">
        <v/>
      </c>
      <c r="E2216" s="89" t="str">
        <v/>
      </c>
      <c r="F2216" s="89" t="str">
        <v/>
      </c>
      <c r="G2216" s="89" t="str">
        <f ca="1"/>
        <v/>
      </c>
    </row>
    <row r="2217" spans="1:7" x14ac:dyDescent="0.3">
      <c r="A2217" s="89" t="str">
        <v/>
      </c>
      <c r="B2217" s="89">
        <v>0</v>
      </c>
      <c r="C2217" s="90" t="str">
        <v/>
      </c>
      <c r="D2217" s="89" t="str">
        <v/>
      </c>
      <c r="E2217" s="89" t="str">
        <v/>
      </c>
      <c r="F2217" s="89" t="str">
        <v/>
      </c>
      <c r="G2217" s="89" t="str">
        <f ca="1"/>
        <v/>
      </c>
    </row>
    <row r="2218" spans="1:7" x14ac:dyDescent="0.3">
      <c r="A2218" s="89" t="str">
        <v/>
      </c>
      <c r="B2218" s="89">
        <v>0</v>
      </c>
      <c r="C2218" s="90" t="str">
        <v/>
      </c>
      <c r="D2218" s="89" t="str">
        <v/>
      </c>
      <c r="E2218" s="89" t="str">
        <v/>
      </c>
      <c r="F2218" s="89" t="str">
        <v/>
      </c>
      <c r="G2218" s="89" t="str">
        <f ca="1"/>
        <v/>
      </c>
    </row>
    <row r="2219" spans="1:7" x14ac:dyDescent="0.3">
      <c r="A2219" s="89" t="str">
        <v/>
      </c>
      <c r="B2219" s="89">
        <v>0</v>
      </c>
      <c r="C2219" s="90" t="str">
        <v/>
      </c>
      <c r="D2219" s="89" t="str">
        <v/>
      </c>
      <c r="E2219" s="89" t="str">
        <v/>
      </c>
      <c r="F2219" s="89" t="str">
        <v/>
      </c>
      <c r="G2219" s="89" t="str">
        <f ca="1"/>
        <v/>
      </c>
    </row>
    <row r="2220" spans="1:7" x14ac:dyDescent="0.3">
      <c r="A2220" s="89" t="str">
        <v/>
      </c>
      <c r="B2220" s="89">
        <v>0</v>
      </c>
      <c r="C2220" s="90" t="str">
        <v/>
      </c>
      <c r="D2220" s="89" t="str">
        <v/>
      </c>
      <c r="E2220" s="89" t="str">
        <v/>
      </c>
      <c r="F2220" s="89" t="str">
        <v/>
      </c>
      <c r="G2220" s="89" t="str">
        <f ca="1"/>
        <v/>
      </c>
    </row>
    <row r="2221" spans="1:7" x14ac:dyDescent="0.3">
      <c r="A2221" s="89" t="str">
        <v/>
      </c>
      <c r="B2221" s="89">
        <v>0</v>
      </c>
      <c r="C2221" s="90" t="str">
        <v/>
      </c>
      <c r="D2221" s="89" t="str">
        <v/>
      </c>
      <c r="E2221" s="89" t="str">
        <v/>
      </c>
      <c r="F2221" s="89" t="str">
        <v/>
      </c>
      <c r="G2221" s="89" t="str">
        <f ca="1"/>
        <v/>
      </c>
    </row>
    <row r="2222" spans="1:7" x14ac:dyDescent="0.3">
      <c r="A2222" s="89" t="str">
        <v/>
      </c>
      <c r="B2222" s="89" t="str">
        <v>Programa de Aire</v>
      </c>
      <c r="C2222" s="90" t="str">
        <v/>
      </c>
      <c r="D2222" s="89" t="str">
        <v>Evento</v>
      </c>
      <c r="E2222" s="89">
        <v>0</v>
      </c>
      <c r="F2222" s="89" t="str">
        <v/>
      </c>
      <c r="G2222" s="89" t="str">
        <f ca="1"/>
        <v/>
      </c>
    </row>
    <row r="2223" spans="1:7" x14ac:dyDescent="0.3">
      <c r="A2223" s="89" t="str">
        <v/>
      </c>
      <c r="B2223" s="89" t="str">
        <v>Conciencia Ambiental</v>
      </c>
      <c r="C2223" s="90" t="str">
        <v/>
      </c>
      <c r="D2223" s="89" t="str">
        <v>Periódica</v>
      </c>
      <c r="E2223" s="89">
        <v>365</v>
      </c>
      <c r="F2223" s="89" t="str">
        <v/>
      </c>
      <c r="G2223" s="89" t="str">
        <f ca="1"/>
        <v/>
      </c>
    </row>
    <row r="2224" spans="1:7" x14ac:dyDescent="0.3">
      <c r="A2224" s="89" t="str">
        <v/>
      </c>
      <c r="B2224" s="89" t="str">
        <v xml:space="preserve">Control de Documentos e Informacion de HSE </v>
      </c>
      <c r="C2224" s="90" t="str">
        <v/>
      </c>
      <c r="D2224" s="89" t="str">
        <v>Evento</v>
      </c>
      <c r="E2224" s="89">
        <v>0</v>
      </c>
      <c r="F2224" s="89" t="str">
        <v/>
      </c>
      <c r="G2224" s="89" t="str">
        <f ca="1"/>
        <v/>
      </c>
    </row>
    <row r="2225" spans="1:7" x14ac:dyDescent="0.3">
      <c r="A2225" s="89" t="str">
        <v/>
      </c>
      <c r="B2225" s="89" t="str">
        <v xml:space="preserve"> Acciones Correctivas y Preventivas (CAPA)</v>
      </c>
      <c r="C2225" s="90" t="str">
        <v/>
      </c>
      <c r="D2225" s="89" t="str">
        <v>Evento</v>
      </c>
      <c r="E2225" s="89">
        <v>0</v>
      </c>
      <c r="F2225" s="89" t="str">
        <v/>
      </c>
      <c r="G2225" s="89" t="str">
        <f ca="1"/>
        <v/>
      </c>
    </row>
    <row r="2226" spans="1:7" x14ac:dyDescent="0.3">
      <c r="A2226" s="89" t="str">
        <v/>
      </c>
      <c r="B2226" s="89" t="str">
        <v>Seguridad Basada en el Comportamiento (Observation Program) // HSMS.043 / Autoridad de Detener el Trabajo</v>
      </c>
      <c r="C2226" s="90" t="str">
        <v/>
      </c>
      <c r="D2226" s="89" t="str">
        <v>Periódica</v>
      </c>
      <c r="E2226" s="89">
        <v>365</v>
      </c>
      <c r="F2226" s="89" t="str">
        <v/>
      </c>
      <c r="G2226" s="89" t="str">
        <f ca="1"/>
        <v/>
      </c>
    </row>
    <row r="2227" spans="1:7" x14ac:dyDescent="0.3">
      <c r="A2227" s="89" t="str">
        <v/>
      </c>
      <c r="B2227" s="89" t="str">
        <v>Identificacion de Peligros y Evaluacion de Riesgos</v>
      </c>
      <c r="C2227" s="90" t="str">
        <v/>
      </c>
      <c r="D2227" s="89" t="str">
        <v>Evento</v>
      </c>
      <c r="E2227" s="89">
        <v>0</v>
      </c>
      <c r="F2227" s="89" t="str">
        <v/>
      </c>
      <c r="G2227" s="89" t="str">
        <f ca="1"/>
        <v/>
      </c>
    </row>
    <row r="2228" spans="1:7" x14ac:dyDescent="0.3">
      <c r="A2228" s="89" t="str">
        <v/>
      </c>
      <c r="B2228" s="89" t="str">
        <v xml:space="preserve"> Plan de Respuesta ante Eemergencias / HSMS.010 /Primeros Axulios &amp; RCP/DEA / HSMSWT-002 / Patogenos Trasnmitidos por la Sangre</v>
      </c>
      <c r="C2228" s="90" t="str">
        <v/>
      </c>
      <c r="D2228" s="89" t="str">
        <v>Periódica</v>
      </c>
      <c r="E2228" s="89">
        <v>365</v>
      </c>
      <c r="F2228" s="89" t="str">
        <v/>
      </c>
      <c r="G2228" s="89" t="str">
        <f ca="1"/>
        <v/>
      </c>
    </row>
    <row r="2229" spans="1:7" x14ac:dyDescent="0.3">
      <c r="A2229" s="89" t="str">
        <v/>
      </c>
      <c r="B2229" s="89" t="str">
        <v>Reporte y Gestion de Incidentes HSE (Todos)</v>
      </c>
      <c r="C2229" s="90" t="str">
        <v/>
      </c>
      <c r="D2229" s="89" t="str">
        <v>Periódica</v>
      </c>
      <c r="E2229" s="89">
        <v>365</v>
      </c>
      <c r="F2229" s="89" t="str">
        <v/>
      </c>
      <c r="G2229" s="89" t="str">
        <f ca="1"/>
        <v/>
      </c>
    </row>
    <row r="2230" spans="1:7" x14ac:dyDescent="0.3">
      <c r="A2230" s="89" t="str">
        <v/>
      </c>
      <c r="B2230" s="89" t="str">
        <v>Reporte, Gestion e Investigacion de Incidentes HSE (supervisores / investigadores (rol))</v>
      </c>
      <c r="C2230" s="90" t="str">
        <v/>
      </c>
      <c r="D2230" s="89" t="str">
        <v>Periódica</v>
      </c>
      <c r="E2230" s="89">
        <v>1095</v>
      </c>
      <c r="F2230" s="89" t="str">
        <v/>
      </c>
      <c r="G2230" s="89" t="str">
        <f ca="1"/>
        <v/>
      </c>
    </row>
    <row r="2231" spans="1:7" x14ac:dyDescent="0.3">
      <c r="A2231" s="89" t="str">
        <v/>
      </c>
      <c r="B2231" s="89" t="str">
        <v>Gruas y Equipos de Izaje (Todos)</v>
      </c>
      <c r="C2231" s="90" t="str">
        <v/>
      </c>
      <c r="D2231" s="89" t="str">
        <v>Periódica</v>
      </c>
      <c r="E2231" s="89">
        <v>365</v>
      </c>
      <c r="F2231" s="89" t="str">
        <v/>
      </c>
      <c r="G2231" s="89" t="str">
        <f ca="1"/>
        <v/>
      </c>
    </row>
    <row r="2232" spans="1:7" x14ac:dyDescent="0.3">
      <c r="A2232" s="89" t="str">
        <v/>
      </c>
      <c r="B2232" s="89" t="str">
        <v>HSMS.007 / Gruas y Equipos de Izaje (Operadores)</v>
      </c>
      <c r="C2232" s="90" t="str">
        <v/>
      </c>
      <c r="D2232" s="89" t="str">
        <v>Periódica</v>
      </c>
      <c r="E2232" s="89">
        <v>365</v>
      </c>
      <c r="F2232" s="89" t="str">
        <v/>
      </c>
      <c r="G2232" s="89" t="str">
        <f ca="1"/>
        <v/>
      </c>
    </row>
    <row r="2233" spans="1:7" x14ac:dyDescent="0.3">
      <c r="A2233" s="89" t="str">
        <v/>
      </c>
      <c r="B2233" s="89" t="str">
        <v>Proteccion Contra Incendios (Todos)</v>
      </c>
      <c r="C2233" s="90" t="str">
        <v/>
      </c>
      <c r="D2233" s="89" t="str">
        <v>Periódica</v>
      </c>
      <c r="E2233" s="89">
        <v>365</v>
      </c>
      <c r="F2233" s="89" t="str">
        <v/>
      </c>
      <c r="G2233" s="89" t="str">
        <f ca="1"/>
        <v/>
      </c>
    </row>
    <row r="2234" spans="1:7" x14ac:dyDescent="0.3">
      <c r="A2234" s="89" t="str">
        <v/>
      </c>
      <c r="B2234" s="89" t="str">
        <v>Proteccion Contra Incendios (Brigadistas)</v>
      </c>
      <c r="C2234" s="90" t="str">
        <v/>
      </c>
      <c r="D2234" s="89" t="str">
        <v>Periódica</v>
      </c>
      <c r="E2234" s="89">
        <v>365</v>
      </c>
      <c r="F2234" s="89" t="str">
        <v/>
      </c>
      <c r="G2234" s="89" t="str">
        <f ca="1"/>
        <v/>
      </c>
    </row>
    <row r="2235" spans="1:7" x14ac:dyDescent="0.3">
      <c r="A2235" s="89" t="str">
        <v/>
      </c>
      <c r="B2235" s="89" t="str">
        <v>Primeros Auxilios (Brigadistas)</v>
      </c>
      <c r="C2235" s="90" t="str">
        <v/>
      </c>
      <c r="D2235" s="89" t="str">
        <v>Periódica</v>
      </c>
      <c r="E2235" s="89">
        <v>365</v>
      </c>
      <c r="F2235" s="89" t="str">
        <v/>
      </c>
      <c r="G2235" s="89" t="str">
        <f ca="1"/>
        <v/>
      </c>
    </row>
    <row r="2236" spans="1:7" x14ac:dyDescent="0.3">
      <c r="A2236" s="89" t="str">
        <v/>
      </c>
      <c r="B2236" s="89" t="str">
        <v>Seguridad Electrica (Todos)</v>
      </c>
      <c r="C2236" s="90" t="str">
        <v/>
      </c>
      <c r="D2236" s="89" t="str">
        <v>Periódica</v>
      </c>
      <c r="E2236" s="89">
        <v>365</v>
      </c>
      <c r="F2236" s="89" t="str">
        <v/>
      </c>
      <c r="G2236" s="89" t="str">
        <f ca="1"/>
        <v/>
      </c>
    </row>
    <row r="2237" spans="1:7" x14ac:dyDescent="0.3">
      <c r="A2237" s="89" t="str">
        <v/>
      </c>
      <c r="B2237" s="89" t="str">
        <v>Seguridad Electrica (Personal Autorizado)</v>
      </c>
      <c r="C2237" s="90" t="str">
        <v/>
      </c>
      <c r="D2237" s="89" t="str">
        <v>Periódica</v>
      </c>
      <c r="E2237" s="89">
        <v>1095</v>
      </c>
      <c r="F2237" s="89" t="str">
        <v/>
      </c>
      <c r="G2237" s="89" t="str">
        <f ca="1"/>
        <v/>
      </c>
    </row>
    <row r="2238" spans="1:7" x14ac:dyDescent="0.3">
      <c r="A2238" s="89" t="str">
        <v/>
      </c>
      <c r="B2238" s="89" t="str">
        <v>Camiones Industriales Motorizados (PIT) (Todos)</v>
      </c>
      <c r="C2238" s="90" t="str">
        <v/>
      </c>
      <c r="D2238" s="89" t="str">
        <v>Periódica</v>
      </c>
      <c r="E2238" s="89">
        <v>365</v>
      </c>
      <c r="F2238" s="89" t="str">
        <v/>
      </c>
      <c r="G2238" s="89" t="str">
        <f ca="1"/>
        <v/>
      </c>
    </row>
    <row r="2239" spans="1:7" x14ac:dyDescent="0.3">
      <c r="A2239" s="89" t="str">
        <v/>
      </c>
      <c r="B2239" s="89" t="str">
        <v>Camiones Industriales Motorizados (PIT) (Op. Montacargas)</v>
      </c>
      <c r="C2239" s="90" t="str">
        <v/>
      </c>
      <c r="D2239" s="89" t="str">
        <v>Periódica</v>
      </c>
      <c r="E2239" s="89">
        <v>365</v>
      </c>
      <c r="F2239" s="89" t="str">
        <v/>
      </c>
      <c r="G2239" s="89" t="str">
        <f ca="1"/>
        <v/>
      </c>
    </row>
    <row r="2240" spans="1:7" x14ac:dyDescent="0.3">
      <c r="A2240" s="89" t="str">
        <v/>
      </c>
      <c r="B2240" s="89" t="str">
        <v>Control de Energias Peligrosas (LOTO) (Todos)</v>
      </c>
      <c r="C2240" s="90" t="str">
        <v/>
      </c>
      <c r="D2240" s="89" t="str">
        <v>Evento</v>
      </c>
      <c r="E2240" s="89">
        <v>0</v>
      </c>
      <c r="F2240" s="89" t="str">
        <v/>
      </c>
      <c r="G2240" s="89" t="str">
        <f ca="1"/>
        <v/>
      </c>
    </row>
    <row r="2241" spans="1:7" x14ac:dyDescent="0.3">
      <c r="A2241" s="89" t="str">
        <v/>
      </c>
      <c r="B2241" s="89" t="str">
        <v>Control de Energias Peligrosas (LOTO) (Empleados Autorizados)</v>
      </c>
      <c r="C2241" s="90" t="str">
        <v/>
      </c>
      <c r="D2241" s="89" t="str">
        <v>Periódica</v>
      </c>
      <c r="E2241" s="89">
        <v>365</v>
      </c>
      <c r="F2241" s="89" t="str">
        <v/>
      </c>
      <c r="G2241" s="89" t="str">
        <f ca="1"/>
        <v/>
      </c>
    </row>
    <row r="2242" spans="1:7" x14ac:dyDescent="0.3">
      <c r="A2242" s="89" t="str">
        <v/>
      </c>
      <c r="B2242" s="89" t="str">
        <v>Seguridad aplicada al Pozo &amp; Yacimiento</v>
      </c>
      <c r="C2242" s="90" t="str">
        <v/>
      </c>
      <c r="D2242" s="89" t="str">
        <v>Periódica</v>
      </c>
      <c r="E2242" s="89">
        <v>365</v>
      </c>
      <c r="F2242" s="89" t="str">
        <v/>
      </c>
      <c r="G2242" s="89" t="str">
        <f ca="1"/>
        <v/>
      </c>
    </row>
    <row r="2243" spans="1:7" x14ac:dyDescent="0.3">
      <c r="A2243" s="89" t="str">
        <v/>
      </c>
      <c r="B2243" s="89" t="str">
        <v>Las Reglas que Salvan Vidas</v>
      </c>
      <c r="C2243" s="90" t="str">
        <v/>
      </c>
      <c r="D2243" s="89" t="str">
        <v>Periódica</v>
      </c>
      <c r="E2243" s="89">
        <v>365</v>
      </c>
      <c r="F2243" s="89" t="str">
        <v/>
      </c>
      <c r="G2243" s="89" t="str">
        <f ca="1"/>
        <v/>
      </c>
    </row>
    <row r="2244" spans="1:7" x14ac:dyDescent="0.3">
      <c r="A2244" s="89" t="str">
        <v/>
      </c>
      <c r="B2244" s="89" t="str">
        <v xml:space="preserve">Resguardo de Maquinas &amp; Equipos </v>
      </c>
      <c r="C2244" s="90" t="str">
        <v/>
      </c>
      <c r="D2244" s="89" t="str">
        <v>Periódica</v>
      </c>
      <c r="E2244" s="89">
        <v>365</v>
      </c>
      <c r="F2244" s="89" t="str">
        <v/>
      </c>
      <c r="G2244" s="89" t="str">
        <f ca="1"/>
        <v/>
      </c>
    </row>
    <row r="2245" spans="1:7" x14ac:dyDescent="0.3">
      <c r="A2245" s="89" t="str">
        <v/>
      </c>
      <c r="B2245" s="89" t="str">
        <v>Conduccion y Gestion de Viajes (Todos)</v>
      </c>
      <c r="C2245" s="90" t="str">
        <v/>
      </c>
      <c r="D2245" s="89" t="str">
        <v>Periódica</v>
      </c>
      <c r="E2245" s="89">
        <v>730</v>
      </c>
      <c r="F2245" s="89" t="str">
        <v/>
      </c>
      <c r="G2245" s="89" t="str">
        <f ca="1"/>
        <v/>
      </c>
    </row>
    <row r="2246" spans="1:7" x14ac:dyDescent="0.3">
      <c r="A2246" s="89" t="str">
        <v/>
      </c>
      <c r="B2246" s="89" t="str">
        <v>Conduccion y Gestion de Viajes (Conductores)</v>
      </c>
      <c r="C2246" s="90" t="str">
        <v/>
      </c>
      <c r="D2246" s="89" t="str">
        <v>Periódica</v>
      </c>
      <c r="E2246" s="89">
        <v>1095</v>
      </c>
      <c r="F2246" s="89" t="str">
        <v/>
      </c>
      <c r="G2246" s="89" t="str">
        <f ca="1"/>
        <v/>
      </c>
    </row>
    <row r="2247" spans="1:7" x14ac:dyDescent="0.3">
      <c r="A2247" s="89" t="str">
        <v/>
      </c>
      <c r="B2247" s="89" t="str">
        <v>Patogenos Transmitidos por la Sangre</v>
      </c>
      <c r="C2247" s="90" t="str">
        <v/>
      </c>
      <c r="D2247" s="89" t="str">
        <v>Periódica</v>
      </c>
      <c r="E2247" s="89">
        <v>365</v>
      </c>
      <c r="F2247" s="89" t="str">
        <v/>
      </c>
      <c r="G2247" s="89" t="str">
        <f ca="1"/>
        <v/>
      </c>
    </row>
    <row r="2248" spans="1:7" x14ac:dyDescent="0.3">
      <c r="A2248" s="89" t="str">
        <v/>
      </c>
      <c r="B2248" s="89" t="str">
        <v>Conservacion Auditiva</v>
      </c>
      <c r="C2248" s="90" t="str">
        <v/>
      </c>
      <c r="D2248" s="89" t="str">
        <v>Periódica</v>
      </c>
      <c r="E2248" s="89">
        <v>365</v>
      </c>
      <c r="F2248" s="89" t="str">
        <v/>
      </c>
      <c r="G2248" s="89" t="str">
        <f ca="1"/>
        <v/>
      </c>
    </row>
    <row r="2249" spans="1:7" x14ac:dyDescent="0.3">
      <c r="A2249" s="89" t="str">
        <v/>
      </c>
      <c r="B2249" s="89" t="str">
        <v xml:space="preserve">Ergonomia //  / Levantamiento &amp; Seguridad en la Espalda </v>
      </c>
      <c r="C2249" s="90" t="str">
        <v/>
      </c>
      <c r="D2249" s="89" t="str">
        <v>Periódica</v>
      </c>
      <c r="E2249" s="89">
        <v>365</v>
      </c>
      <c r="F2249" s="89" t="str">
        <v/>
      </c>
      <c r="G2249" s="89" t="str">
        <f ca="1"/>
        <v/>
      </c>
    </row>
    <row r="2250" spans="1:7" x14ac:dyDescent="0.3">
      <c r="A2250" s="89" t="str">
        <v/>
      </c>
      <c r="B2250" s="89" t="str">
        <v>Superficies Elevadas (Todos)</v>
      </c>
      <c r="C2250" s="90" t="str">
        <v/>
      </c>
      <c r="D2250" s="89" t="str">
        <v>Periódica</v>
      </c>
      <c r="E2250" s="89">
        <v>365</v>
      </c>
      <c r="F2250" s="89" t="str">
        <v/>
      </c>
      <c r="G2250" s="89" t="str">
        <f ca="1"/>
        <v/>
      </c>
    </row>
    <row r="2251" spans="1:7" x14ac:dyDescent="0.3">
      <c r="A2251" s="89" t="str">
        <v/>
      </c>
      <c r="B2251" s="89" t="str">
        <v>Superficies Elevadas (Personal Habilitado)</v>
      </c>
      <c r="C2251" s="90" t="str">
        <v/>
      </c>
      <c r="D2251" s="89" t="str">
        <v>Periódica</v>
      </c>
      <c r="E2251" s="89">
        <v>365</v>
      </c>
      <c r="F2251" s="89" t="str">
        <v/>
      </c>
      <c r="G2251" s="89" t="str">
        <f ca="1"/>
        <v/>
      </c>
    </row>
    <row r="2252" spans="1:7" x14ac:dyDescent="0.3">
      <c r="A2252" s="89" t="str">
        <v/>
      </c>
      <c r="B2252" s="89" t="str">
        <v>Seguridad Quimica (Todos)</v>
      </c>
      <c r="C2252" s="90" t="str">
        <v/>
      </c>
      <c r="D2252" s="89" t="str">
        <v>Periódica</v>
      </c>
      <c r="E2252" s="89">
        <v>730</v>
      </c>
      <c r="F2252" s="89" t="str">
        <v/>
      </c>
      <c r="G2252" s="89" t="str">
        <f ca="1"/>
        <v/>
      </c>
    </row>
    <row r="2253" spans="1:7" x14ac:dyDescent="0.3">
      <c r="A2253" s="89" t="str">
        <v/>
      </c>
      <c r="B2253" s="89" t="str">
        <v>Seguridad Quimica (Mantenimiento)</v>
      </c>
      <c r="C2253" s="90" t="str">
        <v/>
      </c>
      <c r="D2253" s="89" t="str">
        <v>Periódica</v>
      </c>
      <c r="E2253" s="89">
        <v>365</v>
      </c>
      <c r="F2253" s="89" t="str">
        <v/>
      </c>
      <c r="G2253" s="89" t="str">
        <f ca="1"/>
        <v/>
      </c>
    </row>
    <row r="2254" spans="1:7" x14ac:dyDescent="0.3">
      <c r="A2254" s="89" t="str">
        <v/>
      </c>
      <c r="B2254" s="89" t="str">
        <v>Seguridad Quimica (Contratistas)</v>
      </c>
      <c r="C2254" s="90" t="str">
        <v/>
      </c>
      <c r="D2254" s="89" t="str">
        <v>Periódica</v>
      </c>
      <c r="E2254" s="89">
        <v>365</v>
      </c>
      <c r="F2254" s="89" t="str">
        <v/>
      </c>
      <c r="G2254" s="89" t="str">
        <f ca="1"/>
        <v/>
      </c>
    </row>
    <row r="2255" spans="1:7" x14ac:dyDescent="0.3">
      <c r="A2255" s="89" t="str">
        <v/>
      </c>
      <c r="B2255" s="89" t="str">
        <v>Seguridad para Trabajos en Caliente</v>
      </c>
      <c r="C2255" s="90" t="str">
        <v/>
      </c>
      <c r="D2255" s="89" t="str">
        <v>Periódica</v>
      </c>
      <c r="E2255" s="89">
        <v>365</v>
      </c>
      <c r="F2255" s="89" t="str">
        <v/>
      </c>
      <c r="G2255" s="89" t="str">
        <f ca="1"/>
        <v/>
      </c>
    </row>
    <row r="2256" spans="1:7" x14ac:dyDescent="0.3">
      <c r="A2256" s="89" t="str">
        <v/>
      </c>
      <c r="B2256" s="89" t="str">
        <v>Seguridad con la Radiacion</v>
      </c>
      <c r="C2256" s="90" t="str">
        <v/>
      </c>
      <c r="D2256" s="89" t="str">
        <v>Periódica</v>
      </c>
      <c r="E2256" s="89">
        <v>365</v>
      </c>
      <c r="F2256" s="89" t="str">
        <v/>
      </c>
      <c r="G2256" s="89" t="str">
        <f ca="1"/>
        <v/>
      </c>
    </row>
    <row r="2257" spans="1:7" x14ac:dyDescent="0.3">
      <c r="A2257" s="89" t="str">
        <v/>
      </c>
      <c r="B2257" s="89" t="str">
        <v>Equipo de Proteccion Personal (PPE)</v>
      </c>
      <c r="C2257" s="90" t="str">
        <v/>
      </c>
      <c r="D2257" s="89" t="str">
        <v>Periódica</v>
      </c>
      <c r="E2257" s="89">
        <v>365</v>
      </c>
      <c r="F2257" s="89" t="str">
        <v/>
      </c>
      <c r="G2257" s="89" t="str">
        <f ca="1"/>
        <v/>
      </c>
    </row>
    <row r="2258" spans="1:7" x14ac:dyDescent="0.3">
      <c r="A2258" s="89" t="str">
        <v/>
      </c>
      <c r="B2258" s="89" t="str">
        <v>Proteccion Respiratoria</v>
      </c>
      <c r="C2258" s="90" t="str">
        <v/>
      </c>
      <c r="D2258" s="89" t="str">
        <v>Periódica</v>
      </c>
      <c r="E2258" s="89">
        <v>365</v>
      </c>
      <c r="F2258" s="89" t="str">
        <v/>
      </c>
      <c r="G2258" s="89" t="str">
        <f ca="1"/>
        <v/>
      </c>
    </row>
    <row r="2259" spans="1:7" x14ac:dyDescent="0.3">
      <c r="A2259" s="89" t="str">
        <v/>
      </c>
      <c r="B2259" s="89" t="str">
        <v xml:space="preserve">Seguridad con Escaleras </v>
      </c>
      <c r="C2259" s="90" t="str">
        <v/>
      </c>
      <c r="D2259" s="89" t="str">
        <v>Periódica</v>
      </c>
      <c r="E2259" s="89">
        <v>365</v>
      </c>
      <c r="F2259" s="89" t="str">
        <v/>
      </c>
      <c r="G2259" s="89" t="str">
        <f ca="1"/>
        <v/>
      </c>
    </row>
    <row r="2260" spans="1:7" x14ac:dyDescent="0.3">
      <c r="A2260" s="89" t="str">
        <v/>
      </c>
      <c r="B2260" s="89" t="str">
        <v>Seguridad con Escaleras // Estantes de Almacenamiento</v>
      </c>
      <c r="C2260" s="90" t="str">
        <v/>
      </c>
      <c r="D2260" s="89" t="str">
        <v>Periódica</v>
      </c>
      <c r="E2260" s="89">
        <v>365</v>
      </c>
      <c r="F2260" s="89" t="str">
        <v/>
      </c>
      <c r="G2260" s="89" t="str">
        <f ca="1"/>
        <v/>
      </c>
    </row>
    <row r="2261" spans="1:7" x14ac:dyDescent="0.3">
      <c r="A2261" s="89" t="str">
        <v/>
      </c>
      <c r="B2261" s="89" t="str">
        <v>Responsabilidades del Supervisor</v>
      </c>
      <c r="C2261" s="90" t="str">
        <v/>
      </c>
      <c r="D2261" s="89" t="str">
        <v>Periódica</v>
      </c>
      <c r="E2261" s="89">
        <v>365</v>
      </c>
      <c r="F2261" s="89" t="str">
        <v/>
      </c>
      <c r="G2261" s="89" t="str">
        <f ca="1"/>
        <v/>
      </c>
    </row>
    <row r="2262" spans="1:7" x14ac:dyDescent="0.3">
      <c r="A2262" s="89" t="str">
        <v/>
      </c>
      <c r="B2262" s="89" t="str">
        <v>Espacios Confinados (Todos)</v>
      </c>
      <c r="C2262" s="90" t="str">
        <v/>
      </c>
      <c r="D2262" s="89" t="str">
        <v>Periódica</v>
      </c>
      <c r="E2262" s="89">
        <v>365</v>
      </c>
      <c r="F2262" s="89" t="str">
        <v/>
      </c>
      <c r="G2262" s="89" t="str">
        <f ca="1"/>
        <v/>
      </c>
    </row>
    <row r="2263" spans="1:7" x14ac:dyDescent="0.3">
      <c r="A2263" s="89" t="str">
        <v/>
      </c>
      <c r="B2263" s="89" t="str">
        <v>HSMS.017 / Espacios Confinados (Entrantes)</v>
      </c>
      <c r="C2263" s="90" t="str">
        <v/>
      </c>
      <c r="D2263" s="89" t="str">
        <v>Evento</v>
      </c>
      <c r="E2263" s="89">
        <v>0</v>
      </c>
      <c r="F2263" s="89" t="str">
        <v/>
      </c>
      <c r="G2263" s="89" t="str">
        <f ca="1"/>
        <v/>
      </c>
    </row>
    <row r="2264" spans="1:7" x14ac:dyDescent="0.3">
      <c r="A2264" s="89" t="str">
        <v/>
      </c>
      <c r="B2264" s="89" t="str">
        <v>Programa de Agua (Todos)</v>
      </c>
      <c r="C2264" s="90" t="str">
        <v/>
      </c>
      <c r="D2264" s="89" t="str">
        <v>Evento</v>
      </c>
      <c r="E2264" s="89">
        <v>0</v>
      </c>
      <c r="F2264" s="89" t="str">
        <v/>
      </c>
      <c r="G2264" s="89" t="str">
        <f ca="1"/>
        <v/>
      </c>
    </row>
    <row r="2265" spans="1:7" x14ac:dyDescent="0.3">
      <c r="A2265" s="89" t="str">
        <v/>
      </c>
      <c r="B2265" s="89" t="str">
        <v>Programa de Agua (HSE)</v>
      </c>
      <c r="C2265" s="90" t="str">
        <v/>
      </c>
      <c r="D2265" s="89" t="str">
        <v>Evento</v>
      </c>
      <c r="E2265" s="89">
        <v>0</v>
      </c>
      <c r="F2265" s="89" t="str">
        <v/>
      </c>
      <c r="G2265" s="89" t="str">
        <f ca="1"/>
        <v/>
      </c>
    </row>
    <row r="2266" spans="1:7" x14ac:dyDescent="0.3">
      <c r="A2266" s="89" t="str">
        <v/>
      </c>
      <c r="B2266" s="89" t="str">
        <v>HIV/SIDA y otras enfermedades de transmisión sexual (ETS)</v>
      </c>
      <c r="C2266" s="90" t="str">
        <v/>
      </c>
      <c r="D2266" s="89" t="str">
        <v>Periódica</v>
      </c>
      <c r="E2266" s="89">
        <v>365</v>
      </c>
      <c r="F2266" s="89" t="str">
        <v/>
      </c>
      <c r="G2266" s="89" t="str">
        <f ca="1"/>
        <v/>
      </c>
    </row>
    <row r="2267" spans="1:7" x14ac:dyDescent="0.3">
      <c r="A2267" s="89" t="str">
        <v/>
      </c>
      <c r="B2267" s="89" t="str">
        <v>Drogas de abuso (concientización y prevención)</v>
      </c>
      <c r="C2267" s="90" t="str">
        <v/>
      </c>
      <c r="D2267" s="89" t="str">
        <v>Periódica</v>
      </c>
      <c r="E2267" s="89">
        <v>365</v>
      </c>
      <c r="F2267" s="89" t="str">
        <v/>
      </c>
      <c r="G2267" s="89" t="str">
        <f ca="1"/>
        <v/>
      </c>
    </row>
    <row r="2268" spans="1:7" x14ac:dyDescent="0.3">
      <c r="A2268" s="89" t="str">
        <v/>
      </c>
      <c r="B2268" s="89" t="str">
        <v>Vida saludable (hábitos, autocuidado y bienestar)</v>
      </c>
      <c r="C2268" s="90" t="str">
        <v/>
      </c>
      <c r="D2268" s="89" t="str">
        <v>Periódica</v>
      </c>
      <c r="E2268" s="89">
        <v>365</v>
      </c>
      <c r="F2268" s="89" t="str">
        <v/>
      </c>
      <c r="G2268" s="89" t="str">
        <f ca="1"/>
        <v/>
      </c>
    </row>
    <row r="2269" spans="1:7" x14ac:dyDescent="0.3">
      <c r="A2269" s="89" t="str">
        <v/>
      </c>
      <c r="B2269" s="89" t="str">
        <v>Primeros auxilios y Reanimación Cardio Pulmonar (RCP)</v>
      </c>
      <c r="C2269" s="90" t="str">
        <v/>
      </c>
      <c r="D2269" s="89" t="str">
        <v>Periódica</v>
      </c>
      <c r="E2269" s="89">
        <v>365</v>
      </c>
      <c r="F2269" s="89" t="str">
        <v/>
      </c>
      <c r="G2269" s="89" t="str">
        <f ca="1"/>
        <v/>
      </c>
    </row>
    <row r="2270" spans="1:7" x14ac:dyDescent="0.3">
      <c r="A2270" s="89" t="str">
        <v/>
      </c>
      <c r="B2270" s="89" t="str">
        <v>Prevención cardiovascular (factores de riesgo y señales de alarma)</v>
      </c>
      <c r="C2270" s="90" t="str">
        <v/>
      </c>
      <c r="D2270" s="89" t="str">
        <v>Periódica</v>
      </c>
      <c r="E2270" s="89">
        <v>365</v>
      </c>
      <c r="F2270" s="89" t="str">
        <v/>
      </c>
      <c r="G2270" s="89" t="str">
        <f ca="1"/>
        <v/>
      </c>
    </row>
    <row r="2271" spans="1:7" x14ac:dyDescent="0.3">
      <c r="A2271" s="89" t="str">
        <v/>
      </c>
      <c r="B2271" s="89" t="str">
        <v>Efectos del tabaco sobre la salud</v>
      </c>
      <c r="C2271" s="90" t="str">
        <v/>
      </c>
      <c r="D2271" s="89" t="str">
        <v>Periódica</v>
      </c>
      <c r="E2271" s="89">
        <v>365</v>
      </c>
      <c r="F2271" s="89" t="str">
        <v/>
      </c>
      <c r="G2271" s="89" t="str">
        <f ca="1"/>
        <v/>
      </c>
    </row>
    <row r="2272" spans="1:7" x14ac:dyDescent="0.3">
      <c r="A2272" s="89" t="str">
        <v/>
      </c>
      <c r="B2272" s="89" t="str">
        <v>Cargadora (Op. Montacargas)</v>
      </c>
      <c r="C2272" s="90" t="str">
        <v/>
      </c>
      <c r="D2272" s="89" t="str">
        <v>Periódica</v>
      </c>
      <c r="E2272" s="89">
        <v>365</v>
      </c>
      <c r="F2272" s="89" t="str">
        <v/>
      </c>
      <c r="G2272" s="89" t="str">
        <f ca="1"/>
        <v/>
      </c>
    </row>
    <row r="2273" spans="1:7" x14ac:dyDescent="0.3">
      <c r="A2273" s="89" t="str">
        <v/>
      </c>
      <c r="B2273" s="89">
        <v>0</v>
      </c>
      <c r="C2273" s="90" t="str">
        <v/>
      </c>
      <c r="D2273" s="89" t="str">
        <v/>
      </c>
      <c r="E2273" s="89" t="str">
        <v/>
      </c>
      <c r="F2273" s="89" t="str">
        <v/>
      </c>
      <c r="G2273" s="89" t="str">
        <f ca="1"/>
        <v/>
      </c>
    </row>
    <row r="2274" spans="1:7" x14ac:dyDescent="0.3">
      <c r="A2274" s="89" t="str">
        <v/>
      </c>
      <c r="B2274" s="89">
        <v>0</v>
      </c>
      <c r="C2274" s="90" t="str">
        <v/>
      </c>
      <c r="D2274" s="89" t="str">
        <v/>
      </c>
      <c r="E2274" s="89" t="str">
        <v/>
      </c>
      <c r="F2274" s="89" t="str">
        <v/>
      </c>
      <c r="G2274" s="89" t="str">
        <f ca="1"/>
        <v/>
      </c>
    </row>
    <row r="2275" spans="1:7" x14ac:dyDescent="0.3">
      <c r="A2275" s="89" t="str">
        <v/>
      </c>
      <c r="B2275" s="89">
        <v>0</v>
      </c>
      <c r="C2275" s="90" t="str">
        <v/>
      </c>
      <c r="D2275" s="89" t="str">
        <v/>
      </c>
      <c r="E2275" s="89" t="str">
        <v/>
      </c>
      <c r="F2275" s="89" t="str">
        <v/>
      </c>
      <c r="G2275" s="89" t="str">
        <f ca="1"/>
        <v/>
      </c>
    </row>
    <row r="2276" spans="1:7" x14ac:dyDescent="0.3">
      <c r="A2276" s="89" t="str">
        <v/>
      </c>
      <c r="B2276" s="89">
        <v>0</v>
      </c>
      <c r="C2276" s="90" t="str">
        <v/>
      </c>
      <c r="D2276" s="89" t="str">
        <v/>
      </c>
      <c r="E2276" s="89" t="str">
        <v/>
      </c>
      <c r="F2276" s="89" t="str">
        <v/>
      </c>
      <c r="G2276" s="89" t="str">
        <f ca="1"/>
        <v/>
      </c>
    </row>
    <row r="2277" spans="1:7" x14ac:dyDescent="0.3">
      <c r="A2277" s="89" t="str">
        <v/>
      </c>
      <c r="B2277" s="89">
        <v>0</v>
      </c>
      <c r="C2277" s="90" t="str">
        <v/>
      </c>
      <c r="D2277" s="89" t="str">
        <v/>
      </c>
      <c r="E2277" s="89" t="str">
        <v/>
      </c>
      <c r="F2277" s="89" t="str">
        <v/>
      </c>
      <c r="G2277" s="89" t="str">
        <f ca="1"/>
        <v/>
      </c>
    </row>
    <row r="2278" spans="1:7" x14ac:dyDescent="0.3">
      <c r="A2278" s="89" t="str">
        <v/>
      </c>
      <c r="B2278" s="89">
        <v>0</v>
      </c>
      <c r="C2278" s="90" t="str">
        <v/>
      </c>
      <c r="D2278" s="89" t="str">
        <v/>
      </c>
      <c r="E2278" s="89" t="str">
        <v/>
      </c>
      <c r="F2278" s="89" t="str">
        <v/>
      </c>
      <c r="G2278" s="89" t="str">
        <f ca="1"/>
        <v/>
      </c>
    </row>
    <row r="2279" spans="1:7" x14ac:dyDescent="0.3">
      <c r="A2279" s="89" t="str">
        <v/>
      </c>
      <c r="B2279" s="89">
        <v>0</v>
      </c>
      <c r="C2279" s="90" t="str">
        <v/>
      </c>
      <c r="D2279" s="89" t="str">
        <v/>
      </c>
      <c r="E2279" s="89" t="str">
        <v/>
      </c>
      <c r="F2279" s="89" t="str">
        <v/>
      </c>
      <c r="G2279" s="89" t="str">
        <f ca="1"/>
        <v/>
      </c>
    </row>
    <row r="2280" spans="1:7" x14ac:dyDescent="0.3">
      <c r="A2280" s="89" t="str">
        <v/>
      </c>
      <c r="B2280" s="89">
        <v>0</v>
      </c>
      <c r="C2280" s="90" t="str">
        <v/>
      </c>
      <c r="D2280" s="89" t="str">
        <v/>
      </c>
      <c r="E2280" s="89" t="str">
        <v/>
      </c>
      <c r="F2280" s="89" t="str">
        <v/>
      </c>
      <c r="G2280" s="89" t="str">
        <f ca="1"/>
        <v/>
      </c>
    </row>
    <row r="2281" spans="1:7" x14ac:dyDescent="0.3">
      <c r="A2281" s="89" t="str">
        <v/>
      </c>
      <c r="B2281" s="89">
        <v>0</v>
      </c>
      <c r="C2281" s="90" t="str">
        <v/>
      </c>
      <c r="D2281" s="89" t="str">
        <v/>
      </c>
      <c r="E2281" s="89" t="str">
        <v/>
      </c>
      <c r="F2281" s="89" t="str">
        <v/>
      </c>
      <c r="G2281" s="89" t="str">
        <f ca="1"/>
        <v/>
      </c>
    </row>
    <row r="2282" spans="1:7" x14ac:dyDescent="0.3">
      <c r="A2282" s="89" t="str">
        <v/>
      </c>
      <c r="B2282" s="89" t="str">
        <v>Programa de Aire</v>
      </c>
      <c r="C2282" s="90" t="str">
        <v/>
      </c>
      <c r="D2282" s="89" t="str">
        <v>Evento</v>
      </c>
      <c r="E2282" s="89">
        <v>0</v>
      </c>
      <c r="F2282" s="89" t="str">
        <v/>
      </c>
      <c r="G2282" s="89" t="str">
        <f ca="1"/>
        <v/>
      </c>
    </row>
    <row r="2283" spans="1:7" x14ac:dyDescent="0.3">
      <c r="A2283" s="89" t="str">
        <v/>
      </c>
      <c r="B2283" s="89" t="str">
        <v>Conciencia Ambiental</v>
      </c>
      <c r="C2283" s="90" t="str">
        <v/>
      </c>
      <c r="D2283" s="89" t="str">
        <v>Periódica</v>
      </c>
      <c r="E2283" s="89">
        <v>365</v>
      </c>
      <c r="F2283" s="89" t="str">
        <v/>
      </c>
      <c r="G2283" s="89" t="str">
        <f ca="1"/>
        <v/>
      </c>
    </row>
    <row r="2284" spans="1:7" x14ac:dyDescent="0.3">
      <c r="A2284" s="89" t="str">
        <v/>
      </c>
      <c r="B2284" s="89" t="str">
        <v xml:space="preserve">Control de Documentos e Informacion de HSE </v>
      </c>
      <c r="C2284" s="90" t="str">
        <v/>
      </c>
      <c r="D2284" s="89" t="str">
        <v>Evento</v>
      </c>
      <c r="E2284" s="89">
        <v>0</v>
      </c>
      <c r="F2284" s="89" t="str">
        <v/>
      </c>
      <c r="G2284" s="89" t="str">
        <f ca="1"/>
        <v/>
      </c>
    </row>
    <row r="2285" spans="1:7" x14ac:dyDescent="0.3">
      <c r="A2285" s="89" t="str">
        <v/>
      </c>
      <c r="B2285" s="89" t="str">
        <v xml:space="preserve"> Acciones Correctivas y Preventivas (CAPA)</v>
      </c>
      <c r="C2285" s="90" t="str">
        <v/>
      </c>
      <c r="D2285" s="89" t="str">
        <v>Evento</v>
      </c>
      <c r="E2285" s="89">
        <v>0</v>
      </c>
      <c r="F2285" s="89" t="str">
        <v/>
      </c>
      <c r="G2285" s="89" t="str">
        <f ca="1"/>
        <v/>
      </c>
    </row>
    <row r="2286" spans="1:7" x14ac:dyDescent="0.3">
      <c r="A2286" s="89" t="str">
        <v/>
      </c>
      <c r="B2286" s="89" t="str">
        <v>Seguridad Basada en el Comportamiento (Observation Program) // HSMS.043 / Autoridad de Detener el Trabajo</v>
      </c>
      <c r="C2286" s="90" t="str">
        <v/>
      </c>
      <c r="D2286" s="89" t="str">
        <v>Periódica</v>
      </c>
      <c r="E2286" s="89">
        <v>365</v>
      </c>
      <c r="F2286" s="89" t="str">
        <v/>
      </c>
      <c r="G2286" s="89" t="str">
        <f ca="1"/>
        <v/>
      </c>
    </row>
    <row r="2287" spans="1:7" x14ac:dyDescent="0.3">
      <c r="A2287" s="89" t="str">
        <v/>
      </c>
      <c r="B2287" s="89" t="str">
        <v>Identificacion de Peligros y Evaluacion de Riesgos</v>
      </c>
      <c r="C2287" s="90" t="str">
        <v/>
      </c>
      <c r="D2287" s="89" t="str">
        <v>Evento</v>
      </c>
      <c r="E2287" s="89">
        <v>0</v>
      </c>
      <c r="F2287" s="89" t="str">
        <v/>
      </c>
      <c r="G2287" s="89" t="str">
        <f ca="1"/>
        <v/>
      </c>
    </row>
    <row r="2288" spans="1:7" x14ac:dyDescent="0.3">
      <c r="A2288" s="89" t="str">
        <v/>
      </c>
      <c r="B2288" s="89" t="str">
        <v xml:space="preserve"> Plan de Respuesta ante Eemergencias / HSMS.010 /Primeros Axulios &amp; RCP/DEA / HSMSWT-002 / Patogenos Trasnmitidos por la Sangre</v>
      </c>
      <c r="C2288" s="90" t="str">
        <v/>
      </c>
      <c r="D2288" s="89" t="str">
        <v>Periódica</v>
      </c>
      <c r="E2288" s="89">
        <v>365</v>
      </c>
      <c r="F2288" s="89" t="str">
        <v/>
      </c>
      <c r="G2288" s="89" t="str">
        <f ca="1"/>
        <v/>
      </c>
    </row>
    <row r="2289" spans="1:7" x14ac:dyDescent="0.3">
      <c r="A2289" s="89" t="str">
        <v/>
      </c>
      <c r="B2289" s="89" t="str">
        <v>Reporte y Gestion de Incidentes HSE (Todos)</v>
      </c>
      <c r="C2289" s="90" t="str">
        <v/>
      </c>
      <c r="D2289" s="89" t="str">
        <v>Periódica</v>
      </c>
      <c r="E2289" s="89">
        <v>365</v>
      </c>
      <c r="F2289" s="89" t="str">
        <v/>
      </c>
      <c r="G2289" s="89" t="str">
        <f ca="1"/>
        <v/>
      </c>
    </row>
    <row r="2290" spans="1:7" x14ac:dyDescent="0.3">
      <c r="A2290" s="89" t="str">
        <v/>
      </c>
      <c r="B2290" s="89" t="str">
        <v>Reporte, Gestion e Investigacion de Incidentes HSE (supervisores / investigadores (rol))</v>
      </c>
      <c r="C2290" s="90" t="str">
        <v/>
      </c>
      <c r="D2290" s="89" t="str">
        <v>Periódica</v>
      </c>
      <c r="E2290" s="89">
        <v>1095</v>
      </c>
      <c r="F2290" s="89" t="str">
        <v/>
      </c>
      <c r="G2290" s="89" t="str">
        <f ca="1"/>
        <v/>
      </c>
    </row>
    <row r="2291" spans="1:7" x14ac:dyDescent="0.3">
      <c r="A2291" s="89" t="str">
        <v/>
      </c>
      <c r="B2291" s="89" t="str">
        <v>Gruas y Equipos de Izaje (Todos)</v>
      </c>
      <c r="C2291" s="90" t="str">
        <v/>
      </c>
      <c r="D2291" s="89" t="str">
        <v>Periódica</v>
      </c>
      <c r="E2291" s="89">
        <v>365</v>
      </c>
      <c r="F2291" s="89" t="str">
        <v/>
      </c>
      <c r="G2291" s="89" t="str">
        <f ca="1"/>
        <v/>
      </c>
    </row>
    <row r="2292" spans="1:7" x14ac:dyDescent="0.3">
      <c r="A2292" s="89" t="str">
        <v/>
      </c>
      <c r="B2292" s="89" t="str">
        <v>HSMS.007 / Gruas y Equipos de Izaje (Operadores)</v>
      </c>
      <c r="C2292" s="90" t="str">
        <v/>
      </c>
      <c r="D2292" s="89" t="str">
        <v>Periódica</v>
      </c>
      <c r="E2292" s="89">
        <v>365</v>
      </c>
      <c r="F2292" s="89" t="str">
        <v/>
      </c>
      <c r="G2292" s="89" t="str">
        <f ca="1"/>
        <v/>
      </c>
    </row>
    <row r="2293" spans="1:7" x14ac:dyDescent="0.3">
      <c r="A2293" s="89" t="str">
        <v/>
      </c>
      <c r="B2293" s="89" t="str">
        <v>Proteccion Contra Incendios (Todos)</v>
      </c>
      <c r="C2293" s="90" t="str">
        <v/>
      </c>
      <c r="D2293" s="89" t="str">
        <v>Periódica</v>
      </c>
      <c r="E2293" s="89">
        <v>365</v>
      </c>
      <c r="F2293" s="89" t="str">
        <v/>
      </c>
      <c r="G2293" s="89" t="str">
        <f ca="1"/>
        <v/>
      </c>
    </row>
    <row r="2294" spans="1:7" x14ac:dyDescent="0.3">
      <c r="A2294" s="89" t="str">
        <v/>
      </c>
      <c r="B2294" s="89" t="str">
        <v>Proteccion Contra Incendios (Brigadistas)</v>
      </c>
      <c r="C2294" s="90" t="str">
        <v/>
      </c>
      <c r="D2294" s="89" t="str">
        <v>Periódica</v>
      </c>
      <c r="E2294" s="89">
        <v>365</v>
      </c>
      <c r="F2294" s="89" t="str">
        <v/>
      </c>
      <c r="G2294" s="89" t="str">
        <f ca="1"/>
        <v/>
      </c>
    </row>
    <row r="2295" spans="1:7" x14ac:dyDescent="0.3">
      <c r="A2295" s="89" t="str">
        <v/>
      </c>
      <c r="B2295" s="89" t="str">
        <v>Primeros Auxilios (Brigadistas)</v>
      </c>
      <c r="C2295" s="90" t="str">
        <v/>
      </c>
      <c r="D2295" s="89" t="str">
        <v>Periódica</v>
      </c>
      <c r="E2295" s="89">
        <v>365</v>
      </c>
      <c r="F2295" s="89" t="str">
        <v/>
      </c>
      <c r="G2295" s="89" t="str">
        <f ca="1"/>
        <v/>
      </c>
    </row>
    <row r="2296" spans="1:7" x14ac:dyDescent="0.3">
      <c r="A2296" s="89" t="str">
        <v/>
      </c>
      <c r="B2296" s="89" t="str">
        <v>Seguridad Electrica (Todos)</v>
      </c>
      <c r="C2296" s="90" t="str">
        <v/>
      </c>
      <c r="D2296" s="89" t="str">
        <v>Periódica</v>
      </c>
      <c r="E2296" s="89">
        <v>365</v>
      </c>
      <c r="F2296" s="89" t="str">
        <v/>
      </c>
      <c r="G2296" s="89" t="str">
        <f ca="1"/>
        <v/>
      </c>
    </row>
    <row r="2297" spans="1:7" x14ac:dyDescent="0.3">
      <c r="A2297" s="89" t="str">
        <v/>
      </c>
      <c r="B2297" s="89" t="str">
        <v>Seguridad Electrica (Personal Autorizado)</v>
      </c>
      <c r="C2297" s="90" t="str">
        <v/>
      </c>
      <c r="D2297" s="89" t="str">
        <v>Periódica</v>
      </c>
      <c r="E2297" s="89">
        <v>1095</v>
      </c>
      <c r="F2297" s="89" t="str">
        <v/>
      </c>
      <c r="G2297" s="89" t="str">
        <f ca="1"/>
        <v/>
      </c>
    </row>
    <row r="2298" spans="1:7" x14ac:dyDescent="0.3">
      <c r="A2298" s="89" t="str">
        <v/>
      </c>
      <c r="B2298" s="89" t="str">
        <v>Camiones Industriales Motorizados (PIT) (Todos)</v>
      </c>
      <c r="C2298" s="90" t="str">
        <v/>
      </c>
      <c r="D2298" s="89" t="str">
        <v>Periódica</v>
      </c>
      <c r="E2298" s="89">
        <v>365</v>
      </c>
      <c r="F2298" s="89" t="str">
        <v/>
      </c>
      <c r="G2298" s="89" t="str">
        <f ca="1"/>
        <v/>
      </c>
    </row>
    <row r="2299" spans="1:7" x14ac:dyDescent="0.3">
      <c r="A2299" s="89" t="str">
        <v/>
      </c>
      <c r="B2299" s="89" t="str">
        <v>Camiones Industriales Motorizados (PIT) (Op. Montacargas)</v>
      </c>
      <c r="C2299" s="90" t="str">
        <v/>
      </c>
      <c r="D2299" s="89" t="str">
        <v>Periódica</v>
      </c>
      <c r="E2299" s="89">
        <v>365</v>
      </c>
      <c r="F2299" s="89" t="str">
        <v/>
      </c>
      <c r="G2299" s="89" t="str">
        <f ca="1"/>
        <v/>
      </c>
    </row>
    <row r="2300" spans="1:7" x14ac:dyDescent="0.3">
      <c r="A2300" s="89" t="str">
        <v/>
      </c>
      <c r="B2300" s="89" t="str">
        <v>Control de Energias Peligrosas (LOTO) (Todos)</v>
      </c>
      <c r="C2300" s="90" t="str">
        <v/>
      </c>
      <c r="D2300" s="89" t="str">
        <v>Evento</v>
      </c>
      <c r="E2300" s="89">
        <v>0</v>
      </c>
      <c r="F2300" s="89" t="str">
        <v/>
      </c>
      <c r="G2300" s="89" t="str">
        <f ca="1"/>
        <v/>
      </c>
    </row>
    <row r="2301" spans="1:7" x14ac:dyDescent="0.3">
      <c r="A2301" s="89" t="str">
        <v/>
      </c>
      <c r="B2301" s="89" t="str">
        <v>Control de Energias Peligrosas (LOTO) (Empleados Autorizados)</v>
      </c>
      <c r="C2301" s="90" t="str">
        <v/>
      </c>
      <c r="D2301" s="89" t="str">
        <v>Periódica</v>
      </c>
      <c r="E2301" s="89">
        <v>365</v>
      </c>
      <c r="F2301" s="89" t="str">
        <v/>
      </c>
      <c r="G2301" s="89" t="str">
        <f ca="1"/>
        <v/>
      </c>
    </row>
    <row r="2302" spans="1:7" x14ac:dyDescent="0.3">
      <c r="A2302" s="89" t="str">
        <v/>
      </c>
      <c r="B2302" s="89" t="str">
        <v>Seguridad aplicada al Pozo &amp; Yacimiento</v>
      </c>
      <c r="C2302" s="90" t="str">
        <v/>
      </c>
      <c r="D2302" s="89" t="str">
        <v>Periódica</v>
      </c>
      <c r="E2302" s="89">
        <v>365</v>
      </c>
      <c r="F2302" s="89" t="str">
        <v/>
      </c>
      <c r="G2302" s="89" t="str">
        <f ca="1"/>
        <v/>
      </c>
    </row>
    <row r="2303" spans="1:7" x14ac:dyDescent="0.3">
      <c r="A2303" s="89" t="str">
        <v/>
      </c>
      <c r="B2303" s="89" t="str">
        <v>Las Reglas que Salvan Vidas</v>
      </c>
      <c r="C2303" s="90" t="str">
        <v/>
      </c>
      <c r="D2303" s="89" t="str">
        <v>Periódica</v>
      </c>
      <c r="E2303" s="89">
        <v>365</v>
      </c>
      <c r="F2303" s="89" t="str">
        <v/>
      </c>
      <c r="G2303" s="89" t="str">
        <f ca="1"/>
        <v/>
      </c>
    </row>
    <row r="2304" spans="1:7" x14ac:dyDescent="0.3">
      <c r="A2304" s="89" t="str">
        <v/>
      </c>
      <c r="B2304" s="89" t="str">
        <v xml:space="preserve">Resguardo de Maquinas &amp; Equipos </v>
      </c>
      <c r="C2304" s="90" t="str">
        <v/>
      </c>
      <c r="D2304" s="89" t="str">
        <v>Periódica</v>
      </c>
      <c r="E2304" s="89">
        <v>365</v>
      </c>
      <c r="F2304" s="89" t="str">
        <v/>
      </c>
      <c r="G2304" s="89" t="str">
        <f ca="1"/>
        <v/>
      </c>
    </row>
    <row r="2305" spans="1:7" x14ac:dyDescent="0.3">
      <c r="A2305" s="89" t="str">
        <v/>
      </c>
      <c r="B2305" s="89" t="str">
        <v>Conduccion y Gestion de Viajes (Todos)</v>
      </c>
      <c r="C2305" s="90" t="str">
        <v/>
      </c>
      <c r="D2305" s="89" t="str">
        <v>Periódica</v>
      </c>
      <c r="E2305" s="89">
        <v>730</v>
      </c>
      <c r="F2305" s="89" t="str">
        <v/>
      </c>
      <c r="G2305" s="89" t="str">
        <f ca="1"/>
        <v/>
      </c>
    </row>
    <row r="2306" spans="1:7" x14ac:dyDescent="0.3">
      <c r="A2306" s="89" t="str">
        <v/>
      </c>
      <c r="B2306" s="89" t="str">
        <v>Conduccion y Gestion de Viajes (Conductores)</v>
      </c>
      <c r="C2306" s="90" t="str">
        <v/>
      </c>
      <c r="D2306" s="89" t="str">
        <v>Periódica</v>
      </c>
      <c r="E2306" s="89">
        <v>1095</v>
      </c>
      <c r="F2306" s="89" t="str">
        <v/>
      </c>
      <c r="G2306" s="89" t="str">
        <f ca="1"/>
        <v/>
      </c>
    </row>
    <row r="2307" spans="1:7" x14ac:dyDescent="0.3">
      <c r="A2307" s="89" t="str">
        <v/>
      </c>
      <c r="B2307" s="89" t="str">
        <v>Patogenos Transmitidos por la Sangre</v>
      </c>
      <c r="C2307" s="90" t="str">
        <v/>
      </c>
      <c r="D2307" s="89" t="str">
        <v>Periódica</v>
      </c>
      <c r="E2307" s="89">
        <v>365</v>
      </c>
      <c r="F2307" s="89" t="str">
        <v/>
      </c>
      <c r="G2307" s="89" t="str">
        <f ca="1"/>
        <v/>
      </c>
    </row>
    <row r="2308" spans="1:7" x14ac:dyDescent="0.3">
      <c r="A2308" s="89" t="str">
        <v/>
      </c>
      <c r="B2308" s="89" t="str">
        <v>Conservacion Auditiva</v>
      </c>
      <c r="C2308" s="90" t="str">
        <v/>
      </c>
      <c r="D2308" s="89" t="str">
        <v>Periódica</v>
      </c>
      <c r="E2308" s="89">
        <v>365</v>
      </c>
      <c r="F2308" s="89" t="str">
        <v/>
      </c>
      <c r="G2308" s="89" t="str">
        <f ca="1"/>
        <v/>
      </c>
    </row>
    <row r="2309" spans="1:7" x14ac:dyDescent="0.3">
      <c r="A2309" s="89" t="str">
        <v/>
      </c>
      <c r="B2309" s="89" t="str">
        <v xml:space="preserve">Ergonomia //  / Levantamiento &amp; Seguridad en la Espalda </v>
      </c>
      <c r="C2309" s="90" t="str">
        <v/>
      </c>
      <c r="D2309" s="89" t="str">
        <v>Periódica</v>
      </c>
      <c r="E2309" s="89">
        <v>365</v>
      </c>
      <c r="F2309" s="89" t="str">
        <v/>
      </c>
      <c r="G2309" s="89" t="str">
        <f ca="1"/>
        <v/>
      </c>
    </row>
    <row r="2310" spans="1:7" x14ac:dyDescent="0.3">
      <c r="A2310" s="89" t="str">
        <v/>
      </c>
      <c r="B2310" s="89" t="str">
        <v>Superficies Elevadas (Todos)</v>
      </c>
      <c r="C2310" s="90" t="str">
        <v/>
      </c>
      <c r="D2310" s="89" t="str">
        <v>Periódica</v>
      </c>
      <c r="E2310" s="89">
        <v>365</v>
      </c>
      <c r="F2310" s="89" t="str">
        <v/>
      </c>
      <c r="G2310" s="89" t="str">
        <f ca="1"/>
        <v/>
      </c>
    </row>
    <row r="2311" spans="1:7" x14ac:dyDescent="0.3">
      <c r="A2311" s="89" t="str">
        <v/>
      </c>
      <c r="B2311" s="89" t="str">
        <v>Superficies Elevadas (Personal Habilitado)</v>
      </c>
      <c r="C2311" s="90" t="str">
        <v/>
      </c>
      <c r="D2311" s="89" t="str">
        <v>Periódica</v>
      </c>
      <c r="E2311" s="89">
        <v>365</v>
      </c>
      <c r="F2311" s="89" t="str">
        <v/>
      </c>
      <c r="G2311" s="89" t="str">
        <f ca="1"/>
        <v/>
      </c>
    </row>
    <row r="2312" spans="1:7" x14ac:dyDescent="0.3">
      <c r="A2312" s="89" t="str">
        <v/>
      </c>
      <c r="B2312" s="89" t="str">
        <v>Seguridad Quimica (Todos)</v>
      </c>
      <c r="C2312" s="90" t="str">
        <v/>
      </c>
      <c r="D2312" s="89" t="str">
        <v>Periódica</v>
      </c>
      <c r="E2312" s="89">
        <v>730</v>
      </c>
      <c r="F2312" s="89" t="str">
        <v/>
      </c>
      <c r="G2312" s="89" t="str">
        <f ca="1"/>
        <v/>
      </c>
    </row>
    <row r="2313" spans="1:7" x14ac:dyDescent="0.3">
      <c r="A2313" s="89" t="str">
        <v/>
      </c>
      <c r="B2313" s="89" t="str">
        <v>Seguridad Quimica (Mantenimiento)</v>
      </c>
      <c r="C2313" s="90" t="str">
        <v/>
      </c>
      <c r="D2313" s="89" t="str">
        <v>Periódica</v>
      </c>
      <c r="E2313" s="89">
        <v>365</v>
      </c>
      <c r="F2313" s="89" t="str">
        <v/>
      </c>
      <c r="G2313" s="89" t="str">
        <f ca="1"/>
        <v/>
      </c>
    </row>
    <row r="2314" spans="1:7" x14ac:dyDescent="0.3">
      <c r="A2314" s="89" t="str">
        <v/>
      </c>
      <c r="B2314" s="89" t="str">
        <v>Seguridad Quimica (Contratistas)</v>
      </c>
      <c r="C2314" s="90" t="str">
        <v/>
      </c>
      <c r="D2314" s="89" t="str">
        <v>Periódica</v>
      </c>
      <c r="E2314" s="89">
        <v>365</v>
      </c>
      <c r="F2314" s="89" t="str">
        <v/>
      </c>
      <c r="G2314" s="89" t="str">
        <f ca="1"/>
        <v/>
      </c>
    </row>
    <row r="2315" spans="1:7" x14ac:dyDescent="0.3">
      <c r="A2315" s="89" t="str">
        <v/>
      </c>
      <c r="B2315" s="89" t="str">
        <v>Seguridad para Trabajos en Caliente</v>
      </c>
      <c r="C2315" s="90" t="str">
        <v/>
      </c>
      <c r="D2315" s="89" t="str">
        <v>Periódica</v>
      </c>
      <c r="E2315" s="89">
        <v>365</v>
      </c>
      <c r="F2315" s="89" t="str">
        <v/>
      </c>
      <c r="G2315" s="89" t="str">
        <f ca="1"/>
        <v/>
      </c>
    </row>
    <row r="2316" spans="1:7" x14ac:dyDescent="0.3">
      <c r="A2316" s="89" t="str">
        <v/>
      </c>
      <c r="B2316" s="89" t="str">
        <v>Seguridad con la Radiacion</v>
      </c>
      <c r="C2316" s="90" t="str">
        <v/>
      </c>
      <c r="D2316" s="89" t="str">
        <v>Periódica</v>
      </c>
      <c r="E2316" s="89">
        <v>365</v>
      </c>
      <c r="F2316" s="89" t="str">
        <v/>
      </c>
      <c r="G2316" s="89" t="str">
        <f ca="1"/>
        <v/>
      </c>
    </row>
    <row r="2317" spans="1:7" x14ac:dyDescent="0.3">
      <c r="A2317" s="89" t="str">
        <v/>
      </c>
      <c r="B2317" s="89" t="str">
        <v>Equipo de Proteccion Personal (PPE)</v>
      </c>
      <c r="C2317" s="90" t="str">
        <v/>
      </c>
      <c r="D2317" s="89" t="str">
        <v>Periódica</v>
      </c>
      <c r="E2317" s="89">
        <v>365</v>
      </c>
      <c r="F2317" s="89" t="str">
        <v/>
      </c>
      <c r="G2317" s="89" t="str">
        <f ca="1"/>
        <v/>
      </c>
    </row>
    <row r="2318" spans="1:7" x14ac:dyDescent="0.3">
      <c r="A2318" s="89" t="str">
        <v/>
      </c>
      <c r="B2318" s="89" t="str">
        <v>Proteccion Respiratoria</v>
      </c>
      <c r="C2318" s="90" t="str">
        <v/>
      </c>
      <c r="D2318" s="89" t="str">
        <v>Periódica</v>
      </c>
      <c r="E2318" s="89">
        <v>365</v>
      </c>
      <c r="F2318" s="89" t="str">
        <v/>
      </c>
      <c r="G2318" s="89" t="str">
        <f ca="1"/>
        <v/>
      </c>
    </row>
    <row r="2319" spans="1:7" x14ac:dyDescent="0.3">
      <c r="A2319" s="89" t="str">
        <v/>
      </c>
      <c r="B2319" s="89" t="str">
        <v xml:space="preserve">Seguridad con Escaleras </v>
      </c>
      <c r="C2319" s="90" t="str">
        <v/>
      </c>
      <c r="D2319" s="89" t="str">
        <v>Periódica</v>
      </c>
      <c r="E2319" s="89">
        <v>365</v>
      </c>
      <c r="F2319" s="89" t="str">
        <v/>
      </c>
      <c r="G2319" s="89" t="str">
        <f ca="1"/>
        <v/>
      </c>
    </row>
    <row r="2320" spans="1:7" x14ac:dyDescent="0.3">
      <c r="A2320" s="89" t="str">
        <v/>
      </c>
      <c r="B2320" s="89" t="str">
        <v>Seguridad con Escaleras // Estantes de Almacenamiento</v>
      </c>
      <c r="C2320" s="90" t="str">
        <v/>
      </c>
      <c r="D2320" s="89" t="str">
        <v>Periódica</v>
      </c>
      <c r="E2320" s="89">
        <v>365</v>
      </c>
      <c r="F2320" s="89" t="str">
        <v/>
      </c>
      <c r="G2320" s="89" t="str">
        <f ca="1"/>
        <v/>
      </c>
    </row>
    <row r="2321" spans="1:7" x14ac:dyDescent="0.3">
      <c r="A2321" s="89" t="str">
        <v/>
      </c>
      <c r="B2321" s="89" t="str">
        <v>Responsabilidades del Supervisor</v>
      </c>
      <c r="C2321" s="90" t="str">
        <v/>
      </c>
      <c r="D2321" s="89" t="str">
        <v>Periódica</v>
      </c>
      <c r="E2321" s="89">
        <v>365</v>
      </c>
      <c r="F2321" s="89" t="str">
        <v/>
      </c>
      <c r="G2321" s="89" t="str">
        <f ca="1"/>
        <v/>
      </c>
    </row>
    <row r="2322" spans="1:7" x14ac:dyDescent="0.3">
      <c r="A2322" s="89" t="str">
        <v/>
      </c>
      <c r="B2322" s="89" t="str">
        <v>Espacios Confinados (Todos)</v>
      </c>
      <c r="C2322" s="90" t="str">
        <v/>
      </c>
      <c r="D2322" s="89" t="str">
        <v>Periódica</v>
      </c>
      <c r="E2322" s="89">
        <v>365</v>
      </c>
      <c r="F2322" s="89" t="str">
        <v/>
      </c>
      <c r="G2322" s="89" t="str">
        <f ca="1"/>
        <v/>
      </c>
    </row>
    <row r="2323" spans="1:7" x14ac:dyDescent="0.3">
      <c r="A2323" s="89" t="str">
        <v/>
      </c>
      <c r="B2323" s="89" t="str">
        <v>HSMS.017 / Espacios Confinados (Entrantes)</v>
      </c>
      <c r="C2323" s="90" t="str">
        <v/>
      </c>
      <c r="D2323" s="89" t="str">
        <v>Evento</v>
      </c>
      <c r="E2323" s="89">
        <v>0</v>
      </c>
      <c r="F2323" s="89" t="str">
        <v/>
      </c>
      <c r="G2323" s="89" t="str">
        <f ca="1"/>
        <v/>
      </c>
    </row>
    <row r="2324" spans="1:7" x14ac:dyDescent="0.3">
      <c r="A2324" s="89" t="str">
        <v/>
      </c>
      <c r="B2324" s="89" t="str">
        <v>Programa de Agua (Todos)</v>
      </c>
      <c r="C2324" s="90" t="str">
        <v/>
      </c>
      <c r="D2324" s="89" t="str">
        <v>Evento</v>
      </c>
      <c r="E2324" s="89">
        <v>0</v>
      </c>
      <c r="F2324" s="89" t="str">
        <v/>
      </c>
      <c r="G2324" s="89" t="str">
        <f ca="1"/>
        <v/>
      </c>
    </row>
    <row r="2325" spans="1:7" x14ac:dyDescent="0.3">
      <c r="A2325" s="89" t="str">
        <v/>
      </c>
      <c r="B2325" s="89" t="str">
        <v>Programa de Agua (HSE)</v>
      </c>
      <c r="C2325" s="90" t="str">
        <v/>
      </c>
      <c r="D2325" s="89" t="str">
        <v>Evento</v>
      </c>
      <c r="E2325" s="89">
        <v>0</v>
      </c>
      <c r="F2325" s="89" t="str">
        <v/>
      </c>
      <c r="G2325" s="89" t="str">
        <f ca="1"/>
        <v/>
      </c>
    </row>
    <row r="2326" spans="1:7" x14ac:dyDescent="0.3">
      <c r="A2326" s="89" t="str">
        <v/>
      </c>
      <c r="B2326" s="89" t="str">
        <v>HIV/SIDA y otras enfermedades de transmisión sexual (ETS)</v>
      </c>
      <c r="C2326" s="90" t="str">
        <v/>
      </c>
      <c r="D2326" s="89" t="str">
        <v>Periódica</v>
      </c>
      <c r="E2326" s="89">
        <v>365</v>
      </c>
      <c r="F2326" s="89" t="str">
        <v/>
      </c>
      <c r="G2326" s="89" t="str">
        <f ca="1"/>
        <v/>
      </c>
    </row>
    <row r="2327" spans="1:7" x14ac:dyDescent="0.3">
      <c r="A2327" s="89" t="str">
        <v/>
      </c>
      <c r="B2327" s="89" t="str">
        <v>Drogas de abuso (concientización y prevención)</v>
      </c>
      <c r="C2327" s="90" t="str">
        <v/>
      </c>
      <c r="D2327" s="89" t="str">
        <v>Periódica</v>
      </c>
      <c r="E2327" s="89">
        <v>365</v>
      </c>
      <c r="F2327" s="89" t="str">
        <v/>
      </c>
      <c r="G2327" s="89" t="str">
        <f ca="1"/>
        <v/>
      </c>
    </row>
    <row r="2328" spans="1:7" x14ac:dyDescent="0.3">
      <c r="A2328" s="89" t="str">
        <v/>
      </c>
      <c r="B2328" s="89" t="str">
        <v>Vida saludable (hábitos, autocuidado y bienestar)</v>
      </c>
      <c r="C2328" s="90" t="str">
        <v/>
      </c>
      <c r="D2328" s="89" t="str">
        <v>Periódica</v>
      </c>
      <c r="E2328" s="89">
        <v>365</v>
      </c>
      <c r="F2328" s="89" t="str">
        <v/>
      </c>
      <c r="G2328" s="89" t="str">
        <f ca="1"/>
        <v/>
      </c>
    </row>
    <row r="2329" spans="1:7" x14ac:dyDescent="0.3">
      <c r="A2329" s="89" t="str">
        <v/>
      </c>
      <c r="B2329" s="89" t="str">
        <v>Primeros auxilios y Reanimación Cardio Pulmonar (RCP)</v>
      </c>
      <c r="C2329" s="90" t="str">
        <v/>
      </c>
      <c r="D2329" s="89" t="str">
        <v>Periódica</v>
      </c>
      <c r="E2329" s="89">
        <v>365</v>
      </c>
      <c r="F2329" s="89" t="str">
        <v/>
      </c>
      <c r="G2329" s="89" t="str">
        <f ca="1"/>
        <v/>
      </c>
    </row>
    <row r="2330" spans="1:7" x14ac:dyDescent="0.3">
      <c r="A2330" s="89" t="str">
        <v/>
      </c>
      <c r="B2330" s="89" t="str">
        <v>Prevención cardiovascular (factores de riesgo y señales de alarma)</v>
      </c>
      <c r="C2330" s="90" t="str">
        <v/>
      </c>
      <c r="D2330" s="89" t="str">
        <v>Periódica</v>
      </c>
      <c r="E2330" s="89">
        <v>365</v>
      </c>
      <c r="F2330" s="89" t="str">
        <v/>
      </c>
      <c r="G2330" s="89" t="str">
        <f ca="1"/>
        <v/>
      </c>
    </row>
    <row r="2331" spans="1:7" x14ac:dyDescent="0.3">
      <c r="A2331" s="89" t="str">
        <v/>
      </c>
      <c r="B2331" s="89" t="str">
        <v>Efectos del tabaco sobre la salud</v>
      </c>
      <c r="C2331" s="90" t="str">
        <v/>
      </c>
      <c r="D2331" s="89" t="str">
        <v>Periódica</v>
      </c>
      <c r="E2331" s="89">
        <v>365</v>
      </c>
      <c r="F2331" s="89" t="str">
        <v/>
      </c>
      <c r="G2331" s="89" t="str">
        <f ca="1"/>
        <v/>
      </c>
    </row>
    <row r="2332" spans="1:7" x14ac:dyDescent="0.3">
      <c r="A2332" s="89" t="str">
        <v/>
      </c>
      <c r="B2332" s="89" t="str">
        <v>Cargadora (Op. Montacargas)</v>
      </c>
      <c r="C2332" s="90" t="str">
        <v/>
      </c>
      <c r="D2332" s="89" t="str">
        <v>Periódica</v>
      </c>
      <c r="E2332" s="89">
        <v>365</v>
      </c>
      <c r="F2332" s="89" t="str">
        <v/>
      </c>
      <c r="G2332" s="89" t="str">
        <f ca="1"/>
        <v/>
      </c>
    </row>
    <row r="2333" spans="1:7" x14ac:dyDescent="0.3">
      <c r="A2333" s="89" t="str">
        <v/>
      </c>
      <c r="B2333" s="89">
        <v>0</v>
      </c>
      <c r="C2333" s="90" t="str">
        <v/>
      </c>
      <c r="D2333" s="89" t="str">
        <v/>
      </c>
      <c r="E2333" s="89" t="str">
        <v/>
      </c>
      <c r="F2333" s="89" t="str">
        <v/>
      </c>
      <c r="G2333" s="89" t="str">
        <f ca="1"/>
        <v/>
      </c>
    </row>
    <row r="2334" spans="1:7" x14ac:dyDescent="0.3">
      <c r="A2334" s="89" t="str">
        <v/>
      </c>
      <c r="B2334" s="89">
        <v>0</v>
      </c>
      <c r="C2334" s="90" t="str">
        <v/>
      </c>
      <c r="D2334" s="89" t="str">
        <v/>
      </c>
      <c r="E2334" s="89" t="str">
        <v/>
      </c>
      <c r="F2334" s="89" t="str">
        <v/>
      </c>
      <c r="G2334" s="89" t="str">
        <f ca="1"/>
        <v/>
      </c>
    </row>
    <row r="2335" spans="1:7" x14ac:dyDescent="0.3">
      <c r="A2335" s="89" t="str">
        <v/>
      </c>
      <c r="B2335" s="89">
        <v>0</v>
      </c>
      <c r="C2335" s="90" t="str">
        <v/>
      </c>
      <c r="D2335" s="89" t="str">
        <v/>
      </c>
      <c r="E2335" s="89" t="str">
        <v/>
      </c>
      <c r="F2335" s="89" t="str">
        <v/>
      </c>
      <c r="G2335" s="89" t="str">
        <f ca="1"/>
        <v/>
      </c>
    </row>
    <row r="2336" spans="1:7" x14ac:dyDescent="0.3">
      <c r="A2336" s="89" t="str">
        <v/>
      </c>
      <c r="B2336" s="89">
        <v>0</v>
      </c>
      <c r="C2336" s="90" t="str">
        <v/>
      </c>
      <c r="D2336" s="89" t="str">
        <v/>
      </c>
      <c r="E2336" s="89" t="str">
        <v/>
      </c>
      <c r="F2336" s="89" t="str">
        <v/>
      </c>
      <c r="G2336" s="89" t="str">
        <f ca="1"/>
        <v/>
      </c>
    </row>
    <row r="2337" spans="1:7" x14ac:dyDescent="0.3">
      <c r="A2337" s="89" t="str">
        <v/>
      </c>
      <c r="B2337" s="89">
        <v>0</v>
      </c>
      <c r="C2337" s="90" t="str">
        <v/>
      </c>
      <c r="D2337" s="89" t="str">
        <v/>
      </c>
      <c r="E2337" s="89" t="str">
        <v/>
      </c>
      <c r="F2337" s="89" t="str">
        <v/>
      </c>
      <c r="G2337" s="89" t="str">
        <f ca="1"/>
        <v/>
      </c>
    </row>
    <row r="2338" spans="1:7" x14ac:dyDescent="0.3">
      <c r="A2338" s="89" t="str">
        <v/>
      </c>
      <c r="B2338" s="89">
        <v>0</v>
      </c>
      <c r="C2338" s="90" t="str">
        <v/>
      </c>
      <c r="D2338" s="89" t="str">
        <v/>
      </c>
      <c r="E2338" s="89" t="str">
        <v/>
      </c>
      <c r="F2338" s="89" t="str">
        <v/>
      </c>
      <c r="G2338" s="89" t="str">
        <f ca="1"/>
        <v/>
      </c>
    </row>
    <row r="2339" spans="1:7" x14ac:dyDescent="0.3">
      <c r="A2339" s="89" t="str">
        <v/>
      </c>
      <c r="B2339" s="89">
        <v>0</v>
      </c>
      <c r="C2339" s="90" t="str">
        <v/>
      </c>
      <c r="D2339" s="89" t="str">
        <v/>
      </c>
      <c r="E2339" s="89" t="str">
        <v/>
      </c>
      <c r="F2339" s="89" t="str">
        <v/>
      </c>
      <c r="G2339" s="89" t="str">
        <f ca="1"/>
        <v/>
      </c>
    </row>
    <row r="2340" spans="1:7" x14ac:dyDescent="0.3">
      <c r="A2340" s="89" t="str">
        <v/>
      </c>
      <c r="B2340" s="89">
        <v>0</v>
      </c>
      <c r="C2340" s="90" t="str">
        <v/>
      </c>
      <c r="D2340" s="89" t="str">
        <v/>
      </c>
      <c r="E2340" s="89" t="str">
        <v/>
      </c>
      <c r="F2340" s="89" t="str">
        <v/>
      </c>
      <c r="G2340" s="89" t="str">
        <f ca="1"/>
        <v/>
      </c>
    </row>
    <row r="2341" spans="1:7" x14ac:dyDescent="0.3">
      <c r="A2341" s="89" t="str">
        <v/>
      </c>
      <c r="B2341" s="89">
        <v>0</v>
      </c>
      <c r="C2341" s="90" t="str">
        <v/>
      </c>
      <c r="D2341" s="89" t="str">
        <v/>
      </c>
      <c r="E2341" s="89" t="str">
        <v/>
      </c>
      <c r="F2341" s="89" t="str">
        <v/>
      </c>
      <c r="G2341" s="89" t="str">
        <f ca="1"/>
        <v/>
      </c>
    </row>
    <row r="2342" spans="1:7" x14ac:dyDescent="0.3">
      <c r="A2342" s="89" t="str">
        <v/>
      </c>
      <c r="B2342" s="89" t="str">
        <v>Programa de Aire</v>
      </c>
      <c r="C2342" s="90" t="str">
        <v/>
      </c>
      <c r="D2342" s="89" t="str">
        <v>Evento</v>
      </c>
      <c r="E2342" s="89">
        <v>0</v>
      </c>
      <c r="F2342" s="89" t="str">
        <v/>
      </c>
      <c r="G2342" s="89" t="str">
        <f ca="1"/>
        <v/>
      </c>
    </row>
    <row r="2343" spans="1:7" x14ac:dyDescent="0.3">
      <c r="A2343" s="89" t="str">
        <v/>
      </c>
      <c r="B2343" s="89" t="str">
        <v>Conciencia Ambiental</v>
      </c>
      <c r="C2343" s="90" t="str">
        <v/>
      </c>
      <c r="D2343" s="89" t="str">
        <v>Periódica</v>
      </c>
      <c r="E2343" s="89">
        <v>365</v>
      </c>
      <c r="F2343" s="89" t="str">
        <v/>
      </c>
      <c r="G2343" s="89" t="str">
        <f ca="1"/>
        <v/>
      </c>
    </row>
    <row r="2344" spans="1:7" x14ac:dyDescent="0.3">
      <c r="A2344" s="89" t="str">
        <v/>
      </c>
      <c r="B2344" s="89" t="str">
        <v xml:space="preserve">Control de Documentos e Informacion de HSE </v>
      </c>
      <c r="C2344" s="90" t="str">
        <v/>
      </c>
      <c r="D2344" s="89" t="str">
        <v>Evento</v>
      </c>
      <c r="E2344" s="89">
        <v>0</v>
      </c>
      <c r="F2344" s="89" t="str">
        <v/>
      </c>
      <c r="G2344" s="89" t="str">
        <f ca="1"/>
        <v/>
      </c>
    </row>
    <row r="2345" spans="1:7" x14ac:dyDescent="0.3">
      <c r="A2345" s="89" t="str">
        <v/>
      </c>
      <c r="B2345" s="89" t="str">
        <v xml:space="preserve"> Acciones Correctivas y Preventivas (CAPA)</v>
      </c>
      <c r="C2345" s="90" t="str">
        <v/>
      </c>
      <c r="D2345" s="89" t="str">
        <v>Evento</v>
      </c>
      <c r="E2345" s="89">
        <v>0</v>
      </c>
      <c r="F2345" s="89" t="str">
        <v/>
      </c>
      <c r="G2345" s="89" t="str">
        <f ca="1"/>
        <v/>
      </c>
    </row>
    <row r="2346" spans="1:7" x14ac:dyDescent="0.3">
      <c r="A2346" s="89" t="str">
        <v/>
      </c>
      <c r="B2346" s="89" t="str">
        <v>Seguridad Basada en el Comportamiento (Observation Program) // HSMS.043 / Autoridad de Detener el Trabajo</v>
      </c>
      <c r="C2346" s="90" t="str">
        <v/>
      </c>
      <c r="D2346" s="89" t="str">
        <v>Periódica</v>
      </c>
      <c r="E2346" s="89">
        <v>365</v>
      </c>
      <c r="F2346" s="89" t="str">
        <v/>
      </c>
      <c r="G2346" s="89" t="str">
        <f ca="1"/>
        <v/>
      </c>
    </row>
    <row r="2347" spans="1:7" x14ac:dyDescent="0.3">
      <c r="A2347" s="89" t="str">
        <v/>
      </c>
      <c r="B2347" s="89" t="str">
        <v>Identificacion de Peligros y Evaluacion de Riesgos</v>
      </c>
      <c r="C2347" s="90" t="str">
        <v/>
      </c>
      <c r="D2347" s="89" t="str">
        <v>Evento</v>
      </c>
      <c r="E2347" s="89">
        <v>0</v>
      </c>
      <c r="F2347" s="89" t="str">
        <v/>
      </c>
      <c r="G2347" s="89" t="str">
        <f ca="1"/>
        <v/>
      </c>
    </row>
    <row r="2348" spans="1:7" x14ac:dyDescent="0.3">
      <c r="A2348" s="89" t="str">
        <v/>
      </c>
      <c r="B2348" s="89" t="str">
        <v xml:space="preserve"> Plan de Respuesta ante Eemergencias / HSMS.010 /Primeros Axulios &amp; RCP/DEA / HSMSWT-002 / Patogenos Trasnmitidos por la Sangre</v>
      </c>
      <c r="C2348" s="90" t="str">
        <v/>
      </c>
      <c r="D2348" s="89" t="str">
        <v>Periódica</v>
      </c>
      <c r="E2348" s="89">
        <v>365</v>
      </c>
      <c r="F2348" s="89" t="str">
        <v/>
      </c>
      <c r="G2348" s="89" t="str">
        <f ca="1"/>
        <v/>
      </c>
    </row>
    <row r="2349" spans="1:7" x14ac:dyDescent="0.3">
      <c r="A2349" s="89" t="str">
        <v/>
      </c>
      <c r="B2349" s="89" t="str">
        <v>Reporte y Gestion de Incidentes HSE (Todos)</v>
      </c>
      <c r="C2349" s="90" t="str">
        <v/>
      </c>
      <c r="D2349" s="89" t="str">
        <v>Periódica</v>
      </c>
      <c r="E2349" s="89">
        <v>365</v>
      </c>
      <c r="F2349" s="89" t="str">
        <v/>
      </c>
      <c r="G2349" s="89" t="str">
        <f ca="1"/>
        <v/>
      </c>
    </row>
    <row r="2350" spans="1:7" x14ac:dyDescent="0.3">
      <c r="A2350" s="89" t="str">
        <v/>
      </c>
      <c r="B2350" s="89" t="str">
        <v>Reporte, Gestion e Investigacion de Incidentes HSE (supervisores / investigadores (rol))</v>
      </c>
      <c r="C2350" s="90" t="str">
        <v/>
      </c>
      <c r="D2350" s="89" t="str">
        <v>Periódica</v>
      </c>
      <c r="E2350" s="89">
        <v>1095</v>
      </c>
      <c r="F2350" s="89" t="str">
        <v/>
      </c>
      <c r="G2350" s="89" t="str">
        <f ca="1"/>
        <v/>
      </c>
    </row>
    <row r="2351" spans="1:7" x14ac:dyDescent="0.3">
      <c r="A2351" s="89" t="str">
        <v/>
      </c>
      <c r="B2351" s="89" t="str">
        <v>Gruas y Equipos de Izaje (Todos)</v>
      </c>
      <c r="C2351" s="90" t="str">
        <v/>
      </c>
      <c r="D2351" s="89" t="str">
        <v>Periódica</v>
      </c>
      <c r="E2351" s="89">
        <v>365</v>
      </c>
      <c r="F2351" s="89" t="str">
        <v/>
      </c>
      <c r="G2351" s="89" t="str">
        <f ca="1"/>
        <v/>
      </c>
    </row>
    <row r="2352" spans="1:7" x14ac:dyDescent="0.3">
      <c r="A2352" s="89" t="str">
        <v/>
      </c>
      <c r="B2352" s="89" t="str">
        <v>HSMS.007 / Gruas y Equipos de Izaje (Operadores)</v>
      </c>
      <c r="C2352" s="90" t="str">
        <v/>
      </c>
      <c r="D2352" s="89" t="str">
        <v>Periódica</v>
      </c>
      <c r="E2352" s="89">
        <v>365</v>
      </c>
      <c r="F2352" s="89" t="str">
        <v/>
      </c>
      <c r="G2352" s="89" t="str">
        <f ca="1"/>
        <v/>
      </c>
    </row>
    <row r="2353" spans="1:7" x14ac:dyDescent="0.3">
      <c r="A2353" s="89" t="str">
        <v/>
      </c>
      <c r="B2353" s="89" t="str">
        <v>Proteccion Contra Incendios (Todos)</v>
      </c>
      <c r="C2353" s="90" t="str">
        <v/>
      </c>
      <c r="D2353" s="89" t="str">
        <v>Periódica</v>
      </c>
      <c r="E2353" s="89">
        <v>365</v>
      </c>
      <c r="F2353" s="89" t="str">
        <v/>
      </c>
      <c r="G2353" s="89" t="str">
        <f ca="1"/>
        <v/>
      </c>
    </row>
    <row r="2354" spans="1:7" x14ac:dyDescent="0.3">
      <c r="A2354" s="89" t="str">
        <v/>
      </c>
      <c r="B2354" s="89" t="str">
        <v>Proteccion Contra Incendios (Brigadistas)</v>
      </c>
      <c r="C2354" s="90" t="str">
        <v/>
      </c>
      <c r="D2354" s="89" t="str">
        <v>Periódica</v>
      </c>
      <c r="E2354" s="89">
        <v>365</v>
      </c>
      <c r="F2354" s="89" t="str">
        <v/>
      </c>
      <c r="G2354" s="89" t="str">
        <f ca="1"/>
        <v/>
      </c>
    </row>
    <row r="2355" spans="1:7" x14ac:dyDescent="0.3">
      <c r="A2355" s="89" t="str">
        <v/>
      </c>
      <c r="B2355" s="89" t="str">
        <v>Primeros Auxilios (Brigadistas)</v>
      </c>
      <c r="C2355" s="90" t="str">
        <v/>
      </c>
      <c r="D2355" s="89" t="str">
        <v>Periódica</v>
      </c>
      <c r="E2355" s="89">
        <v>365</v>
      </c>
      <c r="F2355" s="89" t="str">
        <v/>
      </c>
      <c r="G2355" s="89" t="str">
        <f ca="1"/>
        <v/>
      </c>
    </row>
    <row r="2356" spans="1:7" x14ac:dyDescent="0.3">
      <c r="A2356" s="89" t="str">
        <v/>
      </c>
      <c r="B2356" s="89" t="str">
        <v>Seguridad Electrica (Todos)</v>
      </c>
      <c r="C2356" s="90" t="str">
        <v/>
      </c>
      <c r="D2356" s="89" t="str">
        <v>Periódica</v>
      </c>
      <c r="E2356" s="89">
        <v>365</v>
      </c>
      <c r="F2356" s="89" t="str">
        <v/>
      </c>
      <c r="G2356" s="89" t="str">
        <f ca="1"/>
        <v/>
      </c>
    </row>
    <row r="2357" spans="1:7" x14ac:dyDescent="0.3">
      <c r="A2357" s="89" t="str">
        <v/>
      </c>
      <c r="B2357" s="89" t="str">
        <v>Seguridad Electrica (Personal Autorizado)</v>
      </c>
      <c r="C2357" s="90" t="str">
        <v/>
      </c>
      <c r="D2357" s="89" t="str">
        <v>Periódica</v>
      </c>
      <c r="E2357" s="89">
        <v>1095</v>
      </c>
      <c r="F2357" s="89" t="str">
        <v/>
      </c>
      <c r="G2357" s="89" t="str">
        <f ca="1"/>
        <v/>
      </c>
    </row>
    <row r="2358" spans="1:7" x14ac:dyDescent="0.3">
      <c r="A2358" s="89" t="str">
        <v/>
      </c>
      <c r="B2358" s="89" t="str">
        <v>Camiones Industriales Motorizados (PIT) (Todos)</v>
      </c>
      <c r="C2358" s="90" t="str">
        <v/>
      </c>
      <c r="D2358" s="89" t="str">
        <v>Periódica</v>
      </c>
      <c r="E2358" s="89">
        <v>365</v>
      </c>
      <c r="F2358" s="89" t="str">
        <v/>
      </c>
      <c r="G2358" s="89" t="str">
        <f ca="1"/>
        <v/>
      </c>
    </row>
    <row r="2359" spans="1:7" x14ac:dyDescent="0.3">
      <c r="A2359" s="89" t="str">
        <v/>
      </c>
      <c r="B2359" s="89" t="str">
        <v>Camiones Industriales Motorizados (PIT) (Op. Montacargas)</v>
      </c>
      <c r="C2359" s="90" t="str">
        <v/>
      </c>
      <c r="D2359" s="89" t="str">
        <v>Periódica</v>
      </c>
      <c r="E2359" s="89">
        <v>365</v>
      </c>
      <c r="F2359" s="89" t="str">
        <v/>
      </c>
      <c r="G2359" s="89" t="str">
        <f ca="1"/>
        <v/>
      </c>
    </row>
    <row r="2360" spans="1:7" x14ac:dyDescent="0.3">
      <c r="A2360" s="89" t="str">
        <v/>
      </c>
      <c r="B2360" s="89" t="str">
        <v>Control de Energias Peligrosas (LOTO) (Todos)</v>
      </c>
      <c r="C2360" s="90" t="str">
        <v/>
      </c>
      <c r="D2360" s="89" t="str">
        <v>Evento</v>
      </c>
      <c r="E2360" s="89">
        <v>0</v>
      </c>
      <c r="F2360" s="89" t="str">
        <v/>
      </c>
      <c r="G2360" s="89" t="str">
        <f ca="1"/>
        <v/>
      </c>
    </row>
    <row r="2361" spans="1:7" x14ac:dyDescent="0.3">
      <c r="A2361" s="89" t="str">
        <v/>
      </c>
      <c r="B2361" s="89" t="str">
        <v>Control de Energias Peligrosas (LOTO) (Empleados Autorizados)</v>
      </c>
      <c r="C2361" s="90" t="str">
        <v/>
      </c>
      <c r="D2361" s="89" t="str">
        <v>Periódica</v>
      </c>
      <c r="E2361" s="89">
        <v>365</v>
      </c>
      <c r="F2361" s="89" t="str">
        <v/>
      </c>
      <c r="G2361" s="89" t="str">
        <f ca="1"/>
        <v/>
      </c>
    </row>
    <row r="2362" spans="1:7" x14ac:dyDescent="0.3">
      <c r="A2362" s="89" t="str">
        <v/>
      </c>
      <c r="B2362" s="89" t="str">
        <v>Seguridad aplicada al Pozo &amp; Yacimiento</v>
      </c>
      <c r="C2362" s="90" t="str">
        <v/>
      </c>
      <c r="D2362" s="89" t="str">
        <v>Periódica</v>
      </c>
      <c r="E2362" s="89">
        <v>365</v>
      </c>
      <c r="F2362" s="89" t="str">
        <v/>
      </c>
      <c r="G2362" s="89" t="str">
        <f ca="1"/>
        <v/>
      </c>
    </row>
    <row r="2363" spans="1:7" x14ac:dyDescent="0.3">
      <c r="A2363" s="89" t="str">
        <v/>
      </c>
      <c r="B2363" s="89" t="str">
        <v>Las Reglas que Salvan Vidas</v>
      </c>
      <c r="C2363" s="90" t="str">
        <v/>
      </c>
      <c r="D2363" s="89" t="str">
        <v>Periódica</v>
      </c>
      <c r="E2363" s="89">
        <v>365</v>
      </c>
      <c r="F2363" s="89" t="str">
        <v/>
      </c>
      <c r="G2363" s="89" t="str">
        <f ca="1"/>
        <v/>
      </c>
    </row>
    <row r="2364" spans="1:7" x14ac:dyDescent="0.3">
      <c r="A2364" s="89" t="str">
        <v/>
      </c>
      <c r="B2364" s="89" t="str">
        <v xml:space="preserve">Resguardo de Maquinas &amp; Equipos </v>
      </c>
      <c r="C2364" s="90" t="str">
        <v/>
      </c>
      <c r="D2364" s="89" t="str">
        <v>Periódica</v>
      </c>
      <c r="E2364" s="89">
        <v>365</v>
      </c>
      <c r="F2364" s="89" t="str">
        <v/>
      </c>
      <c r="G2364" s="89" t="str">
        <f ca="1"/>
        <v/>
      </c>
    </row>
    <row r="2365" spans="1:7" x14ac:dyDescent="0.3">
      <c r="A2365" s="89" t="str">
        <v/>
      </c>
      <c r="B2365" s="89" t="str">
        <v>Conduccion y Gestion de Viajes (Todos)</v>
      </c>
      <c r="C2365" s="90" t="str">
        <v/>
      </c>
      <c r="D2365" s="89" t="str">
        <v>Periódica</v>
      </c>
      <c r="E2365" s="89">
        <v>730</v>
      </c>
      <c r="F2365" s="89" t="str">
        <v/>
      </c>
      <c r="G2365" s="89" t="str">
        <f ca="1"/>
        <v/>
      </c>
    </row>
    <row r="2366" spans="1:7" x14ac:dyDescent="0.3">
      <c r="A2366" s="89" t="str">
        <v/>
      </c>
      <c r="B2366" s="89" t="str">
        <v>Conduccion y Gestion de Viajes (Conductores)</v>
      </c>
      <c r="C2366" s="90" t="str">
        <v/>
      </c>
      <c r="D2366" s="89" t="str">
        <v>Periódica</v>
      </c>
      <c r="E2366" s="89">
        <v>1095</v>
      </c>
      <c r="F2366" s="89" t="str">
        <v/>
      </c>
      <c r="G2366" s="89" t="str">
        <f ca="1"/>
        <v/>
      </c>
    </row>
    <row r="2367" spans="1:7" x14ac:dyDescent="0.3">
      <c r="A2367" s="89" t="str">
        <v/>
      </c>
      <c r="B2367" s="89" t="str">
        <v>Patogenos Transmitidos por la Sangre</v>
      </c>
      <c r="C2367" s="90" t="str">
        <v/>
      </c>
      <c r="D2367" s="89" t="str">
        <v>Periódica</v>
      </c>
      <c r="E2367" s="89">
        <v>365</v>
      </c>
      <c r="F2367" s="89" t="str">
        <v/>
      </c>
      <c r="G2367" s="89" t="str">
        <f ca="1"/>
        <v/>
      </c>
    </row>
    <row r="2368" spans="1:7" x14ac:dyDescent="0.3">
      <c r="A2368" s="89" t="str">
        <v/>
      </c>
      <c r="B2368" s="89" t="str">
        <v>Conservacion Auditiva</v>
      </c>
      <c r="C2368" s="90" t="str">
        <v/>
      </c>
      <c r="D2368" s="89" t="str">
        <v>Periódica</v>
      </c>
      <c r="E2368" s="89">
        <v>365</v>
      </c>
      <c r="F2368" s="89" t="str">
        <v/>
      </c>
      <c r="G2368" s="89" t="str">
        <f ca="1"/>
        <v/>
      </c>
    </row>
    <row r="2369" spans="1:7" x14ac:dyDescent="0.3">
      <c r="A2369" s="89" t="str">
        <v/>
      </c>
      <c r="B2369" s="89" t="str">
        <v xml:space="preserve">Ergonomia //  / Levantamiento &amp; Seguridad en la Espalda </v>
      </c>
      <c r="C2369" s="90" t="str">
        <v/>
      </c>
      <c r="D2369" s="89" t="str">
        <v>Periódica</v>
      </c>
      <c r="E2369" s="89">
        <v>365</v>
      </c>
      <c r="F2369" s="89" t="str">
        <v/>
      </c>
      <c r="G2369" s="89" t="str">
        <f ca="1"/>
        <v/>
      </c>
    </row>
    <row r="2370" spans="1:7" x14ac:dyDescent="0.3">
      <c r="A2370" s="89" t="str">
        <v/>
      </c>
      <c r="B2370" s="89" t="str">
        <v>Superficies Elevadas (Todos)</v>
      </c>
      <c r="C2370" s="90" t="str">
        <v/>
      </c>
      <c r="D2370" s="89" t="str">
        <v>Periódica</v>
      </c>
      <c r="E2370" s="89">
        <v>365</v>
      </c>
      <c r="F2370" s="89" t="str">
        <v/>
      </c>
      <c r="G2370" s="89" t="str">
        <f ca="1"/>
        <v/>
      </c>
    </row>
    <row r="2371" spans="1:7" x14ac:dyDescent="0.3">
      <c r="A2371" s="89" t="str">
        <v/>
      </c>
      <c r="B2371" s="89" t="str">
        <v>Superficies Elevadas (Personal Habilitado)</v>
      </c>
      <c r="C2371" s="90" t="str">
        <v/>
      </c>
      <c r="D2371" s="89" t="str">
        <v>Periódica</v>
      </c>
      <c r="E2371" s="89">
        <v>365</v>
      </c>
      <c r="F2371" s="89" t="str">
        <v/>
      </c>
      <c r="G2371" s="89" t="str">
        <f ca="1"/>
        <v/>
      </c>
    </row>
    <row r="2372" spans="1:7" x14ac:dyDescent="0.3">
      <c r="A2372" s="89" t="str">
        <v/>
      </c>
      <c r="B2372" s="89" t="str">
        <v>Seguridad Quimica (Todos)</v>
      </c>
      <c r="C2372" s="90" t="str">
        <v/>
      </c>
      <c r="D2372" s="89" t="str">
        <v>Periódica</v>
      </c>
      <c r="E2372" s="89">
        <v>730</v>
      </c>
      <c r="F2372" s="89" t="str">
        <v/>
      </c>
      <c r="G2372" s="89" t="str">
        <f ca="1"/>
        <v/>
      </c>
    </row>
    <row r="2373" spans="1:7" x14ac:dyDescent="0.3">
      <c r="A2373" s="89" t="str">
        <v/>
      </c>
      <c r="B2373" s="89" t="str">
        <v>Seguridad Quimica (Mantenimiento)</v>
      </c>
      <c r="C2373" s="90" t="str">
        <v/>
      </c>
      <c r="D2373" s="89" t="str">
        <v>Periódica</v>
      </c>
      <c r="E2373" s="89">
        <v>365</v>
      </c>
      <c r="F2373" s="89" t="str">
        <v/>
      </c>
      <c r="G2373" s="89" t="str">
        <f ca="1"/>
        <v/>
      </c>
    </row>
    <row r="2374" spans="1:7" x14ac:dyDescent="0.3">
      <c r="A2374" s="89" t="str">
        <v/>
      </c>
      <c r="B2374" s="89" t="str">
        <v>Seguridad Quimica (Contratistas)</v>
      </c>
      <c r="C2374" s="90" t="str">
        <v/>
      </c>
      <c r="D2374" s="89" t="str">
        <v>Periódica</v>
      </c>
      <c r="E2374" s="89">
        <v>365</v>
      </c>
      <c r="F2374" s="89" t="str">
        <v/>
      </c>
      <c r="G2374" s="89" t="str">
        <f ca="1"/>
        <v/>
      </c>
    </row>
    <row r="2375" spans="1:7" x14ac:dyDescent="0.3">
      <c r="A2375" s="89" t="str">
        <v/>
      </c>
      <c r="B2375" s="89" t="str">
        <v>Seguridad para Trabajos en Caliente</v>
      </c>
      <c r="C2375" s="90" t="str">
        <v/>
      </c>
      <c r="D2375" s="89" t="str">
        <v>Periódica</v>
      </c>
      <c r="E2375" s="89">
        <v>365</v>
      </c>
      <c r="F2375" s="89" t="str">
        <v/>
      </c>
      <c r="G2375" s="89" t="str">
        <f ca="1"/>
        <v/>
      </c>
    </row>
    <row r="2376" spans="1:7" x14ac:dyDescent="0.3">
      <c r="A2376" s="89" t="str">
        <v/>
      </c>
      <c r="B2376" s="89" t="str">
        <v>Seguridad con la Radiacion</v>
      </c>
      <c r="C2376" s="90" t="str">
        <v/>
      </c>
      <c r="D2376" s="89" t="str">
        <v>Periódica</v>
      </c>
      <c r="E2376" s="89">
        <v>365</v>
      </c>
      <c r="F2376" s="89" t="str">
        <v/>
      </c>
      <c r="G2376" s="89" t="str">
        <f ca="1"/>
        <v/>
      </c>
    </row>
    <row r="2377" spans="1:7" x14ac:dyDescent="0.3">
      <c r="A2377" s="89" t="str">
        <v/>
      </c>
      <c r="B2377" s="89" t="str">
        <v>Equipo de Proteccion Personal (PPE)</v>
      </c>
      <c r="C2377" s="90" t="str">
        <v/>
      </c>
      <c r="D2377" s="89" t="str">
        <v>Periódica</v>
      </c>
      <c r="E2377" s="89">
        <v>365</v>
      </c>
      <c r="F2377" s="89" t="str">
        <v/>
      </c>
      <c r="G2377" s="89" t="str">
        <f ca="1"/>
        <v/>
      </c>
    </row>
    <row r="2378" spans="1:7" x14ac:dyDescent="0.3">
      <c r="A2378" s="89" t="str">
        <v/>
      </c>
      <c r="B2378" s="89" t="str">
        <v>Proteccion Respiratoria</v>
      </c>
      <c r="C2378" s="90" t="str">
        <v/>
      </c>
      <c r="D2378" s="89" t="str">
        <v>Periódica</v>
      </c>
      <c r="E2378" s="89">
        <v>365</v>
      </c>
      <c r="F2378" s="89" t="str">
        <v/>
      </c>
      <c r="G2378" s="89" t="str">
        <f ca="1"/>
        <v/>
      </c>
    </row>
    <row r="2379" spans="1:7" x14ac:dyDescent="0.3">
      <c r="A2379" s="89" t="str">
        <v/>
      </c>
      <c r="B2379" s="89" t="str">
        <v xml:space="preserve">Seguridad con Escaleras </v>
      </c>
      <c r="C2379" s="90" t="str">
        <v/>
      </c>
      <c r="D2379" s="89" t="str">
        <v>Periódica</v>
      </c>
      <c r="E2379" s="89">
        <v>365</v>
      </c>
      <c r="F2379" s="89" t="str">
        <v/>
      </c>
      <c r="G2379" s="89" t="str">
        <f ca="1"/>
        <v/>
      </c>
    </row>
    <row r="2380" spans="1:7" x14ac:dyDescent="0.3">
      <c r="A2380" s="89" t="str">
        <v/>
      </c>
      <c r="B2380" s="89" t="str">
        <v>Seguridad con Escaleras // Estantes de Almacenamiento</v>
      </c>
      <c r="C2380" s="90" t="str">
        <v/>
      </c>
      <c r="D2380" s="89" t="str">
        <v>Periódica</v>
      </c>
      <c r="E2380" s="89">
        <v>365</v>
      </c>
      <c r="F2380" s="89" t="str">
        <v/>
      </c>
      <c r="G2380" s="89" t="str">
        <f ca="1"/>
        <v/>
      </c>
    </row>
    <row r="2381" spans="1:7" x14ac:dyDescent="0.3">
      <c r="A2381" s="89" t="str">
        <v/>
      </c>
      <c r="B2381" s="89" t="str">
        <v>Responsabilidades del Supervisor</v>
      </c>
      <c r="C2381" s="90" t="str">
        <v/>
      </c>
      <c r="D2381" s="89" t="str">
        <v>Periódica</v>
      </c>
      <c r="E2381" s="89">
        <v>365</v>
      </c>
      <c r="F2381" s="89" t="str">
        <v/>
      </c>
      <c r="G2381" s="89" t="str">
        <f ca="1"/>
        <v/>
      </c>
    </row>
    <row r="2382" spans="1:7" x14ac:dyDescent="0.3">
      <c r="A2382" s="89" t="str">
        <v/>
      </c>
      <c r="B2382" s="89" t="str">
        <v>Espacios Confinados (Todos)</v>
      </c>
      <c r="C2382" s="90" t="str">
        <v/>
      </c>
      <c r="D2382" s="89" t="str">
        <v>Periódica</v>
      </c>
      <c r="E2382" s="89">
        <v>365</v>
      </c>
      <c r="F2382" s="89" t="str">
        <v/>
      </c>
      <c r="G2382" s="89" t="str">
        <f ca="1"/>
        <v/>
      </c>
    </row>
    <row r="2383" spans="1:7" x14ac:dyDescent="0.3">
      <c r="A2383" s="89" t="str">
        <v/>
      </c>
      <c r="B2383" s="89" t="str">
        <v>HSMS.017 / Espacios Confinados (Entrantes)</v>
      </c>
      <c r="C2383" s="90" t="str">
        <v/>
      </c>
      <c r="D2383" s="89" t="str">
        <v>Evento</v>
      </c>
      <c r="E2383" s="89">
        <v>0</v>
      </c>
      <c r="F2383" s="89" t="str">
        <v/>
      </c>
      <c r="G2383" s="89" t="str">
        <f ca="1"/>
        <v/>
      </c>
    </row>
    <row r="2384" spans="1:7" x14ac:dyDescent="0.3">
      <c r="A2384" s="89" t="str">
        <v/>
      </c>
      <c r="B2384" s="89" t="str">
        <v>Programa de Agua (Todos)</v>
      </c>
      <c r="C2384" s="90" t="str">
        <v/>
      </c>
      <c r="D2384" s="89" t="str">
        <v>Evento</v>
      </c>
      <c r="E2384" s="89">
        <v>0</v>
      </c>
      <c r="F2384" s="89" t="str">
        <v/>
      </c>
      <c r="G2384" s="89" t="str">
        <f ca="1"/>
        <v/>
      </c>
    </row>
    <row r="2385" spans="1:7" x14ac:dyDescent="0.3">
      <c r="A2385" s="89" t="str">
        <v/>
      </c>
      <c r="B2385" s="89" t="str">
        <v>Programa de Agua (HSE)</v>
      </c>
      <c r="C2385" s="90" t="str">
        <v/>
      </c>
      <c r="D2385" s="89" t="str">
        <v>Evento</v>
      </c>
      <c r="E2385" s="89">
        <v>0</v>
      </c>
      <c r="F2385" s="89" t="str">
        <v/>
      </c>
      <c r="G2385" s="89" t="str">
        <f ca="1"/>
        <v/>
      </c>
    </row>
    <row r="2386" spans="1:7" x14ac:dyDescent="0.3">
      <c r="A2386" s="89" t="str">
        <v/>
      </c>
      <c r="B2386" s="89" t="str">
        <v>HIV/SIDA y otras enfermedades de transmisión sexual (ETS)</v>
      </c>
      <c r="C2386" s="90" t="str">
        <v/>
      </c>
      <c r="D2386" s="89" t="str">
        <v>Periódica</v>
      </c>
      <c r="E2386" s="89">
        <v>365</v>
      </c>
      <c r="F2386" s="89" t="str">
        <v/>
      </c>
      <c r="G2386" s="89" t="str">
        <f ca="1"/>
        <v/>
      </c>
    </row>
    <row r="2387" spans="1:7" x14ac:dyDescent="0.3">
      <c r="A2387" s="89" t="str">
        <v/>
      </c>
      <c r="B2387" s="89" t="str">
        <v>Drogas de abuso (concientización y prevención)</v>
      </c>
      <c r="C2387" s="90" t="str">
        <v/>
      </c>
      <c r="D2387" s="89" t="str">
        <v>Periódica</v>
      </c>
      <c r="E2387" s="89">
        <v>365</v>
      </c>
      <c r="F2387" s="89" t="str">
        <v/>
      </c>
      <c r="G2387" s="89" t="str">
        <f ca="1"/>
        <v/>
      </c>
    </row>
    <row r="2388" spans="1:7" x14ac:dyDescent="0.3">
      <c r="A2388" s="89" t="str">
        <v/>
      </c>
      <c r="B2388" s="89" t="str">
        <v>Vida saludable (hábitos, autocuidado y bienestar)</v>
      </c>
      <c r="C2388" s="90" t="str">
        <v/>
      </c>
      <c r="D2388" s="89" t="str">
        <v>Periódica</v>
      </c>
      <c r="E2388" s="89">
        <v>365</v>
      </c>
      <c r="F2388" s="89" t="str">
        <v/>
      </c>
      <c r="G2388" s="89" t="str">
        <f ca="1"/>
        <v/>
      </c>
    </row>
    <row r="2389" spans="1:7" x14ac:dyDescent="0.3">
      <c r="A2389" s="89" t="str">
        <v/>
      </c>
      <c r="B2389" s="89" t="str">
        <v>Primeros auxilios y Reanimación Cardio Pulmonar (RCP)</v>
      </c>
      <c r="C2389" s="90" t="str">
        <v/>
      </c>
      <c r="D2389" s="89" t="str">
        <v>Periódica</v>
      </c>
      <c r="E2389" s="89">
        <v>365</v>
      </c>
      <c r="F2389" s="89" t="str">
        <v/>
      </c>
      <c r="G2389" s="89" t="str">
        <f ca="1"/>
        <v/>
      </c>
    </row>
    <row r="2390" spans="1:7" x14ac:dyDescent="0.3">
      <c r="A2390" s="89" t="str">
        <v/>
      </c>
      <c r="B2390" s="89" t="str">
        <v>Prevención cardiovascular (factores de riesgo y señales de alarma)</v>
      </c>
      <c r="C2390" s="90" t="str">
        <v/>
      </c>
      <c r="D2390" s="89" t="str">
        <v>Periódica</v>
      </c>
      <c r="E2390" s="89">
        <v>365</v>
      </c>
      <c r="F2390" s="89" t="str">
        <v/>
      </c>
      <c r="G2390" s="89" t="str">
        <f ca="1"/>
        <v/>
      </c>
    </row>
    <row r="2391" spans="1:7" x14ac:dyDescent="0.3">
      <c r="A2391" s="89" t="str">
        <v/>
      </c>
      <c r="B2391" s="89" t="str">
        <v>Efectos del tabaco sobre la salud</v>
      </c>
      <c r="C2391" s="90" t="str">
        <v/>
      </c>
      <c r="D2391" s="89" t="str">
        <v>Periódica</v>
      </c>
      <c r="E2391" s="89">
        <v>365</v>
      </c>
      <c r="F2391" s="89" t="str">
        <v/>
      </c>
      <c r="G2391" s="89" t="str">
        <f ca="1"/>
        <v/>
      </c>
    </row>
    <row r="2392" spans="1:7" x14ac:dyDescent="0.3">
      <c r="A2392" s="89" t="str">
        <v/>
      </c>
      <c r="B2392" s="89" t="str">
        <v>Cargadora (Op. Montacargas)</v>
      </c>
      <c r="C2392" s="90" t="str">
        <v/>
      </c>
      <c r="D2392" s="89" t="str">
        <v>Periódica</v>
      </c>
      <c r="E2392" s="89">
        <v>365</v>
      </c>
      <c r="F2392" s="89" t="str">
        <v/>
      </c>
      <c r="G2392" s="89" t="str">
        <f ca="1"/>
        <v/>
      </c>
    </row>
    <row r="2393" spans="1:7" x14ac:dyDescent="0.3">
      <c r="A2393" s="89" t="str">
        <v/>
      </c>
      <c r="B2393" s="89">
        <v>0</v>
      </c>
      <c r="C2393" s="90" t="str">
        <v/>
      </c>
      <c r="D2393" s="89" t="str">
        <v/>
      </c>
      <c r="E2393" s="89" t="str">
        <v/>
      </c>
      <c r="F2393" s="89" t="str">
        <v/>
      </c>
      <c r="G2393" s="89" t="str">
        <f ca="1"/>
        <v/>
      </c>
    </row>
    <row r="2394" spans="1:7" x14ac:dyDescent="0.3">
      <c r="A2394" s="89" t="str">
        <v/>
      </c>
      <c r="B2394" s="89">
        <v>0</v>
      </c>
      <c r="C2394" s="90" t="str">
        <v/>
      </c>
      <c r="D2394" s="89" t="str">
        <v/>
      </c>
      <c r="E2394" s="89" t="str">
        <v/>
      </c>
      <c r="F2394" s="89" t="str">
        <v/>
      </c>
      <c r="G2394" s="89" t="str">
        <f ca="1"/>
        <v/>
      </c>
    </row>
    <row r="2395" spans="1:7" x14ac:dyDescent="0.3">
      <c r="A2395" s="89" t="str">
        <v/>
      </c>
      <c r="B2395" s="89">
        <v>0</v>
      </c>
      <c r="C2395" s="90" t="str">
        <v/>
      </c>
      <c r="D2395" s="89" t="str">
        <v/>
      </c>
      <c r="E2395" s="89" t="str">
        <v/>
      </c>
      <c r="F2395" s="89" t="str">
        <v/>
      </c>
      <c r="G2395" s="89" t="str">
        <f ca="1"/>
        <v/>
      </c>
    </row>
    <row r="2396" spans="1:7" x14ac:dyDescent="0.3">
      <c r="A2396" s="89" t="str">
        <v/>
      </c>
      <c r="B2396" s="89">
        <v>0</v>
      </c>
      <c r="C2396" s="90" t="str">
        <v/>
      </c>
      <c r="D2396" s="89" t="str">
        <v/>
      </c>
      <c r="E2396" s="89" t="str">
        <v/>
      </c>
      <c r="F2396" s="89" t="str">
        <v/>
      </c>
      <c r="G2396" s="89" t="str">
        <f ca="1"/>
        <v/>
      </c>
    </row>
    <row r="2397" spans="1:7" x14ac:dyDescent="0.3">
      <c r="A2397" s="89" t="str">
        <v/>
      </c>
      <c r="B2397" s="89">
        <v>0</v>
      </c>
      <c r="C2397" s="90" t="str">
        <v/>
      </c>
      <c r="D2397" s="89" t="str">
        <v/>
      </c>
      <c r="E2397" s="89" t="str">
        <v/>
      </c>
      <c r="F2397" s="89" t="str">
        <v/>
      </c>
      <c r="G2397" s="89" t="str">
        <f ca="1"/>
        <v/>
      </c>
    </row>
    <row r="2398" spans="1:7" x14ac:dyDescent="0.3">
      <c r="A2398" s="89" t="str">
        <v/>
      </c>
      <c r="B2398" s="89">
        <v>0</v>
      </c>
      <c r="C2398" s="90" t="str">
        <v/>
      </c>
      <c r="D2398" s="89" t="str">
        <v/>
      </c>
      <c r="E2398" s="89" t="str">
        <v/>
      </c>
      <c r="F2398" s="89" t="str">
        <v/>
      </c>
      <c r="G2398" s="89" t="str">
        <f ca="1"/>
        <v/>
      </c>
    </row>
    <row r="2399" spans="1:7" x14ac:dyDescent="0.3">
      <c r="A2399" s="89" t="str">
        <v/>
      </c>
      <c r="B2399" s="89">
        <v>0</v>
      </c>
      <c r="C2399" s="90" t="str">
        <v/>
      </c>
      <c r="D2399" s="89" t="str">
        <v/>
      </c>
      <c r="E2399" s="89" t="str">
        <v/>
      </c>
      <c r="F2399" s="89" t="str">
        <v/>
      </c>
      <c r="G2399" s="89" t="str">
        <f ca="1"/>
        <v/>
      </c>
    </row>
    <row r="2400" spans="1:7" x14ac:dyDescent="0.3">
      <c r="A2400" s="89" t="str">
        <v/>
      </c>
      <c r="B2400" s="89">
        <v>0</v>
      </c>
      <c r="C2400" s="90" t="str">
        <v/>
      </c>
      <c r="D2400" s="89" t="str">
        <v/>
      </c>
      <c r="E2400" s="89" t="str">
        <v/>
      </c>
      <c r="F2400" s="89" t="str">
        <v/>
      </c>
      <c r="G2400" s="89" t="str">
        <f ca="1"/>
        <v/>
      </c>
    </row>
    <row r="2401" spans="1:7" x14ac:dyDescent="0.3">
      <c r="A2401" s="89" t="str">
        <v/>
      </c>
      <c r="B2401" s="89">
        <v>0</v>
      </c>
      <c r="C2401" s="90" t="str">
        <v/>
      </c>
      <c r="D2401" s="89" t="str">
        <v/>
      </c>
      <c r="E2401" s="89" t="str">
        <v/>
      </c>
      <c r="F2401" s="89" t="str">
        <v/>
      </c>
      <c r="G2401" s="89" t="str">
        <f ca="1"/>
        <v/>
      </c>
    </row>
    <row r="2402" spans="1:7" x14ac:dyDescent="0.3">
      <c r="A2402" s="89" t="str">
        <v/>
      </c>
      <c r="B2402" s="89" t="str">
        <v>Programa de Aire</v>
      </c>
      <c r="C2402" s="90" t="str">
        <v/>
      </c>
      <c r="D2402" s="89" t="str">
        <v>Evento</v>
      </c>
      <c r="E2402" s="89">
        <v>0</v>
      </c>
      <c r="F2402" s="89" t="str">
        <v/>
      </c>
      <c r="G2402" s="89" t="str">
        <f ca="1"/>
        <v/>
      </c>
    </row>
    <row r="2403" spans="1:7" x14ac:dyDescent="0.3">
      <c r="A2403" s="89" t="str">
        <v/>
      </c>
      <c r="B2403" s="89" t="str">
        <v>Conciencia Ambiental</v>
      </c>
      <c r="C2403" s="90" t="str">
        <v/>
      </c>
      <c r="D2403" s="89" t="str">
        <v>Periódica</v>
      </c>
      <c r="E2403" s="89">
        <v>365</v>
      </c>
      <c r="F2403" s="89" t="str">
        <v/>
      </c>
      <c r="G2403" s="89" t="str">
        <f ca="1"/>
        <v/>
      </c>
    </row>
    <row r="2404" spans="1:7" x14ac:dyDescent="0.3">
      <c r="A2404" s="89" t="str">
        <v/>
      </c>
      <c r="B2404" s="89" t="str">
        <v xml:space="preserve">Control de Documentos e Informacion de HSE </v>
      </c>
      <c r="C2404" s="90" t="str">
        <v/>
      </c>
      <c r="D2404" s="89" t="str">
        <v>Evento</v>
      </c>
      <c r="E2404" s="89">
        <v>0</v>
      </c>
      <c r="F2404" s="89" t="str">
        <v/>
      </c>
      <c r="G2404" s="89" t="str">
        <f ca="1"/>
        <v/>
      </c>
    </row>
    <row r="2405" spans="1:7" x14ac:dyDescent="0.3">
      <c r="A2405" s="89" t="str">
        <v/>
      </c>
      <c r="B2405" s="89" t="str">
        <v xml:space="preserve"> Acciones Correctivas y Preventivas (CAPA)</v>
      </c>
      <c r="C2405" s="90" t="str">
        <v/>
      </c>
      <c r="D2405" s="89" t="str">
        <v>Evento</v>
      </c>
      <c r="E2405" s="89">
        <v>0</v>
      </c>
      <c r="F2405" s="89" t="str">
        <v/>
      </c>
      <c r="G2405" s="89" t="str">
        <f ca="1"/>
        <v/>
      </c>
    </row>
    <row r="2406" spans="1:7" x14ac:dyDescent="0.3">
      <c r="A2406" s="89" t="str">
        <v/>
      </c>
      <c r="B2406" s="89" t="str">
        <v>Seguridad Basada en el Comportamiento (Observation Program) // HSMS.043 / Autoridad de Detener el Trabajo</v>
      </c>
      <c r="C2406" s="90" t="str">
        <v/>
      </c>
      <c r="D2406" s="89" t="str">
        <v>Periódica</v>
      </c>
      <c r="E2406" s="89">
        <v>365</v>
      </c>
      <c r="F2406" s="89" t="str">
        <v/>
      </c>
      <c r="G2406" s="89" t="str">
        <f ca="1"/>
        <v/>
      </c>
    </row>
    <row r="2407" spans="1:7" x14ac:dyDescent="0.3">
      <c r="A2407" s="89" t="str">
        <v/>
      </c>
      <c r="B2407" s="89" t="str">
        <v>Identificacion de Peligros y Evaluacion de Riesgos</v>
      </c>
      <c r="C2407" s="90" t="str">
        <v/>
      </c>
      <c r="D2407" s="89" t="str">
        <v>Evento</v>
      </c>
      <c r="E2407" s="89">
        <v>0</v>
      </c>
      <c r="F2407" s="89" t="str">
        <v/>
      </c>
      <c r="G2407" s="89" t="str">
        <f ca="1"/>
        <v/>
      </c>
    </row>
    <row r="2408" spans="1:7" x14ac:dyDescent="0.3">
      <c r="A2408" s="89" t="str">
        <v/>
      </c>
      <c r="B2408" s="89" t="str">
        <v xml:space="preserve"> Plan de Respuesta ante Eemergencias / HSMS.010 /Primeros Axulios &amp; RCP/DEA / HSMSWT-002 / Patogenos Trasnmitidos por la Sangre</v>
      </c>
      <c r="C2408" s="90" t="str">
        <v/>
      </c>
      <c r="D2408" s="89" t="str">
        <v>Periódica</v>
      </c>
      <c r="E2408" s="89">
        <v>365</v>
      </c>
      <c r="F2408" s="89" t="str">
        <v/>
      </c>
      <c r="G2408" s="89" t="str">
        <f ca="1"/>
        <v/>
      </c>
    </row>
    <row r="2409" spans="1:7" x14ac:dyDescent="0.3">
      <c r="A2409" s="89" t="str">
        <v/>
      </c>
      <c r="B2409" s="89" t="str">
        <v>Reporte y Gestion de Incidentes HSE (Todos)</v>
      </c>
      <c r="C2409" s="90" t="str">
        <v/>
      </c>
      <c r="D2409" s="89" t="str">
        <v>Periódica</v>
      </c>
      <c r="E2409" s="89">
        <v>365</v>
      </c>
      <c r="F2409" s="89" t="str">
        <v/>
      </c>
      <c r="G2409" s="89" t="str">
        <f ca="1"/>
        <v/>
      </c>
    </row>
    <row r="2410" spans="1:7" x14ac:dyDescent="0.3">
      <c r="A2410" s="89" t="str">
        <v/>
      </c>
      <c r="B2410" s="89" t="str">
        <v>Reporte, Gestion e Investigacion de Incidentes HSE (supervisores / investigadores (rol))</v>
      </c>
      <c r="C2410" s="90" t="str">
        <v/>
      </c>
      <c r="D2410" s="89" t="str">
        <v>Periódica</v>
      </c>
      <c r="E2410" s="89">
        <v>1095</v>
      </c>
      <c r="F2410" s="89" t="str">
        <v/>
      </c>
      <c r="G2410" s="89" t="str">
        <f ca="1"/>
        <v/>
      </c>
    </row>
    <row r="2411" spans="1:7" x14ac:dyDescent="0.3">
      <c r="A2411" s="89" t="str">
        <v/>
      </c>
      <c r="B2411" s="89" t="str">
        <v>Gruas y Equipos de Izaje (Todos)</v>
      </c>
      <c r="C2411" s="90" t="str">
        <v/>
      </c>
      <c r="D2411" s="89" t="str">
        <v>Periódica</v>
      </c>
      <c r="E2411" s="89">
        <v>365</v>
      </c>
      <c r="F2411" s="89" t="str">
        <v/>
      </c>
      <c r="G2411" s="89" t="str">
        <f ca="1"/>
        <v/>
      </c>
    </row>
    <row r="2412" spans="1:7" x14ac:dyDescent="0.3">
      <c r="A2412" s="89" t="str">
        <v/>
      </c>
      <c r="B2412" s="89" t="str">
        <v>HSMS.007 / Gruas y Equipos de Izaje (Operadores)</v>
      </c>
      <c r="C2412" s="90" t="str">
        <v/>
      </c>
      <c r="D2412" s="89" t="str">
        <v>Periódica</v>
      </c>
      <c r="E2412" s="89">
        <v>365</v>
      </c>
      <c r="F2412" s="89" t="str">
        <v/>
      </c>
      <c r="G2412" s="89" t="str">
        <f ca="1"/>
        <v/>
      </c>
    </row>
    <row r="2413" spans="1:7" x14ac:dyDescent="0.3">
      <c r="A2413" s="89" t="str">
        <v/>
      </c>
      <c r="B2413" s="89" t="str">
        <v>Proteccion Contra Incendios (Todos)</v>
      </c>
      <c r="C2413" s="90" t="str">
        <v/>
      </c>
      <c r="D2413" s="89" t="str">
        <v>Periódica</v>
      </c>
      <c r="E2413" s="89">
        <v>365</v>
      </c>
      <c r="F2413" s="89" t="str">
        <v/>
      </c>
      <c r="G2413" s="89" t="str">
        <f ca="1"/>
        <v/>
      </c>
    </row>
    <row r="2414" spans="1:7" x14ac:dyDescent="0.3">
      <c r="A2414" s="89" t="str">
        <v/>
      </c>
      <c r="B2414" s="89" t="str">
        <v>Proteccion Contra Incendios (Brigadistas)</v>
      </c>
      <c r="C2414" s="90" t="str">
        <v/>
      </c>
      <c r="D2414" s="89" t="str">
        <v>Periódica</v>
      </c>
      <c r="E2414" s="89">
        <v>365</v>
      </c>
      <c r="F2414" s="89" t="str">
        <v/>
      </c>
      <c r="G2414" s="89" t="str">
        <f ca="1"/>
        <v/>
      </c>
    </row>
    <row r="2415" spans="1:7" x14ac:dyDescent="0.3">
      <c r="A2415" s="89" t="str">
        <v/>
      </c>
      <c r="B2415" s="89" t="str">
        <v>Primeros Auxilios (Brigadistas)</v>
      </c>
      <c r="C2415" s="90" t="str">
        <v/>
      </c>
      <c r="D2415" s="89" t="str">
        <v>Periódica</v>
      </c>
      <c r="E2415" s="89">
        <v>365</v>
      </c>
      <c r="F2415" s="89" t="str">
        <v/>
      </c>
      <c r="G2415" s="89" t="str">
        <f ca="1"/>
        <v/>
      </c>
    </row>
    <row r="2416" spans="1:7" x14ac:dyDescent="0.3">
      <c r="A2416" s="89" t="str">
        <v/>
      </c>
      <c r="B2416" s="89" t="str">
        <v>Seguridad Electrica (Todos)</v>
      </c>
      <c r="C2416" s="90" t="str">
        <v/>
      </c>
      <c r="D2416" s="89" t="str">
        <v>Periódica</v>
      </c>
      <c r="E2416" s="89">
        <v>365</v>
      </c>
      <c r="F2416" s="89" t="str">
        <v/>
      </c>
      <c r="G2416" s="89" t="str">
        <f ca="1"/>
        <v/>
      </c>
    </row>
    <row r="2417" spans="1:7" x14ac:dyDescent="0.3">
      <c r="A2417" s="89" t="str">
        <v/>
      </c>
      <c r="B2417" s="89" t="str">
        <v>Seguridad Electrica (Personal Autorizado)</v>
      </c>
      <c r="C2417" s="90" t="str">
        <v/>
      </c>
      <c r="D2417" s="89" t="str">
        <v>Periódica</v>
      </c>
      <c r="E2417" s="89">
        <v>1095</v>
      </c>
      <c r="F2417" s="89" t="str">
        <v/>
      </c>
      <c r="G2417" s="89" t="str">
        <f ca="1"/>
        <v/>
      </c>
    </row>
    <row r="2418" spans="1:7" x14ac:dyDescent="0.3">
      <c r="A2418" s="89" t="str">
        <v/>
      </c>
      <c r="B2418" s="89" t="str">
        <v>Camiones Industriales Motorizados (PIT) (Todos)</v>
      </c>
      <c r="C2418" s="90" t="str">
        <v/>
      </c>
      <c r="D2418" s="89" t="str">
        <v>Periódica</v>
      </c>
      <c r="E2418" s="89">
        <v>365</v>
      </c>
      <c r="F2418" s="89" t="str">
        <v/>
      </c>
      <c r="G2418" s="89" t="str">
        <f ca="1"/>
        <v/>
      </c>
    </row>
    <row r="2419" spans="1:7" x14ac:dyDescent="0.3">
      <c r="A2419" s="89" t="str">
        <v/>
      </c>
      <c r="B2419" s="89" t="str">
        <v>Camiones Industriales Motorizados (PIT) (Op. Montacargas)</v>
      </c>
      <c r="C2419" s="90" t="str">
        <v/>
      </c>
      <c r="D2419" s="89" t="str">
        <v>Periódica</v>
      </c>
      <c r="E2419" s="89">
        <v>365</v>
      </c>
      <c r="F2419" s="89" t="str">
        <v/>
      </c>
      <c r="G2419" s="89" t="str">
        <f ca="1"/>
        <v/>
      </c>
    </row>
    <row r="2420" spans="1:7" x14ac:dyDescent="0.3">
      <c r="A2420" s="89" t="str">
        <v/>
      </c>
      <c r="B2420" s="89" t="str">
        <v>Control de Energias Peligrosas (LOTO) (Todos)</v>
      </c>
      <c r="C2420" s="90" t="str">
        <v/>
      </c>
      <c r="D2420" s="89" t="str">
        <v>Evento</v>
      </c>
      <c r="E2420" s="89">
        <v>0</v>
      </c>
      <c r="F2420" s="89" t="str">
        <v/>
      </c>
      <c r="G2420" s="89" t="str">
        <f ca="1"/>
        <v/>
      </c>
    </row>
    <row r="2421" spans="1:7" x14ac:dyDescent="0.3">
      <c r="A2421" s="89" t="str">
        <v/>
      </c>
      <c r="B2421" s="89" t="str">
        <v>Control de Energias Peligrosas (LOTO) (Empleados Autorizados)</v>
      </c>
      <c r="C2421" s="90" t="str">
        <v/>
      </c>
      <c r="D2421" s="89" t="str">
        <v>Periódica</v>
      </c>
      <c r="E2421" s="89">
        <v>365</v>
      </c>
      <c r="F2421" s="89" t="str">
        <v/>
      </c>
      <c r="G2421" s="89" t="str">
        <f ca="1"/>
        <v/>
      </c>
    </row>
    <row r="2422" spans="1:7" x14ac:dyDescent="0.3">
      <c r="A2422" s="89" t="str">
        <v/>
      </c>
      <c r="B2422" s="89" t="str">
        <v>Seguridad aplicada al Pozo &amp; Yacimiento</v>
      </c>
      <c r="C2422" s="90" t="str">
        <v/>
      </c>
      <c r="D2422" s="89" t="str">
        <v>Periódica</v>
      </c>
      <c r="E2422" s="89">
        <v>365</v>
      </c>
      <c r="F2422" s="89" t="str">
        <v/>
      </c>
      <c r="G2422" s="89" t="str">
        <f ca="1"/>
        <v/>
      </c>
    </row>
    <row r="2423" spans="1:7" x14ac:dyDescent="0.3">
      <c r="A2423" s="89" t="str">
        <v/>
      </c>
      <c r="B2423" s="89" t="str">
        <v>Las Reglas que Salvan Vidas</v>
      </c>
      <c r="C2423" s="90" t="str">
        <v/>
      </c>
      <c r="D2423" s="89" t="str">
        <v>Periódica</v>
      </c>
      <c r="E2423" s="89">
        <v>365</v>
      </c>
      <c r="F2423" s="89" t="str">
        <v/>
      </c>
      <c r="G2423" s="89" t="str">
        <f ca="1"/>
        <v/>
      </c>
    </row>
    <row r="2424" spans="1:7" x14ac:dyDescent="0.3">
      <c r="A2424" s="89" t="str">
        <v/>
      </c>
      <c r="B2424" s="89" t="str">
        <v xml:space="preserve">Resguardo de Maquinas &amp; Equipos </v>
      </c>
      <c r="C2424" s="90" t="str">
        <v/>
      </c>
      <c r="D2424" s="89" t="str">
        <v>Periódica</v>
      </c>
      <c r="E2424" s="89">
        <v>365</v>
      </c>
      <c r="F2424" s="89" t="str">
        <v/>
      </c>
      <c r="G2424" s="89" t="str">
        <f ca="1"/>
        <v/>
      </c>
    </row>
    <row r="2425" spans="1:7" x14ac:dyDescent="0.3">
      <c r="A2425" s="89" t="str">
        <v/>
      </c>
      <c r="B2425" s="89" t="str">
        <v>Conduccion y Gestion de Viajes (Todos)</v>
      </c>
      <c r="C2425" s="90" t="str">
        <v/>
      </c>
      <c r="D2425" s="89" t="str">
        <v>Periódica</v>
      </c>
      <c r="E2425" s="89">
        <v>730</v>
      </c>
      <c r="F2425" s="89" t="str">
        <v/>
      </c>
      <c r="G2425" s="89" t="str">
        <f ca="1"/>
        <v/>
      </c>
    </row>
    <row r="2426" spans="1:7" x14ac:dyDescent="0.3">
      <c r="A2426" s="89" t="str">
        <v/>
      </c>
      <c r="B2426" s="89" t="str">
        <v>Conduccion y Gestion de Viajes (Conductores)</v>
      </c>
      <c r="C2426" s="90" t="str">
        <v/>
      </c>
      <c r="D2426" s="89" t="str">
        <v>Periódica</v>
      </c>
      <c r="E2426" s="89">
        <v>1095</v>
      </c>
      <c r="F2426" s="89" t="str">
        <v/>
      </c>
      <c r="G2426" s="89" t="str">
        <f ca="1"/>
        <v/>
      </c>
    </row>
    <row r="2427" spans="1:7" x14ac:dyDescent="0.3">
      <c r="A2427" s="89" t="str">
        <v/>
      </c>
      <c r="B2427" s="89" t="str">
        <v>Patogenos Transmitidos por la Sangre</v>
      </c>
      <c r="C2427" s="90" t="str">
        <v/>
      </c>
      <c r="D2427" s="89" t="str">
        <v>Periódica</v>
      </c>
      <c r="E2427" s="89">
        <v>365</v>
      </c>
      <c r="F2427" s="89" t="str">
        <v/>
      </c>
      <c r="G2427" s="89" t="str">
        <f ca="1"/>
        <v/>
      </c>
    </row>
    <row r="2428" spans="1:7" x14ac:dyDescent="0.3">
      <c r="A2428" s="89" t="str">
        <v/>
      </c>
      <c r="B2428" s="89" t="str">
        <v>Conservacion Auditiva</v>
      </c>
      <c r="C2428" s="90" t="str">
        <v/>
      </c>
      <c r="D2428" s="89" t="str">
        <v>Periódica</v>
      </c>
      <c r="E2428" s="89">
        <v>365</v>
      </c>
      <c r="F2428" s="89" t="str">
        <v/>
      </c>
      <c r="G2428" s="89" t="str">
        <f ca="1"/>
        <v/>
      </c>
    </row>
    <row r="2429" spans="1:7" x14ac:dyDescent="0.3">
      <c r="A2429" s="89" t="str">
        <v/>
      </c>
      <c r="B2429" s="89" t="str">
        <v xml:space="preserve">Ergonomia //  / Levantamiento &amp; Seguridad en la Espalda </v>
      </c>
      <c r="C2429" s="90" t="str">
        <v/>
      </c>
      <c r="D2429" s="89" t="str">
        <v>Periódica</v>
      </c>
      <c r="E2429" s="89">
        <v>365</v>
      </c>
      <c r="F2429" s="89" t="str">
        <v/>
      </c>
      <c r="G2429" s="89" t="str">
        <f ca="1"/>
        <v/>
      </c>
    </row>
    <row r="2430" spans="1:7" x14ac:dyDescent="0.3">
      <c r="A2430" s="89" t="str">
        <v/>
      </c>
      <c r="B2430" s="89" t="str">
        <v>Superficies Elevadas (Todos)</v>
      </c>
      <c r="C2430" s="90" t="str">
        <v/>
      </c>
      <c r="D2430" s="89" t="str">
        <v>Periódica</v>
      </c>
      <c r="E2430" s="89">
        <v>365</v>
      </c>
      <c r="F2430" s="89" t="str">
        <v/>
      </c>
      <c r="G2430" s="89" t="str">
        <f ca="1"/>
        <v/>
      </c>
    </row>
    <row r="2431" spans="1:7" x14ac:dyDescent="0.3">
      <c r="A2431" s="89" t="str">
        <v/>
      </c>
      <c r="B2431" s="89" t="str">
        <v>Superficies Elevadas (Personal Habilitado)</v>
      </c>
      <c r="C2431" s="90" t="str">
        <v/>
      </c>
      <c r="D2431" s="89" t="str">
        <v>Periódica</v>
      </c>
      <c r="E2431" s="89">
        <v>365</v>
      </c>
      <c r="F2431" s="89" t="str">
        <v/>
      </c>
      <c r="G2431" s="89" t="str">
        <f ca="1"/>
        <v/>
      </c>
    </row>
    <row r="2432" spans="1:7" x14ac:dyDescent="0.3">
      <c r="A2432" s="89" t="str">
        <v/>
      </c>
      <c r="B2432" s="89" t="str">
        <v>Seguridad Quimica (Todos)</v>
      </c>
      <c r="C2432" s="90" t="str">
        <v/>
      </c>
      <c r="D2432" s="89" t="str">
        <v>Periódica</v>
      </c>
      <c r="E2432" s="89">
        <v>730</v>
      </c>
      <c r="F2432" s="89" t="str">
        <v/>
      </c>
      <c r="G2432" s="89" t="str">
        <f ca="1"/>
        <v/>
      </c>
    </row>
    <row r="2433" spans="1:7" x14ac:dyDescent="0.3">
      <c r="A2433" s="89" t="str">
        <v/>
      </c>
      <c r="B2433" s="89" t="str">
        <v>Seguridad Quimica (Mantenimiento)</v>
      </c>
      <c r="C2433" s="90" t="str">
        <v/>
      </c>
      <c r="D2433" s="89" t="str">
        <v>Periódica</v>
      </c>
      <c r="E2433" s="89">
        <v>365</v>
      </c>
      <c r="F2433" s="89" t="str">
        <v/>
      </c>
      <c r="G2433" s="89" t="str">
        <f ca="1"/>
        <v/>
      </c>
    </row>
    <row r="2434" spans="1:7" x14ac:dyDescent="0.3">
      <c r="A2434" s="89" t="str">
        <v/>
      </c>
      <c r="B2434" s="89" t="str">
        <v>Seguridad Quimica (Contratistas)</v>
      </c>
      <c r="C2434" s="90" t="str">
        <v/>
      </c>
      <c r="D2434" s="89" t="str">
        <v>Periódica</v>
      </c>
      <c r="E2434" s="89">
        <v>365</v>
      </c>
      <c r="F2434" s="89" t="str">
        <v/>
      </c>
      <c r="G2434" s="89" t="str">
        <f ca="1"/>
        <v/>
      </c>
    </row>
    <row r="2435" spans="1:7" x14ac:dyDescent="0.3">
      <c r="A2435" s="89" t="str">
        <v/>
      </c>
      <c r="B2435" s="89" t="str">
        <v>Seguridad para Trabajos en Caliente</v>
      </c>
      <c r="C2435" s="90" t="str">
        <v/>
      </c>
      <c r="D2435" s="89" t="str">
        <v>Periódica</v>
      </c>
      <c r="E2435" s="89">
        <v>365</v>
      </c>
      <c r="F2435" s="89" t="str">
        <v/>
      </c>
      <c r="G2435" s="89" t="str">
        <f ca="1"/>
        <v/>
      </c>
    </row>
    <row r="2436" spans="1:7" x14ac:dyDescent="0.3">
      <c r="A2436" s="89" t="str">
        <v/>
      </c>
      <c r="B2436" s="89" t="str">
        <v>Seguridad con la Radiacion</v>
      </c>
      <c r="C2436" s="90" t="str">
        <v/>
      </c>
      <c r="D2436" s="89" t="str">
        <v>Periódica</v>
      </c>
      <c r="E2436" s="89">
        <v>365</v>
      </c>
      <c r="F2436" s="89" t="str">
        <v/>
      </c>
      <c r="G2436" s="89" t="str">
        <f ca="1"/>
        <v/>
      </c>
    </row>
    <row r="2437" spans="1:7" x14ac:dyDescent="0.3">
      <c r="A2437" s="89" t="str">
        <v/>
      </c>
      <c r="B2437" s="89" t="str">
        <v>Equipo de Proteccion Personal (PPE)</v>
      </c>
      <c r="C2437" s="90" t="str">
        <v/>
      </c>
      <c r="D2437" s="89" t="str">
        <v>Periódica</v>
      </c>
      <c r="E2437" s="89">
        <v>365</v>
      </c>
      <c r="F2437" s="89" t="str">
        <v/>
      </c>
      <c r="G2437" s="89" t="str">
        <f ca="1"/>
        <v/>
      </c>
    </row>
    <row r="2438" spans="1:7" x14ac:dyDescent="0.3">
      <c r="A2438" s="89" t="str">
        <v/>
      </c>
      <c r="B2438" s="89" t="str">
        <v>Proteccion Respiratoria</v>
      </c>
      <c r="C2438" s="90" t="str">
        <v/>
      </c>
      <c r="D2438" s="89" t="str">
        <v>Periódica</v>
      </c>
      <c r="E2438" s="89">
        <v>365</v>
      </c>
      <c r="F2438" s="89" t="str">
        <v/>
      </c>
      <c r="G2438" s="89" t="str">
        <f ca="1"/>
        <v/>
      </c>
    </row>
    <row r="2439" spans="1:7" x14ac:dyDescent="0.3">
      <c r="A2439" s="89" t="str">
        <v/>
      </c>
      <c r="B2439" s="89" t="str">
        <v xml:space="preserve">Seguridad con Escaleras </v>
      </c>
      <c r="C2439" s="90" t="str">
        <v/>
      </c>
      <c r="D2439" s="89" t="str">
        <v>Periódica</v>
      </c>
      <c r="E2439" s="89">
        <v>365</v>
      </c>
      <c r="F2439" s="89" t="str">
        <v/>
      </c>
      <c r="G2439" s="89" t="str">
        <f ca="1"/>
        <v/>
      </c>
    </row>
    <row r="2440" spans="1:7" x14ac:dyDescent="0.3">
      <c r="A2440" s="89" t="str">
        <v/>
      </c>
      <c r="B2440" s="89" t="str">
        <v>Seguridad con Escaleras // Estantes de Almacenamiento</v>
      </c>
      <c r="C2440" s="90" t="str">
        <v/>
      </c>
      <c r="D2440" s="89" t="str">
        <v>Periódica</v>
      </c>
      <c r="E2440" s="89">
        <v>365</v>
      </c>
      <c r="F2440" s="89" t="str">
        <v/>
      </c>
      <c r="G2440" s="89" t="str">
        <f ca="1"/>
        <v/>
      </c>
    </row>
    <row r="2441" spans="1:7" x14ac:dyDescent="0.3">
      <c r="A2441" s="89" t="str">
        <v/>
      </c>
      <c r="B2441" s="89" t="str">
        <v>Responsabilidades del Supervisor</v>
      </c>
      <c r="C2441" s="90" t="str">
        <v/>
      </c>
      <c r="D2441" s="89" t="str">
        <v>Periódica</v>
      </c>
      <c r="E2441" s="89">
        <v>365</v>
      </c>
      <c r="F2441" s="89" t="str">
        <v/>
      </c>
      <c r="G2441" s="89" t="str">
        <f ca="1"/>
        <v/>
      </c>
    </row>
    <row r="2442" spans="1:7" x14ac:dyDescent="0.3">
      <c r="A2442" s="89" t="str">
        <v/>
      </c>
      <c r="B2442" s="89" t="str">
        <v>Espacios Confinados (Todos)</v>
      </c>
      <c r="C2442" s="90" t="str">
        <v/>
      </c>
      <c r="D2442" s="89" t="str">
        <v>Periódica</v>
      </c>
      <c r="E2442" s="89">
        <v>365</v>
      </c>
      <c r="F2442" s="89" t="str">
        <v/>
      </c>
      <c r="G2442" s="89" t="str">
        <f ca="1"/>
        <v/>
      </c>
    </row>
    <row r="2443" spans="1:7" x14ac:dyDescent="0.3">
      <c r="A2443" s="89" t="str">
        <v/>
      </c>
      <c r="B2443" s="89" t="str">
        <v>HSMS.017 / Espacios Confinados (Entrantes)</v>
      </c>
      <c r="C2443" s="90" t="str">
        <v/>
      </c>
      <c r="D2443" s="89" t="str">
        <v>Evento</v>
      </c>
      <c r="E2443" s="89">
        <v>0</v>
      </c>
      <c r="F2443" s="89" t="str">
        <v/>
      </c>
      <c r="G2443" s="89" t="str">
        <f ca="1"/>
        <v/>
      </c>
    </row>
    <row r="2444" spans="1:7" x14ac:dyDescent="0.3">
      <c r="A2444" s="89" t="str">
        <v/>
      </c>
      <c r="B2444" s="89" t="str">
        <v>Programa de Agua (Todos)</v>
      </c>
      <c r="C2444" s="90" t="str">
        <v/>
      </c>
      <c r="D2444" s="89" t="str">
        <v>Evento</v>
      </c>
      <c r="E2444" s="89">
        <v>0</v>
      </c>
      <c r="F2444" s="89" t="str">
        <v/>
      </c>
      <c r="G2444" s="89" t="str">
        <f ca="1"/>
        <v/>
      </c>
    </row>
    <row r="2445" spans="1:7" x14ac:dyDescent="0.3">
      <c r="A2445" s="89" t="str">
        <v/>
      </c>
      <c r="B2445" s="89" t="str">
        <v>Programa de Agua (HSE)</v>
      </c>
      <c r="C2445" s="90" t="str">
        <v/>
      </c>
      <c r="D2445" s="89" t="str">
        <v>Evento</v>
      </c>
      <c r="E2445" s="89">
        <v>0</v>
      </c>
      <c r="F2445" s="89" t="str">
        <v/>
      </c>
      <c r="G2445" s="89" t="str">
        <f ca="1"/>
        <v/>
      </c>
    </row>
    <row r="2446" spans="1:7" x14ac:dyDescent="0.3">
      <c r="A2446" s="89" t="str">
        <v/>
      </c>
      <c r="B2446" s="89" t="str">
        <v>HIV/SIDA y otras enfermedades de transmisión sexual (ETS)</v>
      </c>
      <c r="C2446" s="90" t="str">
        <v/>
      </c>
      <c r="D2446" s="89" t="str">
        <v>Periódica</v>
      </c>
      <c r="E2446" s="89">
        <v>365</v>
      </c>
      <c r="F2446" s="89" t="str">
        <v/>
      </c>
      <c r="G2446" s="89" t="str">
        <f ca="1"/>
        <v/>
      </c>
    </row>
    <row r="2447" spans="1:7" x14ac:dyDescent="0.3">
      <c r="A2447" s="89" t="str">
        <v/>
      </c>
      <c r="B2447" s="89" t="str">
        <v>Drogas de abuso (concientización y prevención)</v>
      </c>
      <c r="C2447" s="90" t="str">
        <v/>
      </c>
      <c r="D2447" s="89" t="str">
        <v>Periódica</v>
      </c>
      <c r="E2447" s="89">
        <v>365</v>
      </c>
      <c r="F2447" s="89" t="str">
        <v/>
      </c>
      <c r="G2447" s="89" t="str">
        <f ca="1"/>
        <v/>
      </c>
    </row>
    <row r="2448" spans="1:7" x14ac:dyDescent="0.3">
      <c r="A2448" s="89" t="str">
        <v/>
      </c>
      <c r="B2448" s="89" t="str">
        <v>Vida saludable (hábitos, autocuidado y bienestar)</v>
      </c>
      <c r="C2448" s="90" t="str">
        <v/>
      </c>
      <c r="D2448" s="89" t="str">
        <v>Periódica</v>
      </c>
      <c r="E2448" s="89">
        <v>365</v>
      </c>
      <c r="F2448" s="89" t="str">
        <v/>
      </c>
      <c r="G2448" s="89" t="str">
        <f ca="1"/>
        <v/>
      </c>
    </row>
    <row r="2449" spans="1:7" x14ac:dyDescent="0.3">
      <c r="A2449" s="89" t="str">
        <v/>
      </c>
      <c r="B2449" s="89" t="str">
        <v>Primeros auxilios y Reanimación Cardio Pulmonar (RCP)</v>
      </c>
      <c r="C2449" s="90" t="str">
        <v/>
      </c>
      <c r="D2449" s="89" t="str">
        <v>Periódica</v>
      </c>
      <c r="E2449" s="89">
        <v>365</v>
      </c>
      <c r="F2449" s="89" t="str">
        <v/>
      </c>
      <c r="G2449" s="89" t="str">
        <f ca="1"/>
        <v/>
      </c>
    </row>
    <row r="2450" spans="1:7" x14ac:dyDescent="0.3">
      <c r="A2450" s="89" t="str">
        <v/>
      </c>
      <c r="B2450" s="89" t="str">
        <v>Prevención cardiovascular (factores de riesgo y señales de alarma)</v>
      </c>
      <c r="C2450" s="90" t="str">
        <v/>
      </c>
      <c r="D2450" s="89" t="str">
        <v>Periódica</v>
      </c>
      <c r="E2450" s="89">
        <v>365</v>
      </c>
      <c r="F2450" s="89" t="str">
        <v/>
      </c>
      <c r="G2450" s="89" t="str">
        <f ca="1"/>
        <v/>
      </c>
    </row>
    <row r="2451" spans="1:7" x14ac:dyDescent="0.3">
      <c r="A2451" s="89" t="str">
        <v/>
      </c>
      <c r="B2451" s="89" t="str">
        <v>Efectos del tabaco sobre la salud</v>
      </c>
      <c r="C2451" s="90" t="str">
        <v/>
      </c>
      <c r="D2451" s="89" t="str">
        <v>Periódica</v>
      </c>
      <c r="E2451" s="89">
        <v>365</v>
      </c>
      <c r="F2451" s="89" t="str">
        <v/>
      </c>
      <c r="G2451" s="89" t="str">
        <f ca="1"/>
        <v/>
      </c>
    </row>
    <row r="2452" spans="1:7" x14ac:dyDescent="0.3">
      <c r="A2452" s="89" t="str">
        <v/>
      </c>
      <c r="B2452" s="89" t="str">
        <v>Cargadora (Op. Montacargas)</v>
      </c>
      <c r="C2452" s="90" t="str">
        <v/>
      </c>
      <c r="D2452" s="89" t="str">
        <v>Periódica</v>
      </c>
      <c r="E2452" s="89">
        <v>365</v>
      </c>
      <c r="F2452" s="89" t="str">
        <v/>
      </c>
      <c r="G2452" s="89" t="str">
        <f ca="1"/>
        <v/>
      </c>
    </row>
    <row r="2453" spans="1:7" x14ac:dyDescent="0.3">
      <c r="A2453" s="89" t="str">
        <v/>
      </c>
      <c r="B2453" s="89">
        <v>0</v>
      </c>
      <c r="C2453" s="90" t="str">
        <v/>
      </c>
      <c r="D2453" s="89" t="str">
        <v/>
      </c>
      <c r="E2453" s="89" t="str">
        <v/>
      </c>
      <c r="F2453" s="89" t="str">
        <v/>
      </c>
      <c r="G2453" s="89" t="str">
        <f ca="1"/>
        <v/>
      </c>
    </row>
    <row r="2454" spans="1:7" x14ac:dyDescent="0.3">
      <c r="A2454" s="89" t="str">
        <v/>
      </c>
      <c r="B2454" s="89">
        <v>0</v>
      </c>
      <c r="C2454" s="90" t="str">
        <v/>
      </c>
      <c r="D2454" s="89" t="str">
        <v/>
      </c>
      <c r="E2454" s="89" t="str">
        <v/>
      </c>
      <c r="F2454" s="89" t="str">
        <v/>
      </c>
      <c r="G2454" s="89" t="str">
        <f ca="1"/>
        <v/>
      </c>
    </row>
    <row r="2455" spans="1:7" x14ac:dyDescent="0.3">
      <c r="A2455" s="89" t="str">
        <v/>
      </c>
      <c r="B2455" s="89">
        <v>0</v>
      </c>
      <c r="C2455" s="90" t="str">
        <v/>
      </c>
      <c r="D2455" s="89" t="str">
        <v/>
      </c>
      <c r="E2455" s="89" t="str">
        <v/>
      </c>
      <c r="F2455" s="89" t="str">
        <v/>
      </c>
      <c r="G2455" s="89" t="str">
        <f ca="1"/>
        <v/>
      </c>
    </row>
    <row r="2456" spans="1:7" x14ac:dyDescent="0.3">
      <c r="A2456" s="89" t="str">
        <v/>
      </c>
      <c r="B2456" s="89">
        <v>0</v>
      </c>
      <c r="C2456" s="90" t="str">
        <v/>
      </c>
      <c r="D2456" s="89" t="str">
        <v/>
      </c>
      <c r="E2456" s="89" t="str">
        <v/>
      </c>
      <c r="F2456" s="89" t="str">
        <v/>
      </c>
      <c r="G2456" s="89" t="str">
        <f ca="1"/>
        <v/>
      </c>
    </row>
    <row r="2457" spans="1:7" x14ac:dyDescent="0.3">
      <c r="A2457" s="89" t="str">
        <v/>
      </c>
      <c r="B2457" s="89">
        <v>0</v>
      </c>
      <c r="C2457" s="90" t="str">
        <v/>
      </c>
      <c r="D2457" s="89" t="str">
        <v/>
      </c>
      <c r="E2457" s="89" t="str">
        <v/>
      </c>
      <c r="F2457" s="89" t="str">
        <v/>
      </c>
      <c r="G2457" s="89" t="str">
        <f ca="1"/>
        <v/>
      </c>
    </row>
    <row r="2458" spans="1:7" x14ac:dyDescent="0.3">
      <c r="A2458" s="89" t="str">
        <v/>
      </c>
      <c r="B2458" s="89">
        <v>0</v>
      </c>
      <c r="C2458" s="90" t="str">
        <v/>
      </c>
      <c r="D2458" s="89" t="str">
        <v/>
      </c>
      <c r="E2458" s="89" t="str">
        <v/>
      </c>
      <c r="F2458" s="89" t="str">
        <v/>
      </c>
      <c r="G2458" s="89" t="str">
        <f ca="1"/>
        <v/>
      </c>
    </row>
    <row r="2459" spans="1:7" x14ac:dyDescent="0.3">
      <c r="A2459" s="89" t="str">
        <v/>
      </c>
      <c r="B2459" s="89">
        <v>0</v>
      </c>
      <c r="C2459" s="90" t="str">
        <v/>
      </c>
      <c r="D2459" s="89" t="str">
        <v/>
      </c>
      <c r="E2459" s="89" t="str">
        <v/>
      </c>
      <c r="F2459" s="89" t="str">
        <v/>
      </c>
      <c r="G2459" s="89" t="str">
        <f ca="1"/>
        <v/>
      </c>
    </row>
    <row r="2460" spans="1:7" x14ac:dyDescent="0.3">
      <c r="A2460" s="89" t="str">
        <v/>
      </c>
      <c r="B2460" s="89">
        <v>0</v>
      </c>
      <c r="C2460" s="90" t="str">
        <v/>
      </c>
      <c r="D2460" s="89" t="str">
        <v/>
      </c>
      <c r="E2460" s="89" t="str">
        <v/>
      </c>
      <c r="F2460" s="89" t="str">
        <v/>
      </c>
      <c r="G2460" s="89" t="str">
        <f ca="1"/>
        <v/>
      </c>
    </row>
    <row r="2461" spans="1:7" x14ac:dyDescent="0.3">
      <c r="A2461" s="89" t="str">
        <v/>
      </c>
      <c r="B2461" s="89">
        <v>0</v>
      </c>
      <c r="C2461" s="90" t="str">
        <v/>
      </c>
      <c r="D2461" s="89" t="str">
        <v/>
      </c>
      <c r="E2461" s="89" t="str">
        <v/>
      </c>
      <c r="F2461" s="89" t="str">
        <v/>
      </c>
      <c r="G2461" s="89" t="str">
        <f ca="1"/>
        <v/>
      </c>
    </row>
    <row r="2462" spans="1:7" x14ac:dyDescent="0.3">
      <c r="A2462" s="89" t="str">
        <v/>
      </c>
      <c r="B2462" s="89" t="str">
        <v>Programa de Aire</v>
      </c>
      <c r="C2462" s="90" t="str">
        <v/>
      </c>
      <c r="D2462" s="89" t="str">
        <v>Evento</v>
      </c>
      <c r="E2462" s="89">
        <v>0</v>
      </c>
      <c r="F2462" s="89" t="str">
        <v/>
      </c>
      <c r="G2462" s="89" t="str">
        <f ca="1"/>
        <v/>
      </c>
    </row>
    <row r="2463" spans="1:7" x14ac:dyDescent="0.3">
      <c r="A2463" s="89" t="str">
        <v/>
      </c>
      <c r="B2463" s="89" t="str">
        <v>Conciencia Ambiental</v>
      </c>
      <c r="C2463" s="90" t="str">
        <v/>
      </c>
      <c r="D2463" s="89" t="str">
        <v>Periódica</v>
      </c>
      <c r="E2463" s="89">
        <v>365</v>
      </c>
      <c r="F2463" s="89" t="str">
        <v/>
      </c>
      <c r="G2463" s="89" t="str">
        <f ca="1"/>
        <v/>
      </c>
    </row>
    <row r="2464" spans="1:7" x14ac:dyDescent="0.3">
      <c r="A2464" s="89" t="str">
        <v/>
      </c>
      <c r="B2464" s="89" t="str">
        <v xml:space="preserve">Control de Documentos e Informacion de HSE </v>
      </c>
      <c r="C2464" s="90" t="str">
        <v/>
      </c>
      <c r="D2464" s="89" t="str">
        <v>Evento</v>
      </c>
      <c r="E2464" s="89">
        <v>0</v>
      </c>
      <c r="F2464" s="89" t="str">
        <v/>
      </c>
      <c r="G2464" s="89" t="str">
        <f ca="1"/>
        <v/>
      </c>
    </row>
    <row r="2465" spans="1:7" x14ac:dyDescent="0.3">
      <c r="A2465" s="89" t="str">
        <v/>
      </c>
      <c r="B2465" s="89" t="str">
        <v xml:space="preserve"> Acciones Correctivas y Preventivas (CAPA)</v>
      </c>
      <c r="C2465" s="90" t="str">
        <v/>
      </c>
      <c r="D2465" s="89" t="str">
        <v>Evento</v>
      </c>
      <c r="E2465" s="89">
        <v>0</v>
      </c>
      <c r="F2465" s="89" t="str">
        <v/>
      </c>
      <c r="G2465" s="89" t="str">
        <f ca="1"/>
        <v/>
      </c>
    </row>
    <row r="2466" spans="1:7" x14ac:dyDescent="0.3">
      <c r="A2466" s="89" t="str">
        <v/>
      </c>
      <c r="B2466" s="89" t="str">
        <v>Seguridad Basada en el Comportamiento (Observation Program) // HSMS.043 / Autoridad de Detener el Trabajo</v>
      </c>
      <c r="C2466" s="90" t="str">
        <v/>
      </c>
      <c r="D2466" s="89" t="str">
        <v>Periódica</v>
      </c>
      <c r="E2466" s="89">
        <v>365</v>
      </c>
      <c r="F2466" s="89" t="str">
        <v/>
      </c>
      <c r="G2466" s="89" t="str">
        <f ca="1"/>
        <v/>
      </c>
    </row>
    <row r="2467" spans="1:7" x14ac:dyDescent="0.3">
      <c r="A2467" s="89" t="str">
        <v/>
      </c>
      <c r="B2467" s="89" t="str">
        <v>Identificacion de Peligros y Evaluacion de Riesgos</v>
      </c>
      <c r="C2467" s="90" t="str">
        <v/>
      </c>
      <c r="D2467" s="89" t="str">
        <v>Evento</v>
      </c>
      <c r="E2467" s="89">
        <v>0</v>
      </c>
      <c r="F2467" s="89" t="str">
        <v/>
      </c>
      <c r="G2467" s="89" t="str">
        <f ca="1"/>
        <v/>
      </c>
    </row>
    <row r="2468" spans="1:7" x14ac:dyDescent="0.3">
      <c r="A2468" s="89" t="str">
        <v/>
      </c>
      <c r="B2468" s="89" t="str">
        <v xml:space="preserve"> Plan de Respuesta ante Eemergencias / HSMS.010 /Primeros Axulios &amp; RCP/DEA / HSMSWT-002 / Patogenos Trasnmitidos por la Sangre</v>
      </c>
      <c r="C2468" s="90" t="str">
        <v/>
      </c>
      <c r="D2468" s="89" t="str">
        <v>Periódica</v>
      </c>
      <c r="E2468" s="89">
        <v>365</v>
      </c>
      <c r="F2468" s="89" t="str">
        <v/>
      </c>
      <c r="G2468" s="89" t="str">
        <f ca="1"/>
        <v/>
      </c>
    </row>
    <row r="2469" spans="1:7" x14ac:dyDescent="0.3">
      <c r="A2469" s="89" t="str">
        <v/>
      </c>
      <c r="B2469" s="89" t="str">
        <v>Reporte y Gestion de Incidentes HSE (Todos)</v>
      </c>
      <c r="C2469" s="90" t="str">
        <v/>
      </c>
      <c r="D2469" s="89" t="str">
        <v>Periódica</v>
      </c>
      <c r="E2469" s="89">
        <v>365</v>
      </c>
      <c r="F2469" s="89" t="str">
        <v/>
      </c>
      <c r="G2469" s="89" t="str">
        <f ca="1"/>
        <v/>
      </c>
    </row>
    <row r="2470" spans="1:7" x14ac:dyDescent="0.3">
      <c r="A2470" s="89" t="str">
        <v/>
      </c>
      <c r="B2470" s="89" t="str">
        <v>Reporte, Gestion e Investigacion de Incidentes HSE (supervisores / investigadores (rol))</v>
      </c>
      <c r="C2470" s="90" t="str">
        <v/>
      </c>
      <c r="D2470" s="89" t="str">
        <v>Periódica</v>
      </c>
      <c r="E2470" s="89">
        <v>1095</v>
      </c>
      <c r="F2470" s="89" t="str">
        <v/>
      </c>
      <c r="G2470" s="89" t="str">
        <f ca="1"/>
        <v/>
      </c>
    </row>
    <row r="2471" spans="1:7" x14ac:dyDescent="0.3">
      <c r="A2471" s="89" t="str">
        <v/>
      </c>
      <c r="B2471" s="89" t="str">
        <v>Gruas y Equipos de Izaje (Todos)</v>
      </c>
      <c r="C2471" s="90" t="str">
        <v/>
      </c>
      <c r="D2471" s="89" t="str">
        <v>Periódica</v>
      </c>
      <c r="E2471" s="89">
        <v>365</v>
      </c>
      <c r="F2471" s="89" t="str">
        <v/>
      </c>
      <c r="G2471" s="89" t="str">
        <f ca="1"/>
        <v/>
      </c>
    </row>
    <row r="2472" spans="1:7" x14ac:dyDescent="0.3">
      <c r="A2472" s="89" t="str">
        <v/>
      </c>
      <c r="B2472" s="89" t="str">
        <v>HSMS.007 / Gruas y Equipos de Izaje (Operadores)</v>
      </c>
      <c r="C2472" s="90" t="str">
        <v/>
      </c>
      <c r="D2472" s="89" t="str">
        <v>Periódica</v>
      </c>
      <c r="E2472" s="89">
        <v>365</v>
      </c>
      <c r="F2472" s="89" t="str">
        <v/>
      </c>
      <c r="G2472" s="89" t="str">
        <f ca="1"/>
        <v/>
      </c>
    </row>
    <row r="2473" spans="1:7" x14ac:dyDescent="0.3">
      <c r="A2473" s="89" t="str">
        <v/>
      </c>
      <c r="B2473" s="89" t="str">
        <v>Proteccion Contra Incendios (Todos)</v>
      </c>
      <c r="C2473" s="90" t="str">
        <v/>
      </c>
      <c r="D2473" s="89" t="str">
        <v>Periódica</v>
      </c>
      <c r="E2473" s="89">
        <v>365</v>
      </c>
      <c r="F2473" s="89" t="str">
        <v/>
      </c>
      <c r="G2473" s="89" t="str">
        <f ca="1"/>
        <v/>
      </c>
    </row>
    <row r="2474" spans="1:7" x14ac:dyDescent="0.3">
      <c r="A2474" s="89" t="str">
        <v/>
      </c>
      <c r="B2474" s="89" t="str">
        <v>Proteccion Contra Incendios (Brigadistas)</v>
      </c>
      <c r="C2474" s="90" t="str">
        <v/>
      </c>
      <c r="D2474" s="89" t="str">
        <v>Periódica</v>
      </c>
      <c r="E2474" s="89">
        <v>365</v>
      </c>
      <c r="F2474" s="89" t="str">
        <v/>
      </c>
      <c r="G2474" s="89" t="str">
        <f ca="1"/>
        <v/>
      </c>
    </row>
    <row r="2475" spans="1:7" x14ac:dyDescent="0.3">
      <c r="A2475" s="89" t="str">
        <v/>
      </c>
      <c r="B2475" s="89" t="str">
        <v>Primeros Auxilios (Brigadistas)</v>
      </c>
      <c r="C2475" s="90" t="str">
        <v/>
      </c>
      <c r="D2475" s="89" t="str">
        <v>Periódica</v>
      </c>
      <c r="E2475" s="89">
        <v>365</v>
      </c>
      <c r="F2475" s="89" t="str">
        <v/>
      </c>
      <c r="G2475" s="89" t="str">
        <f ca="1"/>
        <v/>
      </c>
    </row>
    <row r="2476" spans="1:7" x14ac:dyDescent="0.3">
      <c r="A2476" s="89" t="str">
        <v/>
      </c>
      <c r="B2476" s="89" t="str">
        <v>Seguridad Electrica (Todos)</v>
      </c>
      <c r="C2476" s="90" t="str">
        <v/>
      </c>
      <c r="D2476" s="89" t="str">
        <v>Periódica</v>
      </c>
      <c r="E2476" s="89">
        <v>365</v>
      </c>
      <c r="F2476" s="89" t="str">
        <v/>
      </c>
      <c r="G2476" s="89" t="str">
        <f ca="1"/>
        <v/>
      </c>
    </row>
    <row r="2477" spans="1:7" x14ac:dyDescent="0.3">
      <c r="A2477" s="89" t="str">
        <v/>
      </c>
      <c r="B2477" s="89" t="str">
        <v>Seguridad Electrica (Personal Autorizado)</v>
      </c>
      <c r="C2477" s="90" t="str">
        <v/>
      </c>
      <c r="D2477" s="89" t="str">
        <v>Periódica</v>
      </c>
      <c r="E2477" s="89">
        <v>1095</v>
      </c>
      <c r="F2477" s="89" t="str">
        <v/>
      </c>
      <c r="G2477" s="89" t="str">
        <f ca="1"/>
        <v/>
      </c>
    </row>
    <row r="2478" spans="1:7" x14ac:dyDescent="0.3">
      <c r="A2478" s="89" t="str">
        <v/>
      </c>
      <c r="B2478" s="89" t="str">
        <v>Camiones Industriales Motorizados (PIT) (Todos)</v>
      </c>
      <c r="C2478" s="90" t="str">
        <v/>
      </c>
      <c r="D2478" s="89" t="str">
        <v>Periódica</v>
      </c>
      <c r="E2478" s="89">
        <v>365</v>
      </c>
      <c r="F2478" s="89" t="str">
        <v/>
      </c>
      <c r="G2478" s="89" t="str">
        <f ca="1"/>
        <v/>
      </c>
    </row>
    <row r="2479" spans="1:7" x14ac:dyDescent="0.3">
      <c r="A2479" s="89" t="str">
        <v/>
      </c>
      <c r="B2479" s="89" t="str">
        <v>Camiones Industriales Motorizados (PIT) (Op. Montacargas)</v>
      </c>
      <c r="C2479" s="90" t="str">
        <v/>
      </c>
      <c r="D2479" s="89" t="str">
        <v>Periódica</v>
      </c>
      <c r="E2479" s="89">
        <v>365</v>
      </c>
      <c r="F2479" s="89" t="str">
        <v/>
      </c>
      <c r="G2479" s="89" t="str">
        <f ca="1"/>
        <v/>
      </c>
    </row>
    <row r="2480" spans="1:7" x14ac:dyDescent="0.3">
      <c r="A2480" s="89" t="str">
        <v/>
      </c>
      <c r="B2480" s="89" t="str">
        <v>Control de Energias Peligrosas (LOTO) (Todos)</v>
      </c>
      <c r="C2480" s="90" t="str">
        <v/>
      </c>
      <c r="D2480" s="89" t="str">
        <v>Evento</v>
      </c>
      <c r="E2480" s="89">
        <v>0</v>
      </c>
      <c r="F2480" s="89" t="str">
        <v/>
      </c>
      <c r="G2480" s="89" t="str">
        <f ca="1"/>
        <v/>
      </c>
    </row>
    <row r="2481" spans="1:7" x14ac:dyDescent="0.3">
      <c r="A2481" s="89" t="str">
        <v/>
      </c>
      <c r="B2481" s="89" t="str">
        <v>Control de Energias Peligrosas (LOTO) (Empleados Autorizados)</v>
      </c>
      <c r="C2481" s="90" t="str">
        <v/>
      </c>
      <c r="D2481" s="89" t="str">
        <v>Periódica</v>
      </c>
      <c r="E2481" s="89">
        <v>365</v>
      </c>
      <c r="F2481" s="89" t="str">
        <v/>
      </c>
      <c r="G2481" s="89" t="str">
        <f ca="1"/>
        <v/>
      </c>
    </row>
    <row r="2482" spans="1:7" x14ac:dyDescent="0.3">
      <c r="A2482" s="89" t="str">
        <v/>
      </c>
      <c r="B2482" s="89" t="str">
        <v>Seguridad aplicada al Pozo &amp; Yacimiento</v>
      </c>
      <c r="C2482" s="90" t="str">
        <v/>
      </c>
      <c r="D2482" s="89" t="str">
        <v>Periódica</v>
      </c>
      <c r="E2482" s="89">
        <v>365</v>
      </c>
      <c r="F2482" s="89" t="str">
        <v/>
      </c>
      <c r="G2482" s="89" t="str">
        <f ca="1"/>
        <v/>
      </c>
    </row>
    <row r="2483" spans="1:7" x14ac:dyDescent="0.3">
      <c r="A2483" s="89" t="str">
        <v/>
      </c>
      <c r="B2483" s="89" t="str">
        <v>Las Reglas que Salvan Vidas</v>
      </c>
      <c r="C2483" s="90" t="str">
        <v/>
      </c>
      <c r="D2483" s="89" t="str">
        <v>Periódica</v>
      </c>
      <c r="E2483" s="89">
        <v>365</v>
      </c>
      <c r="F2483" s="89" t="str">
        <v/>
      </c>
      <c r="G2483" s="89" t="str">
        <f ca="1"/>
        <v/>
      </c>
    </row>
    <row r="2484" spans="1:7" x14ac:dyDescent="0.3">
      <c r="A2484" s="89" t="str">
        <v/>
      </c>
      <c r="B2484" s="89" t="str">
        <v xml:space="preserve">Resguardo de Maquinas &amp; Equipos </v>
      </c>
      <c r="C2484" s="90" t="str">
        <v/>
      </c>
      <c r="D2484" s="89" t="str">
        <v>Periódica</v>
      </c>
      <c r="E2484" s="89">
        <v>365</v>
      </c>
      <c r="F2484" s="89" t="str">
        <v/>
      </c>
      <c r="G2484" s="89" t="str">
        <f ca="1"/>
        <v/>
      </c>
    </row>
    <row r="2485" spans="1:7" x14ac:dyDescent="0.3">
      <c r="A2485" s="89" t="str">
        <v/>
      </c>
      <c r="B2485" s="89" t="str">
        <v>Conduccion y Gestion de Viajes (Todos)</v>
      </c>
      <c r="C2485" s="90" t="str">
        <v/>
      </c>
      <c r="D2485" s="89" t="str">
        <v>Periódica</v>
      </c>
      <c r="E2485" s="89">
        <v>730</v>
      </c>
      <c r="F2485" s="89" t="str">
        <v/>
      </c>
      <c r="G2485" s="89" t="str">
        <f ca="1"/>
        <v/>
      </c>
    </row>
    <row r="2486" spans="1:7" x14ac:dyDescent="0.3">
      <c r="A2486" s="89" t="str">
        <v/>
      </c>
      <c r="B2486" s="89" t="str">
        <v>Conduccion y Gestion de Viajes (Conductores)</v>
      </c>
      <c r="C2486" s="90" t="str">
        <v/>
      </c>
      <c r="D2486" s="89" t="str">
        <v>Periódica</v>
      </c>
      <c r="E2486" s="89">
        <v>1095</v>
      </c>
      <c r="F2486" s="89" t="str">
        <v/>
      </c>
      <c r="G2486" s="89" t="str">
        <f ca="1"/>
        <v/>
      </c>
    </row>
    <row r="2487" spans="1:7" x14ac:dyDescent="0.3">
      <c r="A2487" s="89" t="str">
        <v/>
      </c>
      <c r="B2487" s="89" t="str">
        <v>Patogenos Transmitidos por la Sangre</v>
      </c>
      <c r="C2487" s="90" t="str">
        <v/>
      </c>
      <c r="D2487" s="89" t="str">
        <v>Periódica</v>
      </c>
      <c r="E2487" s="89">
        <v>365</v>
      </c>
      <c r="F2487" s="89" t="str">
        <v/>
      </c>
      <c r="G2487" s="89" t="str">
        <f ca="1"/>
        <v/>
      </c>
    </row>
    <row r="2488" spans="1:7" x14ac:dyDescent="0.3">
      <c r="A2488" s="89" t="str">
        <v/>
      </c>
      <c r="B2488" s="89" t="str">
        <v>Conservacion Auditiva</v>
      </c>
      <c r="C2488" s="90" t="str">
        <v/>
      </c>
      <c r="D2488" s="89" t="str">
        <v>Periódica</v>
      </c>
      <c r="E2488" s="89">
        <v>365</v>
      </c>
      <c r="F2488" s="89" t="str">
        <v/>
      </c>
      <c r="G2488" s="89" t="str">
        <f ca="1"/>
        <v/>
      </c>
    </row>
    <row r="2489" spans="1:7" x14ac:dyDescent="0.3">
      <c r="A2489" s="89" t="str">
        <v/>
      </c>
      <c r="B2489" s="89" t="str">
        <v xml:space="preserve">Ergonomia //  / Levantamiento &amp; Seguridad en la Espalda </v>
      </c>
      <c r="C2489" s="90" t="str">
        <v/>
      </c>
      <c r="D2489" s="89" t="str">
        <v>Periódica</v>
      </c>
      <c r="E2489" s="89">
        <v>365</v>
      </c>
      <c r="F2489" s="89" t="str">
        <v/>
      </c>
      <c r="G2489" s="89" t="str">
        <f ca="1"/>
        <v/>
      </c>
    </row>
    <row r="2490" spans="1:7" x14ac:dyDescent="0.3">
      <c r="A2490" s="89" t="str">
        <v/>
      </c>
      <c r="B2490" s="89" t="str">
        <v>Superficies Elevadas (Todos)</v>
      </c>
      <c r="C2490" s="90" t="str">
        <v/>
      </c>
      <c r="D2490" s="89" t="str">
        <v>Periódica</v>
      </c>
      <c r="E2490" s="89">
        <v>365</v>
      </c>
      <c r="F2490" s="89" t="str">
        <v/>
      </c>
      <c r="G2490" s="89" t="str">
        <f ca="1"/>
        <v/>
      </c>
    </row>
    <row r="2491" spans="1:7" x14ac:dyDescent="0.3">
      <c r="A2491" s="89" t="str">
        <v/>
      </c>
      <c r="B2491" s="89" t="str">
        <v>Superficies Elevadas (Personal Habilitado)</v>
      </c>
      <c r="C2491" s="90" t="str">
        <v/>
      </c>
      <c r="D2491" s="89" t="str">
        <v>Periódica</v>
      </c>
      <c r="E2491" s="89">
        <v>365</v>
      </c>
      <c r="F2491" s="89" t="str">
        <v/>
      </c>
      <c r="G2491" s="89" t="str">
        <f ca="1"/>
        <v/>
      </c>
    </row>
    <row r="2492" spans="1:7" x14ac:dyDescent="0.3">
      <c r="A2492" s="89" t="str">
        <v/>
      </c>
      <c r="B2492" s="89" t="str">
        <v>Seguridad Quimica (Todos)</v>
      </c>
      <c r="C2492" s="90" t="str">
        <v/>
      </c>
      <c r="D2492" s="89" t="str">
        <v>Periódica</v>
      </c>
      <c r="E2492" s="89">
        <v>730</v>
      </c>
      <c r="F2492" s="89" t="str">
        <v/>
      </c>
      <c r="G2492" s="89" t="str">
        <f ca="1"/>
        <v/>
      </c>
    </row>
    <row r="2493" spans="1:7" x14ac:dyDescent="0.3">
      <c r="A2493" s="89" t="str">
        <v/>
      </c>
      <c r="B2493" s="89" t="str">
        <v>Seguridad Quimica (Mantenimiento)</v>
      </c>
      <c r="C2493" s="90" t="str">
        <v/>
      </c>
      <c r="D2493" s="89" t="str">
        <v>Periódica</v>
      </c>
      <c r="E2493" s="89">
        <v>365</v>
      </c>
      <c r="F2493" s="89" t="str">
        <v/>
      </c>
      <c r="G2493" s="89" t="str">
        <f ca="1"/>
        <v/>
      </c>
    </row>
    <row r="2494" spans="1:7" x14ac:dyDescent="0.3">
      <c r="A2494" s="89" t="str">
        <v/>
      </c>
      <c r="B2494" s="89" t="str">
        <v>Seguridad Quimica (Contratistas)</v>
      </c>
      <c r="C2494" s="90" t="str">
        <v/>
      </c>
      <c r="D2494" s="89" t="str">
        <v>Periódica</v>
      </c>
      <c r="E2494" s="89">
        <v>365</v>
      </c>
      <c r="F2494" s="89" t="str">
        <v/>
      </c>
      <c r="G2494" s="89" t="str">
        <f ca="1"/>
        <v/>
      </c>
    </row>
    <row r="2495" spans="1:7" x14ac:dyDescent="0.3">
      <c r="A2495" s="89" t="str">
        <v/>
      </c>
      <c r="B2495" s="89" t="str">
        <v>Seguridad para Trabajos en Caliente</v>
      </c>
      <c r="C2495" s="90" t="str">
        <v/>
      </c>
      <c r="D2495" s="89" t="str">
        <v>Periódica</v>
      </c>
      <c r="E2495" s="89">
        <v>365</v>
      </c>
      <c r="F2495" s="89" t="str">
        <v/>
      </c>
      <c r="G2495" s="89" t="str">
        <f ca="1"/>
        <v/>
      </c>
    </row>
    <row r="2496" spans="1:7" x14ac:dyDescent="0.3">
      <c r="A2496" s="89" t="str">
        <v/>
      </c>
      <c r="B2496" s="89" t="str">
        <v>Seguridad con la Radiacion</v>
      </c>
      <c r="C2496" s="90" t="str">
        <v/>
      </c>
      <c r="D2496" s="89" t="str">
        <v>Periódica</v>
      </c>
      <c r="E2496" s="89">
        <v>365</v>
      </c>
      <c r="F2496" s="89" t="str">
        <v/>
      </c>
      <c r="G2496" s="89" t="str">
        <f ca="1"/>
        <v/>
      </c>
    </row>
    <row r="2497" spans="1:7" x14ac:dyDescent="0.3">
      <c r="A2497" s="89" t="str">
        <v/>
      </c>
      <c r="B2497" s="89" t="str">
        <v>Equipo de Proteccion Personal (PPE)</v>
      </c>
      <c r="C2497" s="90" t="str">
        <v/>
      </c>
      <c r="D2497" s="89" t="str">
        <v>Periódica</v>
      </c>
      <c r="E2497" s="89">
        <v>365</v>
      </c>
      <c r="F2497" s="89" t="str">
        <v/>
      </c>
      <c r="G2497" s="89" t="str">
        <f ca="1"/>
        <v/>
      </c>
    </row>
    <row r="2498" spans="1:7" x14ac:dyDescent="0.3">
      <c r="A2498" s="89" t="str">
        <v/>
      </c>
      <c r="B2498" s="89" t="str">
        <v>Proteccion Respiratoria</v>
      </c>
      <c r="C2498" s="90" t="str">
        <v/>
      </c>
      <c r="D2498" s="89" t="str">
        <v>Periódica</v>
      </c>
      <c r="E2498" s="89">
        <v>365</v>
      </c>
      <c r="F2498" s="89" t="str">
        <v/>
      </c>
      <c r="G2498" s="89" t="str">
        <f ca="1"/>
        <v/>
      </c>
    </row>
    <row r="2499" spans="1:7" x14ac:dyDescent="0.3">
      <c r="A2499" s="89" t="str">
        <v/>
      </c>
      <c r="B2499" s="89" t="str">
        <v xml:space="preserve">Seguridad con Escaleras </v>
      </c>
      <c r="C2499" s="90" t="str">
        <v/>
      </c>
      <c r="D2499" s="89" t="str">
        <v>Periódica</v>
      </c>
      <c r="E2499" s="89">
        <v>365</v>
      </c>
      <c r="F2499" s="89" t="str">
        <v/>
      </c>
      <c r="G2499" s="89" t="str">
        <f ca="1"/>
        <v/>
      </c>
    </row>
    <row r="2500" spans="1:7" x14ac:dyDescent="0.3">
      <c r="A2500" s="89" t="str">
        <v/>
      </c>
      <c r="B2500" s="89" t="str">
        <v>Seguridad con Escaleras // Estantes de Almacenamiento</v>
      </c>
      <c r="C2500" s="90" t="str">
        <v/>
      </c>
      <c r="D2500" s="89" t="str">
        <v>Periódica</v>
      </c>
      <c r="E2500" s="89">
        <v>365</v>
      </c>
      <c r="F2500" s="89" t="str">
        <v/>
      </c>
      <c r="G2500" s="89" t="str">
        <f ca="1"/>
        <v/>
      </c>
    </row>
    <row r="2501" spans="1:7" x14ac:dyDescent="0.3">
      <c r="A2501" s="89" t="str">
        <v/>
      </c>
      <c r="B2501" s="89" t="str">
        <v>Responsabilidades del Supervisor</v>
      </c>
      <c r="C2501" s="90" t="str">
        <v/>
      </c>
      <c r="D2501" s="89" t="str">
        <v>Periódica</v>
      </c>
      <c r="E2501" s="89">
        <v>365</v>
      </c>
      <c r="F2501" s="89" t="str">
        <v/>
      </c>
      <c r="G2501" s="89" t="str">
        <f ca="1"/>
        <v/>
      </c>
    </row>
    <row r="2502" spans="1:7" x14ac:dyDescent="0.3">
      <c r="A2502" s="89" t="str">
        <v/>
      </c>
      <c r="B2502" s="89" t="str">
        <v>Espacios Confinados (Todos)</v>
      </c>
      <c r="C2502" s="90" t="str">
        <v/>
      </c>
      <c r="D2502" s="89" t="str">
        <v>Periódica</v>
      </c>
      <c r="E2502" s="89">
        <v>365</v>
      </c>
      <c r="F2502" s="89" t="str">
        <v/>
      </c>
      <c r="G2502" s="89" t="str">
        <f ca="1"/>
        <v/>
      </c>
    </row>
    <row r="2503" spans="1:7" x14ac:dyDescent="0.3">
      <c r="A2503" s="89" t="str">
        <v/>
      </c>
      <c r="B2503" s="89" t="str">
        <v>HSMS.017 / Espacios Confinados (Entrantes)</v>
      </c>
      <c r="C2503" s="90" t="str">
        <v/>
      </c>
      <c r="D2503" s="89" t="str">
        <v>Evento</v>
      </c>
      <c r="E2503" s="89">
        <v>0</v>
      </c>
      <c r="F2503" s="89" t="str">
        <v/>
      </c>
      <c r="G2503" s="89" t="str">
        <f ca="1"/>
        <v/>
      </c>
    </row>
    <row r="2504" spans="1:7" x14ac:dyDescent="0.3">
      <c r="A2504" s="89" t="str">
        <v/>
      </c>
      <c r="B2504" s="89" t="str">
        <v>Programa de Agua (Todos)</v>
      </c>
      <c r="C2504" s="90" t="str">
        <v/>
      </c>
      <c r="D2504" s="89" t="str">
        <v>Evento</v>
      </c>
      <c r="E2504" s="89">
        <v>0</v>
      </c>
      <c r="F2504" s="89" t="str">
        <v/>
      </c>
      <c r="G2504" s="89" t="str">
        <f ca="1"/>
        <v/>
      </c>
    </row>
    <row r="2505" spans="1:7" x14ac:dyDescent="0.3">
      <c r="A2505" s="89" t="str">
        <v/>
      </c>
      <c r="B2505" s="89" t="str">
        <v>Programa de Agua (HSE)</v>
      </c>
      <c r="C2505" s="90" t="str">
        <v/>
      </c>
      <c r="D2505" s="89" t="str">
        <v>Evento</v>
      </c>
      <c r="E2505" s="89">
        <v>0</v>
      </c>
      <c r="F2505" s="89" t="str">
        <v/>
      </c>
      <c r="G2505" s="89" t="str">
        <f ca="1"/>
        <v/>
      </c>
    </row>
    <row r="2506" spans="1:7" x14ac:dyDescent="0.3">
      <c r="A2506" s="89" t="str">
        <v/>
      </c>
      <c r="B2506" s="89" t="str">
        <v>HIV/SIDA y otras enfermedades de transmisión sexual (ETS)</v>
      </c>
      <c r="C2506" s="90" t="str">
        <v/>
      </c>
      <c r="D2506" s="89" t="str">
        <v>Periódica</v>
      </c>
      <c r="E2506" s="89">
        <v>365</v>
      </c>
      <c r="F2506" s="89" t="str">
        <v/>
      </c>
      <c r="G2506" s="89" t="str">
        <f ca="1"/>
        <v/>
      </c>
    </row>
    <row r="2507" spans="1:7" x14ac:dyDescent="0.3">
      <c r="A2507" s="89" t="str">
        <v/>
      </c>
      <c r="B2507" s="89" t="str">
        <v>Drogas de abuso (concientización y prevención)</v>
      </c>
      <c r="C2507" s="90" t="str">
        <v/>
      </c>
      <c r="D2507" s="89" t="str">
        <v>Periódica</v>
      </c>
      <c r="E2507" s="89">
        <v>365</v>
      </c>
      <c r="F2507" s="89" t="str">
        <v/>
      </c>
      <c r="G2507" s="89" t="str">
        <f ca="1"/>
        <v/>
      </c>
    </row>
    <row r="2508" spans="1:7" x14ac:dyDescent="0.3">
      <c r="A2508" s="89" t="str">
        <v/>
      </c>
      <c r="B2508" s="89" t="str">
        <v>Vida saludable (hábitos, autocuidado y bienestar)</v>
      </c>
      <c r="C2508" s="90" t="str">
        <v/>
      </c>
      <c r="D2508" s="89" t="str">
        <v>Periódica</v>
      </c>
      <c r="E2508" s="89">
        <v>365</v>
      </c>
      <c r="F2508" s="89" t="str">
        <v/>
      </c>
      <c r="G2508" s="89" t="str">
        <f ca="1"/>
        <v/>
      </c>
    </row>
    <row r="2509" spans="1:7" x14ac:dyDescent="0.3">
      <c r="A2509" s="89" t="str">
        <v/>
      </c>
      <c r="B2509" s="89" t="str">
        <v>Primeros auxilios y Reanimación Cardio Pulmonar (RCP)</v>
      </c>
      <c r="C2509" s="90" t="str">
        <v/>
      </c>
      <c r="D2509" s="89" t="str">
        <v>Periódica</v>
      </c>
      <c r="E2509" s="89">
        <v>365</v>
      </c>
      <c r="F2509" s="89" t="str">
        <v/>
      </c>
      <c r="G2509" s="89" t="str">
        <f ca="1"/>
        <v/>
      </c>
    </row>
    <row r="2510" spans="1:7" x14ac:dyDescent="0.3">
      <c r="A2510" s="89" t="str">
        <v/>
      </c>
      <c r="B2510" s="89" t="str">
        <v>Prevención cardiovascular (factores de riesgo y señales de alarma)</v>
      </c>
      <c r="C2510" s="90" t="str">
        <v/>
      </c>
      <c r="D2510" s="89" t="str">
        <v>Periódica</v>
      </c>
      <c r="E2510" s="89">
        <v>365</v>
      </c>
      <c r="F2510" s="89" t="str">
        <v/>
      </c>
      <c r="G2510" s="89" t="str">
        <f ca="1"/>
        <v/>
      </c>
    </row>
    <row r="2511" spans="1:7" x14ac:dyDescent="0.3">
      <c r="A2511" s="89" t="str">
        <v/>
      </c>
      <c r="B2511" s="89" t="str">
        <v>Efectos del tabaco sobre la salud</v>
      </c>
      <c r="C2511" s="90" t="str">
        <v/>
      </c>
      <c r="D2511" s="89" t="str">
        <v>Periódica</v>
      </c>
      <c r="E2511" s="89">
        <v>365</v>
      </c>
      <c r="F2511" s="89" t="str">
        <v/>
      </c>
      <c r="G2511" s="89" t="str">
        <f ca="1"/>
        <v/>
      </c>
    </row>
    <row r="2512" spans="1:7" x14ac:dyDescent="0.3">
      <c r="A2512" s="89" t="str">
        <v/>
      </c>
      <c r="B2512" s="89" t="str">
        <v>Cargadora (Op. Montacargas)</v>
      </c>
      <c r="C2512" s="90" t="str">
        <v/>
      </c>
      <c r="D2512" s="89" t="str">
        <v>Periódica</v>
      </c>
      <c r="E2512" s="89">
        <v>365</v>
      </c>
      <c r="F2512" s="89" t="str">
        <v/>
      </c>
      <c r="G2512" s="89" t="str">
        <f ca="1"/>
        <v/>
      </c>
    </row>
    <row r="2513" spans="1:7" x14ac:dyDescent="0.3">
      <c r="A2513" s="89" t="str">
        <v/>
      </c>
      <c r="B2513" s="89">
        <v>0</v>
      </c>
      <c r="C2513" s="90" t="str">
        <v/>
      </c>
      <c r="D2513" s="89" t="str">
        <v/>
      </c>
      <c r="E2513" s="89" t="str">
        <v/>
      </c>
      <c r="F2513" s="89" t="str">
        <v/>
      </c>
      <c r="G2513" s="89" t="str">
        <f ca="1"/>
        <v/>
      </c>
    </row>
    <row r="2514" spans="1:7" x14ac:dyDescent="0.3">
      <c r="A2514" s="89" t="str">
        <v/>
      </c>
      <c r="B2514" s="89">
        <v>0</v>
      </c>
      <c r="C2514" s="90" t="str">
        <v/>
      </c>
      <c r="D2514" s="89" t="str">
        <v/>
      </c>
      <c r="E2514" s="89" t="str">
        <v/>
      </c>
      <c r="F2514" s="89" t="str">
        <v/>
      </c>
      <c r="G2514" s="89" t="str">
        <f ca="1"/>
        <v/>
      </c>
    </row>
    <row r="2515" spans="1:7" x14ac:dyDescent="0.3">
      <c r="A2515" s="89" t="str">
        <v/>
      </c>
      <c r="B2515" s="89">
        <v>0</v>
      </c>
      <c r="C2515" s="90" t="str">
        <v/>
      </c>
      <c r="D2515" s="89" t="str">
        <v/>
      </c>
      <c r="E2515" s="89" t="str">
        <v/>
      </c>
      <c r="F2515" s="89" t="str">
        <v/>
      </c>
      <c r="G2515" s="89" t="str">
        <f ca="1"/>
        <v/>
      </c>
    </row>
    <row r="2516" spans="1:7" x14ac:dyDescent="0.3">
      <c r="A2516" s="89" t="str">
        <v/>
      </c>
      <c r="B2516" s="89">
        <v>0</v>
      </c>
      <c r="C2516" s="90" t="str">
        <v/>
      </c>
      <c r="D2516" s="89" t="str">
        <v/>
      </c>
      <c r="E2516" s="89" t="str">
        <v/>
      </c>
      <c r="F2516" s="89" t="str">
        <v/>
      </c>
      <c r="G2516" s="89" t="str">
        <f ca="1"/>
        <v/>
      </c>
    </row>
    <row r="2517" spans="1:7" x14ac:dyDescent="0.3">
      <c r="A2517" s="89" t="str">
        <v/>
      </c>
      <c r="B2517" s="89">
        <v>0</v>
      </c>
      <c r="C2517" s="90" t="str">
        <v/>
      </c>
      <c r="D2517" s="89" t="str">
        <v/>
      </c>
      <c r="E2517" s="89" t="str">
        <v/>
      </c>
      <c r="F2517" s="89" t="str">
        <v/>
      </c>
      <c r="G2517" s="89" t="str">
        <f ca="1"/>
        <v/>
      </c>
    </row>
    <row r="2518" spans="1:7" x14ac:dyDescent="0.3">
      <c r="A2518" s="89" t="str">
        <v/>
      </c>
      <c r="B2518" s="89">
        <v>0</v>
      </c>
      <c r="C2518" s="90" t="str">
        <v/>
      </c>
      <c r="D2518" s="89" t="str">
        <v/>
      </c>
      <c r="E2518" s="89" t="str">
        <v/>
      </c>
      <c r="F2518" s="89" t="str">
        <v/>
      </c>
      <c r="G2518" s="89" t="str">
        <f ca="1"/>
        <v/>
      </c>
    </row>
    <row r="2519" spans="1:7" x14ac:dyDescent="0.3">
      <c r="A2519" s="89" t="str">
        <v/>
      </c>
      <c r="B2519" s="89">
        <v>0</v>
      </c>
      <c r="C2519" s="90" t="str">
        <v/>
      </c>
      <c r="D2519" s="89" t="str">
        <v/>
      </c>
      <c r="E2519" s="89" t="str">
        <v/>
      </c>
      <c r="F2519" s="89" t="str">
        <v/>
      </c>
      <c r="G2519" s="89" t="str">
        <f ca="1"/>
        <v/>
      </c>
    </row>
    <row r="2520" spans="1:7" x14ac:dyDescent="0.3">
      <c r="A2520" s="89" t="str">
        <v/>
      </c>
      <c r="B2520" s="89">
        <v>0</v>
      </c>
      <c r="C2520" s="90" t="str">
        <v/>
      </c>
      <c r="D2520" s="89" t="str">
        <v/>
      </c>
      <c r="E2520" s="89" t="str">
        <v/>
      </c>
      <c r="F2520" s="89" t="str">
        <v/>
      </c>
      <c r="G2520" s="89" t="str">
        <f ca="1"/>
        <v/>
      </c>
    </row>
    <row r="2521" spans="1:7" x14ac:dyDescent="0.3">
      <c r="A2521" s="89" t="str">
        <v/>
      </c>
      <c r="B2521" s="89">
        <v>0</v>
      </c>
      <c r="C2521" s="90" t="str">
        <v/>
      </c>
      <c r="D2521" s="89" t="str">
        <v/>
      </c>
      <c r="E2521" s="89" t="str">
        <v/>
      </c>
      <c r="F2521" s="89" t="str">
        <v/>
      </c>
      <c r="G2521" s="89" t="str">
        <f ca="1"/>
        <v/>
      </c>
    </row>
    <row r="2522" spans="1:7" x14ac:dyDescent="0.3">
      <c r="A2522" s="89" t="str">
        <v/>
      </c>
      <c r="B2522" s="89" t="str">
        <v>Programa de Aire</v>
      </c>
      <c r="C2522" s="90" t="str">
        <v/>
      </c>
      <c r="D2522" s="89" t="str">
        <v>Evento</v>
      </c>
      <c r="E2522" s="89">
        <v>0</v>
      </c>
      <c r="F2522" s="89" t="str">
        <v/>
      </c>
      <c r="G2522" s="89" t="str">
        <f ca="1"/>
        <v/>
      </c>
    </row>
    <row r="2523" spans="1:7" x14ac:dyDescent="0.3">
      <c r="A2523" s="89" t="str">
        <v/>
      </c>
      <c r="B2523" s="89" t="str">
        <v>Conciencia Ambiental</v>
      </c>
      <c r="C2523" s="90" t="str">
        <v/>
      </c>
      <c r="D2523" s="89" t="str">
        <v>Periódica</v>
      </c>
      <c r="E2523" s="89">
        <v>365</v>
      </c>
      <c r="F2523" s="89" t="str">
        <v/>
      </c>
      <c r="G2523" s="89" t="str">
        <f ca="1"/>
        <v/>
      </c>
    </row>
    <row r="2524" spans="1:7" x14ac:dyDescent="0.3">
      <c r="A2524" s="89" t="str">
        <v/>
      </c>
      <c r="B2524" s="89" t="str">
        <v xml:space="preserve">Control de Documentos e Informacion de HSE </v>
      </c>
      <c r="C2524" s="90" t="str">
        <v/>
      </c>
      <c r="D2524" s="89" t="str">
        <v>Evento</v>
      </c>
      <c r="E2524" s="89">
        <v>0</v>
      </c>
      <c r="F2524" s="89" t="str">
        <v/>
      </c>
      <c r="G2524" s="89" t="str">
        <f ca="1"/>
        <v/>
      </c>
    </row>
    <row r="2525" spans="1:7" x14ac:dyDescent="0.3">
      <c r="A2525" s="89" t="str">
        <v/>
      </c>
      <c r="B2525" s="89" t="str">
        <v xml:space="preserve"> Acciones Correctivas y Preventivas (CAPA)</v>
      </c>
      <c r="C2525" s="90" t="str">
        <v/>
      </c>
      <c r="D2525" s="89" t="str">
        <v>Evento</v>
      </c>
      <c r="E2525" s="89">
        <v>0</v>
      </c>
      <c r="F2525" s="89" t="str">
        <v/>
      </c>
      <c r="G2525" s="89" t="str">
        <f ca="1"/>
        <v/>
      </c>
    </row>
    <row r="2526" spans="1:7" x14ac:dyDescent="0.3">
      <c r="A2526" s="89" t="str">
        <v/>
      </c>
      <c r="B2526" s="89" t="str">
        <v>Seguridad Basada en el Comportamiento (Observation Program) // HSMS.043 / Autoridad de Detener el Trabajo</v>
      </c>
      <c r="C2526" s="90" t="str">
        <v/>
      </c>
      <c r="D2526" s="89" t="str">
        <v>Periódica</v>
      </c>
      <c r="E2526" s="89">
        <v>365</v>
      </c>
      <c r="F2526" s="89" t="str">
        <v/>
      </c>
      <c r="G2526" s="89" t="str">
        <f ca="1"/>
        <v/>
      </c>
    </row>
    <row r="2527" spans="1:7" x14ac:dyDescent="0.3">
      <c r="A2527" s="89" t="str">
        <v/>
      </c>
      <c r="B2527" s="89" t="str">
        <v>Identificacion de Peligros y Evaluacion de Riesgos</v>
      </c>
      <c r="C2527" s="90" t="str">
        <v/>
      </c>
      <c r="D2527" s="89" t="str">
        <v>Evento</v>
      </c>
      <c r="E2527" s="89">
        <v>0</v>
      </c>
      <c r="F2527" s="89" t="str">
        <v/>
      </c>
      <c r="G2527" s="89" t="str">
        <f ca="1"/>
        <v/>
      </c>
    </row>
    <row r="2528" spans="1:7" x14ac:dyDescent="0.3">
      <c r="A2528" s="89" t="str">
        <v/>
      </c>
      <c r="B2528" s="89" t="str">
        <v xml:space="preserve"> Plan de Respuesta ante Eemergencias / HSMS.010 /Primeros Axulios &amp; RCP/DEA / HSMSWT-002 / Patogenos Trasnmitidos por la Sangre</v>
      </c>
      <c r="C2528" s="90" t="str">
        <v/>
      </c>
      <c r="D2528" s="89" t="str">
        <v>Periódica</v>
      </c>
      <c r="E2528" s="89">
        <v>365</v>
      </c>
      <c r="F2528" s="89" t="str">
        <v/>
      </c>
      <c r="G2528" s="89" t="str">
        <f ca="1"/>
        <v/>
      </c>
    </row>
    <row r="2529" spans="1:7" x14ac:dyDescent="0.3">
      <c r="A2529" s="89" t="str">
        <v/>
      </c>
      <c r="B2529" s="89" t="str">
        <v>Reporte y Gestion de Incidentes HSE (Todos)</v>
      </c>
      <c r="C2529" s="90" t="str">
        <v/>
      </c>
      <c r="D2529" s="89" t="str">
        <v>Periódica</v>
      </c>
      <c r="E2529" s="89">
        <v>365</v>
      </c>
      <c r="F2529" s="89" t="str">
        <v/>
      </c>
      <c r="G2529" s="89" t="str">
        <f ca="1"/>
        <v/>
      </c>
    </row>
    <row r="2530" spans="1:7" x14ac:dyDescent="0.3">
      <c r="A2530" s="89" t="str">
        <v/>
      </c>
      <c r="B2530" s="89" t="str">
        <v>Reporte, Gestion e Investigacion de Incidentes HSE (supervisores / investigadores (rol))</v>
      </c>
      <c r="C2530" s="90" t="str">
        <v/>
      </c>
      <c r="D2530" s="89" t="str">
        <v>Periódica</v>
      </c>
      <c r="E2530" s="89">
        <v>1095</v>
      </c>
      <c r="F2530" s="89" t="str">
        <v/>
      </c>
      <c r="G2530" s="89" t="str">
        <f ca="1"/>
        <v/>
      </c>
    </row>
    <row r="2531" spans="1:7" x14ac:dyDescent="0.3">
      <c r="A2531" s="89" t="str">
        <v/>
      </c>
      <c r="B2531" s="89" t="str">
        <v>Gruas y Equipos de Izaje (Todos)</v>
      </c>
      <c r="C2531" s="90" t="str">
        <v/>
      </c>
      <c r="D2531" s="89" t="str">
        <v>Periódica</v>
      </c>
      <c r="E2531" s="89">
        <v>365</v>
      </c>
      <c r="F2531" s="89" t="str">
        <v/>
      </c>
      <c r="G2531" s="89" t="str">
        <f ca="1"/>
        <v/>
      </c>
    </row>
    <row r="2532" spans="1:7" x14ac:dyDescent="0.3">
      <c r="A2532" s="89" t="str">
        <v/>
      </c>
      <c r="B2532" s="89" t="str">
        <v>HSMS.007 / Gruas y Equipos de Izaje (Operadores)</v>
      </c>
      <c r="C2532" s="90" t="str">
        <v/>
      </c>
      <c r="D2532" s="89" t="str">
        <v>Periódica</v>
      </c>
      <c r="E2532" s="89">
        <v>365</v>
      </c>
      <c r="F2532" s="89" t="str">
        <v/>
      </c>
      <c r="G2532" s="89" t="str">
        <f ca="1"/>
        <v/>
      </c>
    </row>
    <row r="2533" spans="1:7" x14ac:dyDescent="0.3">
      <c r="A2533" s="89" t="str">
        <v/>
      </c>
      <c r="B2533" s="89" t="str">
        <v>Proteccion Contra Incendios (Todos)</v>
      </c>
      <c r="C2533" s="90" t="str">
        <v/>
      </c>
      <c r="D2533" s="89" t="str">
        <v>Periódica</v>
      </c>
      <c r="E2533" s="89">
        <v>365</v>
      </c>
      <c r="F2533" s="89" t="str">
        <v/>
      </c>
      <c r="G2533" s="89" t="str">
        <f ca="1"/>
        <v/>
      </c>
    </row>
    <row r="2534" spans="1:7" x14ac:dyDescent="0.3">
      <c r="A2534" s="89" t="str">
        <v/>
      </c>
      <c r="B2534" s="89" t="str">
        <v>Proteccion Contra Incendios (Brigadistas)</v>
      </c>
      <c r="C2534" s="90" t="str">
        <v/>
      </c>
      <c r="D2534" s="89" t="str">
        <v>Periódica</v>
      </c>
      <c r="E2534" s="89">
        <v>365</v>
      </c>
      <c r="F2534" s="89" t="str">
        <v/>
      </c>
      <c r="G2534" s="89" t="str">
        <f ca="1"/>
        <v/>
      </c>
    </row>
    <row r="2535" spans="1:7" x14ac:dyDescent="0.3">
      <c r="A2535" s="89" t="str">
        <v/>
      </c>
      <c r="B2535" s="89" t="str">
        <v>Primeros Auxilios (Brigadistas)</v>
      </c>
      <c r="C2535" s="90" t="str">
        <v/>
      </c>
      <c r="D2535" s="89" t="str">
        <v>Periódica</v>
      </c>
      <c r="E2535" s="89">
        <v>365</v>
      </c>
      <c r="F2535" s="89" t="str">
        <v/>
      </c>
      <c r="G2535" s="89" t="str">
        <f ca="1"/>
        <v/>
      </c>
    </row>
    <row r="2536" spans="1:7" x14ac:dyDescent="0.3">
      <c r="A2536" s="89" t="str">
        <v/>
      </c>
      <c r="B2536" s="89" t="str">
        <v>Seguridad Electrica (Todos)</v>
      </c>
      <c r="C2536" s="90" t="str">
        <v/>
      </c>
      <c r="D2536" s="89" t="str">
        <v>Periódica</v>
      </c>
      <c r="E2536" s="89">
        <v>365</v>
      </c>
      <c r="F2536" s="89" t="str">
        <v/>
      </c>
      <c r="G2536" s="89" t="str">
        <f ca="1"/>
        <v/>
      </c>
    </row>
    <row r="2537" spans="1:7" x14ac:dyDescent="0.3">
      <c r="A2537" s="89" t="str">
        <v/>
      </c>
      <c r="B2537" s="89" t="str">
        <v>Seguridad Electrica (Personal Autorizado)</v>
      </c>
      <c r="C2537" s="90" t="str">
        <v/>
      </c>
      <c r="D2537" s="89" t="str">
        <v>Periódica</v>
      </c>
      <c r="E2537" s="89">
        <v>1095</v>
      </c>
      <c r="F2537" s="89" t="str">
        <v/>
      </c>
      <c r="G2537" s="89" t="str">
        <f ca="1"/>
        <v/>
      </c>
    </row>
    <row r="2538" spans="1:7" x14ac:dyDescent="0.3">
      <c r="A2538" s="89" t="str">
        <v/>
      </c>
      <c r="B2538" s="89" t="str">
        <v>Camiones Industriales Motorizados (PIT) (Todos)</v>
      </c>
      <c r="C2538" s="90" t="str">
        <v/>
      </c>
      <c r="D2538" s="89" t="str">
        <v>Periódica</v>
      </c>
      <c r="E2538" s="89">
        <v>365</v>
      </c>
      <c r="F2538" s="89" t="str">
        <v/>
      </c>
      <c r="G2538" s="89" t="str">
        <f ca="1"/>
        <v/>
      </c>
    </row>
    <row r="2539" spans="1:7" x14ac:dyDescent="0.3">
      <c r="A2539" s="89" t="str">
        <v/>
      </c>
      <c r="B2539" s="89" t="str">
        <v>Camiones Industriales Motorizados (PIT) (Op. Montacargas)</v>
      </c>
      <c r="C2539" s="90" t="str">
        <v/>
      </c>
      <c r="D2539" s="89" t="str">
        <v>Periódica</v>
      </c>
      <c r="E2539" s="89">
        <v>365</v>
      </c>
      <c r="F2539" s="89" t="str">
        <v/>
      </c>
      <c r="G2539" s="89" t="str">
        <f ca="1"/>
        <v/>
      </c>
    </row>
    <row r="2540" spans="1:7" x14ac:dyDescent="0.3">
      <c r="A2540" s="89" t="str">
        <v/>
      </c>
      <c r="B2540" s="89" t="str">
        <v>Control de Energias Peligrosas (LOTO) (Todos)</v>
      </c>
      <c r="C2540" s="90" t="str">
        <v/>
      </c>
      <c r="D2540" s="89" t="str">
        <v>Evento</v>
      </c>
      <c r="E2540" s="89">
        <v>0</v>
      </c>
      <c r="F2540" s="89" t="str">
        <v/>
      </c>
      <c r="G2540" s="89" t="str">
        <f ca="1"/>
        <v/>
      </c>
    </row>
    <row r="2541" spans="1:7" x14ac:dyDescent="0.3">
      <c r="A2541" s="89" t="str">
        <v/>
      </c>
      <c r="B2541" s="89" t="str">
        <v>Control de Energias Peligrosas (LOTO) (Empleados Autorizados)</v>
      </c>
      <c r="C2541" s="90" t="str">
        <v/>
      </c>
      <c r="D2541" s="89" t="str">
        <v>Periódica</v>
      </c>
      <c r="E2541" s="89">
        <v>365</v>
      </c>
      <c r="F2541" s="89" t="str">
        <v/>
      </c>
      <c r="G2541" s="89" t="str">
        <f ca="1"/>
        <v/>
      </c>
    </row>
    <row r="2542" spans="1:7" x14ac:dyDescent="0.3">
      <c r="A2542" s="89" t="str">
        <v/>
      </c>
      <c r="B2542" s="89" t="str">
        <v>Seguridad aplicada al Pozo &amp; Yacimiento</v>
      </c>
      <c r="C2542" s="90" t="str">
        <v/>
      </c>
      <c r="D2542" s="89" t="str">
        <v>Periódica</v>
      </c>
      <c r="E2542" s="89">
        <v>365</v>
      </c>
      <c r="F2542" s="89" t="str">
        <v/>
      </c>
      <c r="G2542" s="89" t="str">
        <f ca="1"/>
        <v/>
      </c>
    </row>
    <row r="2543" spans="1:7" x14ac:dyDescent="0.3">
      <c r="A2543" s="89" t="str">
        <v/>
      </c>
      <c r="B2543" s="89" t="str">
        <v>Las Reglas que Salvan Vidas</v>
      </c>
      <c r="C2543" s="90" t="str">
        <v/>
      </c>
      <c r="D2543" s="89" t="str">
        <v>Periódica</v>
      </c>
      <c r="E2543" s="89">
        <v>365</v>
      </c>
      <c r="F2543" s="89" t="str">
        <v/>
      </c>
      <c r="G2543" s="89" t="str">
        <f ca="1"/>
        <v/>
      </c>
    </row>
    <row r="2544" spans="1:7" x14ac:dyDescent="0.3">
      <c r="A2544" s="89" t="str">
        <v/>
      </c>
      <c r="B2544" s="89" t="str">
        <v xml:space="preserve">Resguardo de Maquinas &amp; Equipos </v>
      </c>
      <c r="C2544" s="90" t="str">
        <v/>
      </c>
      <c r="D2544" s="89" t="str">
        <v>Periódica</v>
      </c>
      <c r="E2544" s="89">
        <v>365</v>
      </c>
      <c r="F2544" s="89" t="str">
        <v/>
      </c>
      <c r="G2544" s="89" t="str">
        <f ca="1"/>
        <v/>
      </c>
    </row>
    <row r="2545" spans="1:7" x14ac:dyDescent="0.3">
      <c r="A2545" s="89" t="str">
        <v/>
      </c>
      <c r="B2545" s="89" t="str">
        <v>Conduccion y Gestion de Viajes (Todos)</v>
      </c>
      <c r="C2545" s="90" t="str">
        <v/>
      </c>
      <c r="D2545" s="89" t="str">
        <v>Periódica</v>
      </c>
      <c r="E2545" s="89">
        <v>730</v>
      </c>
      <c r="F2545" s="89" t="str">
        <v/>
      </c>
      <c r="G2545" s="89" t="str">
        <f ca="1"/>
        <v/>
      </c>
    </row>
    <row r="2546" spans="1:7" x14ac:dyDescent="0.3">
      <c r="A2546" s="89" t="str">
        <v/>
      </c>
      <c r="B2546" s="89" t="str">
        <v>Conduccion y Gestion de Viajes (Conductores)</v>
      </c>
      <c r="C2546" s="90" t="str">
        <v/>
      </c>
      <c r="D2546" s="89" t="str">
        <v>Periódica</v>
      </c>
      <c r="E2546" s="89">
        <v>1095</v>
      </c>
      <c r="F2546" s="89" t="str">
        <v/>
      </c>
      <c r="G2546" s="89" t="str">
        <f ca="1"/>
        <v/>
      </c>
    </row>
    <row r="2547" spans="1:7" x14ac:dyDescent="0.3">
      <c r="A2547" s="89" t="str">
        <v/>
      </c>
      <c r="B2547" s="89" t="str">
        <v>Patogenos Transmitidos por la Sangre</v>
      </c>
      <c r="C2547" s="90" t="str">
        <v/>
      </c>
      <c r="D2547" s="89" t="str">
        <v>Periódica</v>
      </c>
      <c r="E2547" s="89">
        <v>365</v>
      </c>
      <c r="F2547" s="89" t="str">
        <v/>
      </c>
      <c r="G2547" s="89" t="str">
        <f ca="1"/>
        <v/>
      </c>
    </row>
    <row r="2548" spans="1:7" x14ac:dyDescent="0.3">
      <c r="A2548" s="89" t="str">
        <v/>
      </c>
      <c r="B2548" s="89" t="str">
        <v>Conservacion Auditiva</v>
      </c>
      <c r="C2548" s="90" t="str">
        <v/>
      </c>
      <c r="D2548" s="89" t="str">
        <v>Periódica</v>
      </c>
      <c r="E2548" s="89">
        <v>365</v>
      </c>
      <c r="F2548" s="89" t="str">
        <v/>
      </c>
      <c r="G2548" s="89" t="str">
        <f ca="1"/>
        <v/>
      </c>
    </row>
    <row r="2549" spans="1:7" x14ac:dyDescent="0.3">
      <c r="A2549" s="89" t="str">
        <v/>
      </c>
      <c r="B2549" s="89" t="str">
        <v xml:space="preserve">Ergonomia //  / Levantamiento &amp; Seguridad en la Espalda </v>
      </c>
      <c r="C2549" s="90" t="str">
        <v/>
      </c>
      <c r="D2549" s="89" t="str">
        <v>Periódica</v>
      </c>
      <c r="E2549" s="89">
        <v>365</v>
      </c>
      <c r="F2549" s="89" t="str">
        <v/>
      </c>
      <c r="G2549" s="89" t="str">
        <f ca="1"/>
        <v/>
      </c>
    </row>
    <row r="2550" spans="1:7" x14ac:dyDescent="0.3">
      <c r="A2550" s="89" t="str">
        <v/>
      </c>
      <c r="B2550" s="89" t="str">
        <v>Superficies Elevadas (Todos)</v>
      </c>
      <c r="C2550" s="90" t="str">
        <v/>
      </c>
      <c r="D2550" s="89" t="str">
        <v>Periódica</v>
      </c>
      <c r="E2550" s="89">
        <v>365</v>
      </c>
      <c r="F2550" s="89" t="str">
        <v/>
      </c>
      <c r="G2550" s="89" t="str">
        <f ca="1"/>
        <v/>
      </c>
    </row>
    <row r="2551" spans="1:7" x14ac:dyDescent="0.3">
      <c r="A2551" s="89" t="str">
        <v/>
      </c>
      <c r="B2551" s="89" t="str">
        <v>Superficies Elevadas (Personal Habilitado)</v>
      </c>
      <c r="C2551" s="90" t="str">
        <v/>
      </c>
      <c r="D2551" s="89" t="str">
        <v>Periódica</v>
      </c>
      <c r="E2551" s="89">
        <v>365</v>
      </c>
      <c r="F2551" s="89" t="str">
        <v/>
      </c>
      <c r="G2551" s="89" t="str">
        <f ca="1"/>
        <v/>
      </c>
    </row>
    <row r="2552" spans="1:7" x14ac:dyDescent="0.3">
      <c r="A2552" s="89" t="str">
        <v/>
      </c>
      <c r="B2552" s="89" t="str">
        <v>Seguridad Quimica (Todos)</v>
      </c>
      <c r="C2552" s="90" t="str">
        <v/>
      </c>
      <c r="D2552" s="89" t="str">
        <v>Periódica</v>
      </c>
      <c r="E2552" s="89">
        <v>730</v>
      </c>
      <c r="F2552" s="89" t="str">
        <v/>
      </c>
      <c r="G2552" s="89" t="str">
        <f ca="1"/>
        <v/>
      </c>
    </row>
    <row r="2553" spans="1:7" x14ac:dyDescent="0.3">
      <c r="A2553" s="89" t="str">
        <v/>
      </c>
      <c r="B2553" s="89" t="str">
        <v>Seguridad Quimica (Mantenimiento)</v>
      </c>
      <c r="C2553" s="90" t="str">
        <v/>
      </c>
      <c r="D2553" s="89" t="str">
        <v>Periódica</v>
      </c>
      <c r="E2553" s="89">
        <v>365</v>
      </c>
      <c r="F2553" s="89" t="str">
        <v/>
      </c>
      <c r="G2553" s="89" t="str">
        <f ca="1"/>
        <v/>
      </c>
    </row>
    <row r="2554" spans="1:7" x14ac:dyDescent="0.3">
      <c r="A2554" s="89" t="str">
        <v/>
      </c>
      <c r="B2554" s="89" t="str">
        <v>Seguridad Quimica (Contratistas)</v>
      </c>
      <c r="C2554" s="90" t="str">
        <v/>
      </c>
      <c r="D2554" s="89" t="str">
        <v>Periódica</v>
      </c>
      <c r="E2554" s="89">
        <v>365</v>
      </c>
      <c r="F2554" s="89" t="str">
        <v/>
      </c>
      <c r="G2554" s="89" t="str">
        <f ca="1"/>
        <v/>
      </c>
    </row>
    <row r="2555" spans="1:7" x14ac:dyDescent="0.3">
      <c r="A2555" s="89" t="str">
        <v/>
      </c>
      <c r="B2555" s="89" t="str">
        <v>Seguridad para Trabajos en Caliente</v>
      </c>
      <c r="C2555" s="90" t="str">
        <v/>
      </c>
      <c r="D2555" s="89" t="str">
        <v>Periódica</v>
      </c>
      <c r="E2555" s="89">
        <v>365</v>
      </c>
      <c r="F2555" s="89" t="str">
        <v/>
      </c>
      <c r="G2555" s="89" t="str">
        <f ca="1"/>
        <v/>
      </c>
    </row>
    <row r="2556" spans="1:7" x14ac:dyDescent="0.3">
      <c r="A2556" s="89" t="str">
        <v/>
      </c>
      <c r="B2556" s="89" t="str">
        <v>Seguridad con la Radiacion</v>
      </c>
      <c r="C2556" s="90" t="str">
        <v/>
      </c>
      <c r="D2556" s="89" t="str">
        <v>Periódica</v>
      </c>
      <c r="E2556" s="89">
        <v>365</v>
      </c>
      <c r="F2556" s="89" t="str">
        <v/>
      </c>
      <c r="G2556" s="89" t="str">
        <f ca="1"/>
        <v/>
      </c>
    </row>
    <row r="2557" spans="1:7" x14ac:dyDescent="0.3">
      <c r="A2557" s="89" t="str">
        <v/>
      </c>
      <c r="B2557" s="89" t="str">
        <v>Equipo de Proteccion Personal (PPE)</v>
      </c>
      <c r="C2557" s="90" t="str">
        <v/>
      </c>
      <c r="D2557" s="89" t="str">
        <v>Periódica</v>
      </c>
      <c r="E2557" s="89">
        <v>365</v>
      </c>
      <c r="F2557" s="89" t="str">
        <v/>
      </c>
      <c r="G2557" s="89" t="str">
        <f ca="1"/>
        <v/>
      </c>
    </row>
    <row r="2558" spans="1:7" x14ac:dyDescent="0.3">
      <c r="A2558" s="89" t="str">
        <v/>
      </c>
      <c r="B2558" s="89" t="str">
        <v>Proteccion Respiratoria</v>
      </c>
      <c r="C2558" s="90" t="str">
        <v/>
      </c>
      <c r="D2558" s="89" t="str">
        <v>Periódica</v>
      </c>
      <c r="E2558" s="89">
        <v>365</v>
      </c>
      <c r="F2558" s="89" t="str">
        <v/>
      </c>
      <c r="G2558" s="89" t="str">
        <f ca="1"/>
        <v/>
      </c>
    </row>
    <row r="2559" spans="1:7" x14ac:dyDescent="0.3">
      <c r="A2559" s="89" t="str">
        <v/>
      </c>
      <c r="B2559" s="89" t="str">
        <v xml:space="preserve">Seguridad con Escaleras </v>
      </c>
      <c r="C2559" s="90" t="str">
        <v/>
      </c>
      <c r="D2559" s="89" t="str">
        <v>Periódica</v>
      </c>
      <c r="E2559" s="89">
        <v>365</v>
      </c>
      <c r="F2559" s="89" t="str">
        <v/>
      </c>
      <c r="G2559" s="89" t="str">
        <f ca="1"/>
        <v/>
      </c>
    </row>
    <row r="2560" spans="1:7" x14ac:dyDescent="0.3">
      <c r="A2560" s="89" t="str">
        <v/>
      </c>
      <c r="B2560" s="89" t="str">
        <v>Seguridad con Escaleras // Estantes de Almacenamiento</v>
      </c>
      <c r="C2560" s="90" t="str">
        <v/>
      </c>
      <c r="D2560" s="89" t="str">
        <v>Periódica</v>
      </c>
      <c r="E2560" s="89">
        <v>365</v>
      </c>
      <c r="F2560" s="89" t="str">
        <v/>
      </c>
      <c r="G2560" s="89" t="str">
        <f ca="1"/>
        <v/>
      </c>
    </row>
    <row r="2561" spans="1:7" x14ac:dyDescent="0.3">
      <c r="A2561" s="89" t="str">
        <v/>
      </c>
      <c r="B2561" s="89" t="str">
        <v>Responsabilidades del Supervisor</v>
      </c>
      <c r="C2561" s="90" t="str">
        <v/>
      </c>
      <c r="D2561" s="89" t="str">
        <v>Periódica</v>
      </c>
      <c r="E2561" s="89">
        <v>365</v>
      </c>
      <c r="F2561" s="89" t="str">
        <v/>
      </c>
      <c r="G2561" s="89" t="str">
        <f ca="1"/>
        <v/>
      </c>
    </row>
    <row r="2562" spans="1:7" x14ac:dyDescent="0.3">
      <c r="A2562" s="89" t="str">
        <v/>
      </c>
      <c r="B2562" s="89" t="str">
        <v>Espacios Confinados (Todos)</v>
      </c>
      <c r="C2562" s="90" t="str">
        <v/>
      </c>
      <c r="D2562" s="89" t="str">
        <v>Periódica</v>
      </c>
      <c r="E2562" s="89">
        <v>365</v>
      </c>
      <c r="F2562" s="89" t="str">
        <v/>
      </c>
      <c r="G2562" s="89" t="str">
        <f ca="1"/>
        <v/>
      </c>
    </row>
    <row r="2563" spans="1:7" x14ac:dyDescent="0.3">
      <c r="A2563" s="89" t="str">
        <v/>
      </c>
      <c r="B2563" s="89" t="str">
        <v>HSMS.017 / Espacios Confinados (Entrantes)</v>
      </c>
      <c r="C2563" s="90" t="str">
        <v/>
      </c>
      <c r="D2563" s="89" t="str">
        <v>Evento</v>
      </c>
      <c r="E2563" s="89">
        <v>0</v>
      </c>
      <c r="F2563" s="89" t="str">
        <v/>
      </c>
      <c r="G2563" s="89" t="str">
        <f ca="1"/>
        <v/>
      </c>
    </row>
    <row r="2564" spans="1:7" x14ac:dyDescent="0.3">
      <c r="A2564" s="89" t="str">
        <v/>
      </c>
      <c r="B2564" s="89" t="str">
        <v>Programa de Agua (Todos)</v>
      </c>
      <c r="C2564" s="90" t="str">
        <v/>
      </c>
      <c r="D2564" s="89" t="str">
        <v>Evento</v>
      </c>
      <c r="E2564" s="89">
        <v>0</v>
      </c>
      <c r="F2564" s="89" t="str">
        <v/>
      </c>
      <c r="G2564" s="89" t="str">
        <f ca="1"/>
        <v/>
      </c>
    </row>
    <row r="2565" spans="1:7" x14ac:dyDescent="0.3">
      <c r="A2565" s="89" t="str">
        <v/>
      </c>
      <c r="B2565" s="89" t="str">
        <v>Programa de Agua (HSE)</v>
      </c>
      <c r="C2565" s="90" t="str">
        <v/>
      </c>
      <c r="D2565" s="89" t="str">
        <v>Evento</v>
      </c>
      <c r="E2565" s="89">
        <v>0</v>
      </c>
      <c r="F2565" s="89" t="str">
        <v/>
      </c>
      <c r="G2565" s="89" t="str">
        <f ca="1"/>
        <v/>
      </c>
    </row>
    <row r="2566" spans="1:7" x14ac:dyDescent="0.3">
      <c r="A2566" s="89" t="str">
        <v/>
      </c>
      <c r="B2566" s="89" t="str">
        <v>HIV/SIDA y otras enfermedades de transmisión sexual (ETS)</v>
      </c>
      <c r="C2566" s="90" t="str">
        <v/>
      </c>
      <c r="D2566" s="89" t="str">
        <v>Periódica</v>
      </c>
      <c r="E2566" s="89">
        <v>365</v>
      </c>
      <c r="F2566" s="89" t="str">
        <v/>
      </c>
      <c r="G2566" s="89" t="str">
        <f ca="1"/>
        <v/>
      </c>
    </row>
    <row r="2567" spans="1:7" x14ac:dyDescent="0.3">
      <c r="A2567" s="89" t="str">
        <v/>
      </c>
      <c r="B2567" s="89" t="str">
        <v>Drogas de abuso (concientización y prevención)</v>
      </c>
      <c r="C2567" s="90" t="str">
        <v/>
      </c>
      <c r="D2567" s="89" t="str">
        <v>Periódica</v>
      </c>
      <c r="E2567" s="89">
        <v>365</v>
      </c>
      <c r="F2567" s="89" t="str">
        <v/>
      </c>
      <c r="G2567" s="89" t="str">
        <f ca="1"/>
        <v/>
      </c>
    </row>
    <row r="2568" spans="1:7" x14ac:dyDescent="0.3">
      <c r="A2568" s="89" t="str">
        <v/>
      </c>
      <c r="B2568" s="89" t="str">
        <v>Vida saludable (hábitos, autocuidado y bienestar)</v>
      </c>
      <c r="C2568" s="90" t="str">
        <v/>
      </c>
      <c r="D2568" s="89" t="str">
        <v>Periódica</v>
      </c>
      <c r="E2568" s="89">
        <v>365</v>
      </c>
      <c r="F2568" s="89" t="str">
        <v/>
      </c>
      <c r="G2568" s="89" t="str">
        <f ca="1"/>
        <v/>
      </c>
    </row>
    <row r="2569" spans="1:7" x14ac:dyDescent="0.3">
      <c r="A2569" s="89" t="str">
        <v/>
      </c>
      <c r="B2569" s="89" t="str">
        <v>Primeros auxilios y Reanimación Cardio Pulmonar (RCP)</v>
      </c>
      <c r="C2569" s="90" t="str">
        <v/>
      </c>
      <c r="D2569" s="89" t="str">
        <v>Periódica</v>
      </c>
      <c r="E2569" s="89">
        <v>365</v>
      </c>
      <c r="F2569" s="89" t="str">
        <v/>
      </c>
      <c r="G2569" s="89" t="str">
        <f ca="1"/>
        <v/>
      </c>
    </row>
    <row r="2570" spans="1:7" x14ac:dyDescent="0.3">
      <c r="A2570" s="89" t="str">
        <v/>
      </c>
      <c r="B2570" s="89" t="str">
        <v>Prevención cardiovascular (factores de riesgo y señales de alarma)</v>
      </c>
      <c r="C2570" s="90" t="str">
        <v/>
      </c>
      <c r="D2570" s="89" t="str">
        <v>Periódica</v>
      </c>
      <c r="E2570" s="89">
        <v>365</v>
      </c>
      <c r="F2570" s="89" t="str">
        <v/>
      </c>
      <c r="G2570" s="89" t="str">
        <f ca="1"/>
        <v/>
      </c>
    </row>
    <row r="2571" spans="1:7" x14ac:dyDescent="0.3">
      <c r="A2571" s="89" t="str">
        <v/>
      </c>
      <c r="B2571" s="89" t="str">
        <v>Efectos del tabaco sobre la salud</v>
      </c>
      <c r="C2571" s="90" t="str">
        <v/>
      </c>
      <c r="D2571" s="89" t="str">
        <v>Periódica</v>
      </c>
      <c r="E2571" s="89">
        <v>365</v>
      </c>
      <c r="F2571" s="89" t="str">
        <v/>
      </c>
      <c r="G2571" s="89" t="str">
        <f ca="1"/>
        <v/>
      </c>
    </row>
    <row r="2572" spans="1:7" x14ac:dyDescent="0.3">
      <c r="A2572" s="89" t="str">
        <v/>
      </c>
      <c r="B2572" s="89" t="str">
        <v>Cargadora (Op. Montacargas)</v>
      </c>
      <c r="C2572" s="90" t="str">
        <v/>
      </c>
      <c r="D2572" s="89" t="str">
        <v>Periódica</v>
      </c>
      <c r="E2572" s="89">
        <v>365</v>
      </c>
      <c r="F2572" s="89" t="str">
        <v/>
      </c>
      <c r="G2572" s="89" t="str">
        <f ca="1"/>
        <v/>
      </c>
    </row>
    <row r="2573" spans="1:7" x14ac:dyDescent="0.3">
      <c r="A2573" s="89" t="str">
        <v/>
      </c>
      <c r="B2573" s="89">
        <v>0</v>
      </c>
      <c r="C2573" s="90" t="str">
        <v/>
      </c>
      <c r="D2573" s="89" t="str">
        <v/>
      </c>
      <c r="E2573" s="89" t="str">
        <v/>
      </c>
      <c r="F2573" s="89" t="str">
        <v/>
      </c>
      <c r="G2573" s="89" t="str">
        <f ca="1"/>
        <v/>
      </c>
    </row>
    <row r="2574" spans="1:7" x14ac:dyDescent="0.3">
      <c r="A2574" s="89" t="str">
        <v/>
      </c>
      <c r="B2574" s="89">
        <v>0</v>
      </c>
      <c r="C2574" s="90" t="str">
        <v/>
      </c>
      <c r="D2574" s="89" t="str">
        <v/>
      </c>
      <c r="E2574" s="89" t="str">
        <v/>
      </c>
      <c r="F2574" s="89" t="str">
        <v/>
      </c>
      <c r="G2574" s="89" t="str">
        <f ca="1"/>
        <v/>
      </c>
    </row>
    <row r="2575" spans="1:7" x14ac:dyDescent="0.3">
      <c r="A2575" s="89" t="str">
        <v/>
      </c>
      <c r="B2575" s="89">
        <v>0</v>
      </c>
      <c r="C2575" s="90" t="str">
        <v/>
      </c>
      <c r="D2575" s="89" t="str">
        <v/>
      </c>
      <c r="E2575" s="89" t="str">
        <v/>
      </c>
      <c r="F2575" s="89" t="str">
        <v/>
      </c>
      <c r="G2575" s="89" t="str">
        <f ca="1"/>
        <v/>
      </c>
    </row>
    <row r="2576" spans="1:7" x14ac:dyDescent="0.3">
      <c r="A2576" s="89" t="str">
        <v/>
      </c>
      <c r="B2576" s="89">
        <v>0</v>
      </c>
      <c r="C2576" s="90" t="str">
        <v/>
      </c>
      <c r="D2576" s="89" t="str">
        <v/>
      </c>
      <c r="E2576" s="89" t="str">
        <v/>
      </c>
      <c r="F2576" s="89" t="str">
        <v/>
      </c>
      <c r="G2576" s="89" t="str">
        <f ca="1"/>
        <v/>
      </c>
    </row>
    <row r="2577" spans="1:7" x14ac:dyDescent="0.3">
      <c r="A2577" s="89" t="str">
        <v/>
      </c>
      <c r="B2577" s="89">
        <v>0</v>
      </c>
      <c r="C2577" s="90" t="str">
        <v/>
      </c>
      <c r="D2577" s="89" t="str">
        <v/>
      </c>
      <c r="E2577" s="89" t="str">
        <v/>
      </c>
      <c r="F2577" s="89" t="str">
        <v/>
      </c>
      <c r="G2577" s="89" t="str">
        <f ca="1"/>
        <v/>
      </c>
    </row>
    <row r="2578" spans="1:7" x14ac:dyDescent="0.3">
      <c r="A2578" s="89" t="str">
        <v/>
      </c>
      <c r="B2578" s="89">
        <v>0</v>
      </c>
      <c r="C2578" s="90" t="str">
        <v/>
      </c>
      <c r="D2578" s="89" t="str">
        <v/>
      </c>
      <c r="E2578" s="89" t="str">
        <v/>
      </c>
      <c r="F2578" s="89" t="str">
        <v/>
      </c>
      <c r="G2578" s="89" t="str">
        <f ca="1"/>
        <v/>
      </c>
    </row>
    <row r="2579" spans="1:7" x14ac:dyDescent="0.3">
      <c r="A2579" s="89" t="str">
        <v/>
      </c>
      <c r="B2579" s="89">
        <v>0</v>
      </c>
      <c r="C2579" s="90" t="str">
        <v/>
      </c>
      <c r="D2579" s="89" t="str">
        <v/>
      </c>
      <c r="E2579" s="89" t="str">
        <v/>
      </c>
      <c r="F2579" s="89" t="str">
        <v/>
      </c>
      <c r="G2579" s="89" t="str">
        <f ca="1"/>
        <v/>
      </c>
    </row>
    <row r="2580" spans="1:7" x14ac:dyDescent="0.3">
      <c r="A2580" s="89" t="str">
        <v/>
      </c>
      <c r="B2580" s="89">
        <v>0</v>
      </c>
      <c r="C2580" s="90" t="str">
        <v/>
      </c>
      <c r="D2580" s="89" t="str">
        <v/>
      </c>
      <c r="E2580" s="89" t="str">
        <v/>
      </c>
      <c r="F2580" s="89" t="str">
        <v/>
      </c>
      <c r="G2580" s="89" t="str">
        <f ca="1"/>
        <v/>
      </c>
    </row>
    <row r="2581" spans="1:7" x14ac:dyDescent="0.3">
      <c r="A2581" s="89" t="str">
        <v/>
      </c>
      <c r="B2581" s="89">
        <v>0</v>
      </c>
      <c r="C2581" s="90" t="str">
        <v/>
      </c>
      <c r="D2581" s="89" t="str">
        <v/>
      </c>
      <c r="E2581" s="89" t="str">
        <v/>
      </c>
      <c r="F2581" s="89" t="str">
        <v/>
      </c>
      <c r="G2581" s="89" t="str">
        <f ca="1"/>
        <v/>
      </c>
    </row>
    <row r="2582" spans="1:7" x14ac:dyDescent="0.3">
      <c r="A2582" s="89" t="str">
        <v/>
      </c>
      <c r="B2582" s="89" t="str">
        <v>Programa de Aire</v>
      </c>
      <c r="C2582" s="90" t="str">
        <v/>
      </c>
      <c r="D2582" s="89" t="str">
        <v>Evento</v>
      </c>
      <c r="E2582" s="89">
        <v>0</v>
      </c>
      <c r="F2582" s="89" t="str">
        <v/>
      </c>
      <c r="G2582" s="89" t="str">
        <f ca="1"/>
        <v/>
      </c>
    </row>
    <row r="2583" spans="1:7" x14ac:dyDescent="0.3">
      <c r="A2583" s="89" t="str">
        <v/>
      </c>
      <c r="B2583" s="89" t="str">
        <v>Conciencia Ambiental</v>
      </c>
      <c r="C2583" s="90" t="str">
        <v/>
      </c>
      <c r="D2583" s="89" t="str">
        <v>Periódica</v>
      </c>
      <c r="E2583" s="89">
        <v>365</v>
      </c>
      <c r="F2583" s="89" t="str">
        <v/>
      </c>
      <c r="G2583" s="89" t="str">
        <f ca="1"/>
        <v/>
      </c>
    </row>
    <row r="2584" spans="1:7" x14ac:dyDescent="0.3">
      <c r="A2584" s="89" t="str">
        <v/>
      </c>
      <c r="B2584" s="89" t="str">
        <v xml:space="preserve">Control de Documentos e Informacion de HSE </v>
      </c>
      <c r="C2584" s="90" t="str">
        <v/>
      </c>
      <c r="D2584" s="89" t="str">
        <v>Evento</v>
      </c>
      <c r="E2584" s="89">
        <v>0</v>
      </c>
      <c r="F2584" s="89" t="str">
        <v/>
      </c>
      <c r="G2584" s="89" t="str">
        <f ca="1"/>
        <v/>
      </c>
    </row>
    <row r="2585" spans="1:7" x14ac:dyDescent="0.3">
      <c r="A2585" s="89" t="str">
        <v/>
      </c>
      <c r="B2585" s="89" t="str">
        <v xml:space="preserve"> Acciones Correctivas y Preventivas (CAPA)</v>
      </c>
      <c r="C2585" s="90" t="str">
        <v/>
      </c>
      <c r="D2585" s="89" t="str">
        <v>Evento</v>
      </c>
      <c r="E2585" s="89">
        <v>0</v>
      </c>
      <c r="F2585" s="89" t="str">
        <v/>
      </c>
      <c r="G2585" s="89" t="str">
        <f ca="1"/>
        <v/>
      </c>
    </row>
    <row r="2586" spans="1:7" x14ac:dyDescent="0.3">
      <c r="A2586" s="89" t="str">
        <v/>
      </c>
      <c r="B2586" s="89" t="str">
        <v>Seguridad Basada en el Comportamiento (Observation Program) // HSMS.043 / Autoridad de Detener el Trabajo</v>
      </c>
      <c r="C2586" s="90" t="str">
        <v/>
      </c>
      <c r="D2586" s="89" t="str">
        <v>Periódica</v>
      </c>
      <c r="E2586" s="89">
        <v>365</v>
      </c>
      <c r="F2586" s="89" t="str">
        <v/>
      </c>
      <c r="G2586" s="89" t="str">
        <f ca="1"/>
        <v/>
      </c>
    </row>
    <row r="2587" spans="1:7" x14ac:dyDescent="0.3">
      <c r="A2587" s="89" t="str">
        <v/>
      </c>
      <c r="B2587" s="89" t="str">
        <v>Identificacion de Peligros y Evaluacion de Riesgos</v>
      </c>
      <c r="C2587" s="90" t="str">
        <v/>
      </c>
      <c r="D2587" s="89" t="str">
        <v>Evento</v>
      </c>
      <c r="E2587" s="89">
        <v>0</v>
      </c>
      <c r="F2587" s="89" t="str">
        <v/>
      </c>
      <c r="G2587" s="89" t="str">
        <f ca="1"/>
        <v/>
      </c>
    </row>
    <row r="2588" spans="1:7" x14ac:dyDescent="0.3">
      <c r="A2588" s="89" t="str">
        <v/>
      </c>
      <c r="B2588" s="89" t="str">
        <v xml:space="preserve"> Plan de Respuesta ante Eemergencias / HSMS.010 /Primeros Axulios &amp; RCP/DEA / HSMSWT-002 / Patogenos Trasnmitidos por la Sangre</v>
      </c>
      <c r="C2588" s="90" t="str">
        <v/>
      </c>
      <c r="D2588" s="89" t="str">
        <v>Periódica</v>
      </c>
      <c r="E2588" s="89">
        <v>365</v>
      </c>
      <c r="F2588" s="89" t="str">
        <v/>
      </c>
      <c r="G2588" s="89" t="str">
        <f ca="1"/>
        <v/>
      </c>
    </row>
    <row r="2589" spans="1:7" x14ac:dyDescent="0.3">
      <c r="A2589" s="89" t="str">
        <v/>
      </c>
      <c r="B2589" s="89" t="str">
        <v>Reporte y Gestion de Incidentes HSE (Todos)</v>
      </c>
      <c r="C2589" s="90" t="str">
        <v/>
      </c>
      <c r="D2589" s="89" t="str">
        <v>Periódica</v>
      </c>
      <c r="E2589" s="89">
        <v>365</v>
      </c>
      <c r="F2589" s="89" t="str">
        <v/>
      </c>
      <c r="G2589" s="89" t="str">
        <f ca="1"/>
        <v/>
      </c>
    </row>
    <row r="2590" spans="1:7" x14ac:dyDescent="0.3">
      <c r="A2590" s="89" t="str">
        <v/>
      </c>
      <c r="B2590" s="89" t="str">
        <v>Reporte, Gestion e Investigacion de Incidentes HSE (supervisores / investigadores (rol))</v>
      </c>
      <c r="C2590" s="90" t="str">
        <v/>
      </c>
      <c r="D2590" s="89" t="str">
        <v>Periódica</v>
      </c>
      <c r="E2590" s="89">
        <v>1095</v>
      </c>
      <c r="F2590" s="89" t="str">
        <v/>
      </c>
      <c r="G2590" s="89" t="str">
        <f ca="1"/>
        <v/>
      </c>
    </row>
    <row r="2591" spans="1:7" x14ac:dyDescent="0.3">
      <c r="A2591" s="89" t="str">
        <v/>
      </c>
      <c r="B2591" s="89" t="str">
        <v>Gruas y Equipos de Izaje (Todos)</v>
      </c>
      <c r="C2591" s="90" t="str">
        <v/>
      </c>
      <c r="D2591" s="89" t="str">
        <v>Periódica</v>
      </c>
      <c r="E2591" s="89">
        <v>365</v>
      </c>
      <c r="F2591" s="89" t="str">
        <v/>
      </c>
      <c r="G2591" s="89" t="str">
        <f ca="1"/>
        <v/>
      </c>
    </row>
    <row r="2592" spans="1:7" x14ac:dyDescent="0.3">
      <c r="A2592" s="89" t="str">
        <v/>
      </c>
      <c r="B2592" s="89" t="str">
        <v>HSMS.007 / Gruas y Equipos de Izaje (Operadores)</v>
      </c>
      <c r="C2592" s="90" t="str">
        <v/>
      </c>
      <c r="D2592" s="89" t="str">
        <v>Periódica</v>
      </c>
      <c r="E2592" s="89">
        <v>365</v>
      </c>
      <c r="F2592" s="89" t="str">
        <v/>
      </c>
      <c r="G2592" s="89" t="str">
        <f ca="1"/>
        <v/>
      </c>
    </row>
    <row r="2593" spans="1:7" x14ac:dyDescent="0.3">
      <c r="A2593" s="89" t="str">
        <v/>
      </c>
      <c r="B2593" s="89" t="str">
        <v>Proteccion Contra Incendios (Todos)</v>
      </c>
      <c r="C2593" s="90" t="str">
        <v/>
      </c>
      <c r="D2593" s="89" t="str">
        <v>Periódica</v>
      </c>
      <c r="E2593" s="89">
        <v>365</v>
      </c>
      <c r="F2593" s="89" t="str">
        <v/>
      </c>
      <c r="G2593" s="89" t="str">
        <f ca="1"/>
        <v/>
      </c>
    </row>
    <row r="2594" spans="1:7" x14ac:dyDescent="0.3">
      <c r="A2594" s="89" t="str">
        <v/>
      </c>
      <c r="B2594" s="89" t="str">
        <v>Proteccion Contra Incendios (Brigadistas)</v>
      </c>
      <c r="C2594" s="90" t="str">
        <v/>
      </c>
      <c r="D2594" s="89" t="str">
        <v>Periódica</v>
      </c>
      <c r="E2594" s="89">
        <v>365</v>
      </c>
      <c r="F2594" s="89" t="str">
        <v/>
      </c>
      <c r="G2594" s="89" t="str">
        <f ca="1"/>
        <v/>
      </c>
    </row>
    <row r="2595" spans="1:7" x14ac:dyDescent="0.3">
      <c r="A2595" s="89" t="str">
        <v/>
      </c>
      <c r="B2595" s="89" t="str">
        <v>Primeros Auxilios (Brigadistas)</v>
      </c>
      <c r="C2595" s="90" t="str">
        <v/>
      </c>
      <c r="D2595" s="89" t="str">
        <v>Periódica</v>
      </c>
      <c r="E2595" s="89">
        <v>365</v>
      </c>
      <c r="F2595" s="89" t="str">
        <v/>
      </c>
      <c r="G2595" s="89" t="str">
        <f ca="1"/>
        <v/>
      </c>
    </row>
    <row r="2596" spans="1:7" x14ac:dyDescent="0.3">
      <c r="A2596" s="89" t="str">
        <v/>
      </c>
      <c r="B2596" s="89" t="str">
        <v>Seguridad Electrica (Todos)</v>
      </c>
      <c r="C2596" s="90" t="str">
        <v/>
      </c>
      <c r="D2596" s="89" t="str">
        <v>Periódica</v>
      </c>
      <c r="E2596" s="89">
        <v>365</v>
      </c>
      <c r="F2596" s="89" t="str">
        <v/>
      </c>
      <c r="G2596" s="89" t="str">
        <f ca="1"/>
        <v/>
      </c>
    </row>
    <row r="2597" spans="1:7" x14ac:dyDescent="0.3">
      <c r="A2597" s="89" t="str">
        <v/>
      </c>
      <c r="B2597" s="89" t="str">
        <v>Seguridad Electrica (Personal Autorizado)</v>
      </c>
      <c r="C2597" s="90" t="str">
        <v/>
      </c>
      <c r="D2597" s="89" t="str">
        <v>Periódica</v>
      </c>
      <c r="E2597" s="89">
        <v>1095</v>
      </c>
      <c r="F2597" s="89" t="str">
        <v/>
      </c>
      <c r="G2597" s="89" t="str">
        <f ca="1"/>
        <v/>
      </c>
    </row>
    <row r="2598" spans="1:7" x14ac:dyDescent="0.3">
      <c r="A2598" s="89" t="str">
        <v/>
      </c>
      <c r="B2598" s="89" t="str">
        <v>Camiones Industriales Motorizados (PIT) (Todos)</v>
      </c>
      <c r="C2598" s="90" t="str">
        <v/>
      </c>
      <c r="D2598" s="89" t="str">
        <v>Periódica</v>
      </c>
      <c r="E2598" s="89">
        <v>365</v>
      </c>
      <c r="F2598" s="89" t="str">
        <v/>
      </c>
      <c r="G2598" s="89" t="str">
        <f ca="1"/>
        <v/>
      </c>
    </row>
    <row r="2599" spans="1:7" x14ac:dyDescent="0.3">
      <c r="A2599" s="89" t="str">
        <v/>
      </c>
      <c r="B2599" s="89" t="str">
        <v>Camiones Industriales Motorizados (PIT) (Op. Montacargas)</v>
      </c>
      <c r="C2599" s="90" t="str">
        <v/>
      </c>
      <c r="D2599" s="89" t="str">
        <v>Periódica</v>
      </c>
      <c r="E2599" s="89">
        <v>365</v>
      </c>
      <c r="F2599" s="89" t="str">
        <v/>
      </c>
      <c r="G2599" s="89" t="str">
        <f ca="1"/>
        <v/>
      </c>
    </row>
    <row r="2600" spans="1:7" x14ac:dyDescent="0.3">
      <c r="A2600" s="89" t="str">
        <v/>
      </c>
      <c r="B2600" s="89" t="str">
        <v>Control de Energias Peligrosas (LOTO) (Todos)</v>
      </c>
      <c r="C2600" s="90" t="str">
        <v/>
      </c>
      <c r="D2600" s="89" t="str">
        <v>Evento</v>
      </c>
      <c r="E2600" s="89">
        <v>0</v>
      </c>
      <c r="F2600" s="89" t="str">
        <v/>
      </c>
      <c r="G2600" s="89" t="str">
        <f ca="1"/>
        <v/>
      </c>
    </row>
    <row r="2601" spans="1:7" x14ac:dyDescent="0.3">
      <c r="A2601" s="89" t="str">
        <v/>
      </c>
      <c r="B2601" s="89" t="str">
        <v>Control de Energias Peligrosas (LOTO) (Empleados Autorizados)</v>
      </c>
      <c r="C2601" s="90" t="str">
        <v/>
      </c>
      <c r="D2601" s="89" t="str">
        <v>Periódica</v>
      </c>
      <c r="E2601" s="89">
        <v>365</v>
      </c>
      <c r="F2601" s="89" t="str">
        <v/>
      </c>
      <c r="G2601" s="89" t="str">
        <f ca="1"/>
        <v/>
      </c>
    </row>
    <row r="2602" spans="1:7" x14ac:dyDescent="0.3">
      <c r="A2602" s="89" t="str">
        <v/>
      </c>
      <c r="B2602" s="89" t="str">
        <v>Seguridad aplicada al Pozo &amp; Yacimiento</v>
      </c>
      <c r="C2602" s="90" t="str">
        <v/>
      </c>
      <c r="D2602" s="89" t="str">
        <v>Periódica</v>
      </c>
      <c r="E2602" s="89">
        <v>365</v>
      </c>
      <c r="F2602" s="89" t="str">
        <v/>
      </c>
      <c r="G2602" s="89" t="str">
        <f ca="1"/>
        <v/>
      </c>
    </row>
    <row r="2603" spans="1:7" x14ac:dyDescent="0.3">
      <c r="A2603" s="89" t="str">
        <v/>
      </c>
      <c r="B2603" s="89" t="str">
        <v>Las Reglas que Salvan Vidas</v>
      </c>
      <c r="C2603" s="90" t="str">
        <v/>
      </c>
      <c r="D2603" s="89" t="str">
        <v>Periódica</v>
      </c>
      <c r="E2603" s="89">
        <v>365</v>
      </c>
      <c r="F2603" s="89" t="str">
        <v/>
      </c>
      <c r="G2603" s="89" t="str">
        <f ca="1"/>
        <v/>
      </c>
    </row>
    <row r="2604" spans="1:7" x14ac:dyDescent="0.3">
      <c r="A2604" s="89" t="str">
        <v/>
      </c>
      <c r="B2604" s="89" t="str">
        <v xml:space="preserve">Resguardo de Maquinas &amp; Equipos </v>
      </c>
      <c r="C2604" s="90" t="str">
        <v/>
      </c>
      <c r="D2604" s="89" t="str">
        <v>Periódica</v>
      </c>
      <c r="E2604" s="89">
        <v>365</v>
      </c>
      <c r="F2604" s="89" t="str">
        <v/>
      </c>
      <c r="G2604" s="89" t="str">
        <f ca="1"/>
        <v/>
      </c>
    </row>
    <row r="2605" spans="1:7" x14ac:dyDescent="0.3">
      <c r="A2605" s="89" t="str">
        <v/>
      </c>
      <c r="B2605" s="89" t="str">
        <v>Conduccion y Gestion de Viajes (Todos)</v>
      </c>
      <c r="C2605" s="90" t="str">
        <v/>
      </c>
      <c r="D2605" s="89" t="str">
        <v>Periódica</v>
      </c>
      <c r="E2605" s="89">
        <v>730</v>
      </c>
      <c r="F2605" s="89" t="str">
        <v/>
      </c>
      <c r="G2605" s="89" t="str">
        <f ca="1"/>
        <v/>
      </c>
    </row>
    <row r="2606" spans="1:7" x14ac:dyDescent="0.3">
      <c r="A2606" s="89" t="str">
        <v/>
      </c>
      <c r="B2606" s="89" t="str">
        <v>Conduccion y Gestion de Viajes (Conductores)</v>
      </c>
      <c r="C2606" s="90" t="str">
        <v/>
      </c>
      <c r="D2606" s="89" t="str">
        <v>Periódica</v>
      </c>
      <c r="E2606" s="89">
        <v>1095</v>
      </c>
      <c r="F2606" s="89" t="str">
        <v/>
      </c>
      <c r="G2606" s="89" t="str">
        <f ca="1"/>
        <v/>
      </c>
    </row>
    <row r="2607" spans="1:7" x14ac:dyDescent="0.3">
      <c r="A2607" s="89" t="str">
        <v/>
      </c>
      <c r="B2607" s="89" t="str">
        <v>Patogenos Transmitidos por la Sangre</v>
      </c>
      <c r="C2607" s="90" t="str">
        <v/>
      </c>
      <c r="D2607" s="89" t="str">
        <v>Periódica</v>
      </c>
      <c r="E2607" s="89">
        <v>365</v>
      </c>
      <c r="F2607" s="89" t="str">
        <v/>
      </c>
      <c r="G2607" s="89" t="str">
        <f ca="1"/>
        <v/>
      </c>
    </row>
    <row r="2608" spans="1:7" x14ac:dyDescent="0.3">
      <c r="A2608" s="89" t="str">
        <v/>
      </c>
      <c r="B2608" s="89" t="str">
        <v>Conservacion Auditiva</v>
      </c>
      <c r="C2608" s="90" t="str">
        <v/>
      </c>
      <c r="D2608" s="89" t="str">
        <v>Periódica</v>
      </c>
      <c r="E2608" s="89">
        <v>365</v>
      </c>
      <c r="F2608" s="89" t="str">
        <v/>
      </c>
      <c r="G2608" s="89" t="str">
        <f ca="1"/>
        <v/>
      </c>
    </row>
    <row r="2609" spans="1:7" x14ac:dyDescent="0.3">
      <c r="A2609" s="89" t="str">
        <v/>
      </c>
      <c r="B2609" s="89" t="str">
        <v xml:space="preserve">Ergonomia //  / Levantamiento &amp; Seguridad en la Espalda </v>
      </c>
      <c r="C2609" s="90" t="str">
        <v/>
      </c>
      <c r="D2609" s="89" t="str">
        <v>Periódica</v>
      </c>
      <c r="E2609" s="89">
        <v>365</v>
      </c>
      <c r="F2609" s="89" t="str">
        <v/>
      </c>
      <c r="G2609" s="89" t="str">
        <f ca="1"/>
        <v/>
      </c>
    </row>
    <row r="2610" spans="1:7" x14ac:dyDescent="0.3">
      <c r="A2610" s="89" t="str">
        <v/>
      </c>
      <c r="B2610" s="89" t="str">
        <v>Superficies Elevadas (Todos)</v>
      </c>
      <c r="C2610" s="90" t="str">
        <v/>
      </c>
      <c r="D2610" s="89" t="str">
        <v>Periódica</v>
      </c>
      <c r="E2610" s="89">
        <v>365</v>
      </c>
      <c r="F2610" s="89" t="str">
        <v/>
      </c>
      <c r="G2610" s="89" t="str">
        <f ca="1"/>
        <v/>
      </c>
    </row>
    <row r="2611" spans="1:7" x14ac:dyDescent="0.3">
      <c r="A2611" s="89" t="str">
        <v/>
      </c>
      <c r="B2611" s="89" t="str">
        <v>Superficies Elevadas (Personal Habilitado)</v>
      </c>
      <c r="C2611" s="90" t="str">
        <v/>
      </c>
      <c r="D2611" s="89" t="str">
        <v>Periódica</v>
      </c>
      <c r="E2611" s="89">
        <v>365</v>
      </c>
      <c r="F2611" s="89" t="str">
        <v/>
      </c>
      <c r="G2611" s="89" t="str">
        <f ca="1"/>
        <v/>
      </c>
    </row>
    <row r="2612" spans="1:7" x14ac:dyDescent="0.3">
      <c r="A2612" s="89" t="str">
        <v/>
      </c>
      <c r="B2612" s="89" t="str">
        <v>Seguridad Quimica (Todos)</v>
      </c>
      <c r="C2612" s="90" t="str">
        <v/>
      </c>
      <c r="D2612" s="89" t="str">
        <v>Periódica</v>
      </c>
      <c r="E2612" s="89">
        <v>730</v>
      </c>
      <c r="F2612" s="89" t="str">
        <v/>
      </c>
      <c r="G2612" s="89" t="str">
        <f ca="1"/>
        <v/>
      </c>
    </row>
    <row r="2613" spans="1:7" x14ac:dyDescent="0.3">
      <c r="A2613" s="89" t="str">
        <v/>
      </c>
      <c r="B2613" s="89" t="str">
        <v>Seguridad Quimica (Mantenimiento)</v>
      </c>
      <c r="C2613" s="90" t="str">
        <v/>
      </c>
      <c r="D2613" s="89" t="str">
        <v>Periódica</v>
      </c>
      <c r="E2613" s="89">
        <v>365</v>
      </c>
      <c r="F2613" s="89" t="str">
        <v/>
      </c>
      <c r="G2613" s="89" t="str">
        <f ca="1"/>
        <v/>
      </c>
    </row>
    <row r="2614" spans="1:7" x14ac:dyDescent="0.3">
      <c r="A2614" s="89" t="str">
        <v/>
      </c>
      <c r="B2614" s="89" t="str">
        <v>Seguridad Quimica (Contratistas)</v>
      </c>
      <c r="C2614" s="90" t="str">
        <v/>
      </c>
      <c r="D2614" s="89" t="str">
        <v>Periódica</v>
      </c>
      <c r="E2614" s="89">
        <v>365</v>
      </c>
      <c r="F2614" s="89" t="str">
        <v/>
      </c>
      <c r="G2614" s="89" t="str">
        <f ca="1"/>
        <v/>
      </c>
    </row>
    <row r="2615" spans="1:7" x14ac:dyDescent="0.3">
      <c r="A2615" s="89" t="str">
        <v/>
      </c>
      <c r="B2615" s="89" t="str">
        <v>Seguridad para Trabajos en Caliente</v>
      </c>
      <c r="C2615" s="90" t="str">
        <v/>
      </c>
      <c r="D2615" s="89" t="str">
        <v>Periódica</v>
      </c>
      <c r="E2615" s="89">
        <v>365</v>
      </c>
      <c r="F2615" s="89" t="str">
        <v/>
      </c>
      <c r="G2615" s="89" t="str">
        <f ca="1"/>
        <v/>
      </c>
    </row>
    <row r="2616" spans="1:7" x14ac:dyDescent="0.3">
      <c r="A2616" s="89" t="str">
        <v/>
      </c>
      <c r="B2616" s="89" t="str">
        <v>Seguridad con la Radiacion</v>
      </c>
      <c r="C2616" s="90" t="str">
        <v/>
      </c>
      <c r="D2616" s="89" t="str">
        <v>Periódica</v>
      </c>
      <c r="E2616" s="89">
        <v>365</v>
      </c>
      <c r="F2616" s="89" t="str">
        <v/>
      </c>
      <c r="G2616" s="89" t="str">
        <f ca="1"/>
        <v/>
      </c>
    </row>
    <row r="2617" spans="1:7" x14ac:dyDescent="0.3">
      <c r="A2617" s="89" t="str">
        <v/>
      </c>
      <c r="B2617" s="89" t="str">
        <v>Equipo de Proteccion Personal (PPE)</v>
      </c>
      <c r="C2617" s="90" t="str">
        <v/>
      </c>
      <c r="D2617" s="89" t="str">
        <v>Periódica</v>
      </c>
      <c r="E2617" s="89">
        <v>365</v>
      </c>
      <c r="F2617" s="89" t="str">
        <v/>
      </c>
      <c r="G2617" s="89" t="str">
        <f ca="1"/>
        <v/>
      </c>
    </row>
    <row r="2618" spans="1:7" x14ac:dyDescent="0.3">
      <c r="A2618" s="89" t="str">
        <v/>
      </c>
      <c r="B2618" s="89" t="str">
        <v>Proteccion Respiratoria</v>
      </c>
      <c r="C2618" s="90" t="str">
        <v/>
      </c>
      <c r="D2618" s="89" t="str">
        <v>Periódica</v>
      </c>
      <c r="E2618" s="89">
        <v>365</v>
      </c>
      <c r="F2618" s="89" t="str">
        <v/>
      </c>
      <c r="G2618" s="89" t="str">
        <f ca="1"/>
        <v/>
      </c>
    </row>
    <row r="2619" spans="1:7" x14ac:dyDescent="0.3">
      <c r="A2619" s="89" t="str">
        <v/>
      </c>
      <c r="B2619" s="89" t="str">
        <v xml:space="preserve">Seguridad con Escaleras </v>
      </c>
      <c r="C2619" s="90" t="str">
        <v/>
      </c>
      <c r="D2619" s="89" t="str">
        <v>Periódica</v>
      </c>
      <c r="E2619" s="89">
        <v>365</v>
      </c>
      <c r="F2619" s="89" t="str">
        <v/>
      </c>
      <c r="G2619" s="89" t="str">
        <f ca="1"/>
        <v/>
      </c>
    </row>
    <row r="2620" spans="1:7" x14ac:dyDescent="0.3">
      <c r="A2620" s="89" t="str">
        <v/>
      </c>
      <c r="B2620" s="89" t="str">
        <v>Seguridad con Escaleras // Estantes de Almacenamiento</v>
      </c>
      <c r="C2620" s="90" t="str">
        <v/>
      </c>
      <c r="D2620" s="89" t="str">
        <v>Periódica</v>
      </c>
      <c r="E2620" s="89">
        <v>365</v>
      </c>
      <c r="F2620" s="89" t="str">
        <v/>
      </c>
      <c r="G2620" s="89" t="str">
        <f ca="1"/>
        <v/>
      </c>
    </row>
    <row r="2621" spans="1:7" x14ac:dyDescent="0.3">
      <c r="A2621" s="89" t="str">
        <v/>
      </c>
      <c r="B2621" s="89" t="str">
        <v>Responsabilidades del Supervisor</v>
      </c>
      <c r="C2621" s="90" t="str">
        <v/>
      </c>
      <c r="D2621" s="89" t="str">
        <v>Periódica</v>
      </c>
      <c r="E2621" s="89">
        <v>365</v>
      </c>
      <c r="F2621" s="89" t="str">
        <v/>
      </c>
      <c r="G2621" s="89" t="str">
        <f ca="1"/>
        <v/>
      </c>
    </row>
    <row r="2622" spans="1:7" x14ac:dyDescent="0.3">
      <c r="A2622" s="89" t="str">
        <v/>
      </c>
      <c r="B2622" s="89" t="str">
        <v>Espacios Confinados (Todos)</v>
      </c>
      <c r="C2622" s="90" t="str">
        <v/>
      </c>
      <c r="D2622" s="89" t="str">
        <v>Periódica</v>
      </c>
      <c r="E2622" s="89">
        <v>365</v>
      </c>
      <c r="F2622" s="89" t="str">
        <v/>
      </c>
      <c r="G2622" s="89" t="str">
        <f ca="1"/>
        <v/>
      </c>
    </row>
    <row r="2623" spans="1:7" x14ac:dyDescent="0.3">
      <c r="A2623" s="89" t="str">
        <v/>
      </c>
      <c r="B2623" s="89" t="str">
        <v>HSMS.017 / Espacios Confinados (Entrantes)</v>
      </c>
      <c r="C2623" s="90" t="str">
        <v/>
      </c>
      <c r="D2623" s="89" t="str">
        <v>Evento</v>
      </c>
      <c r="E2623" s="89">
        <v>0</v>
      </c>
      <c r="F2623" s="89" t="str">
        <v/>
      </c>
      <c r="G2623" s="89" t="str">
        <f ca="1"/>
        <v/>
      </c>
    </row>
    <row r="2624" spans="1:7" x14ac:dyDescent="0.3">
      <c r="A2624" s="89" t="str">
        <v/>
      </c>
      <c r="B2624" s="89" t="str">
        <v>Programa de Agua (Todos)</v>
      </c>
      <c r="C2624" s="90" t="str">
        <v/>
      </c>
      <c r="D2624" s="89" t="str">
        <v>Evento</v>
      </c>
      <c r="E2624" s="89">
        <v>0</v>
      </c>
      <c r="F2624" s="89" t="str">
        <v/>
      </c>
      <c r="G2624" s="89" t="str">
        <f ca="1"/>
        <v/>
      </c>
    </row>
    <row r="2625" spans="1:7" x14ac:dyDescent="0.3">
      <c r="A2625" s="89" t="str">
        <v/>
      </c>
      <c r="B2625" s="89" t="str">
        <v>Programa de Agua (HSE)</v>
      </c>
      <c r="C2625" s="90" t="str">
        <v/>
      </c>
      <c r="D2625" s="89" t="str">
        <v>Evento</v>
      </c>
      <c r="E2625" s="89">
        <v>0</v>
      </c>
      <c r="F2625" s="89" t="str">
        <v/>
      </c>
      <c r="G2625" s="89" t="str">
        <f ca="1"/>
        <v/>
      </c>
    </row>
    <row r="2626" spans="1:7" x14ac:dyDescent="0.3">
      <c r="A2626" s="89" t="str">
        <v/>
      </c>
      <c r="B2626" s="89" t="str">
        <v>HIV/SIDA y otras enfermedades de transmisión sexual (ETS)</v>
      </c>
      <c r="C2626" s="90" t="str">
        <v/>
      </c>
      <c r="D2626" s="89" t="str">
        <v>Periódica</v>
      </c>
      <c r="E2626" s="89">
        <v>365</v>
      </c>
      <c r="F2626" s="89" t="str">
        <v/>
      </c>
      <c r="G2626" s="89" t="str">
        <f ca="1"/>
        <v/>
      </c>
    </row>
    <row r="2627" spans="1:7" x14ac:dyDescent="0.3">
      <c r="A2627" s="89" t="str">
        <v/>
      </c>
      <c r="B2627" s="89" t="str">
        <v>Drogas de abuso (concientización y prevención)</v>
      </c>
      <c r="C2627" s="90" t="str">
        <v/>
      </c>
      <c r="D2627" s="89" t="str">
        <v>Periódica</v>
      </c>
      <c r="E2627" s="89">
        <v>365</v>
      </c>
      <c r="F2627" s="89" t="str">
        <v/>
      </c>
      <c r="G2627" s="89" t="str">
        <f ca="1"/>
        <v/>
      </c>
    </row>
    <row r="2628" spans="1:7" x14ac:dyDescent="0.3">
      <c r="A2628" s="89" t="str">
        <v/>
      </c>
      <c r="B2628" s="89" t="str">
        <v>Vida saludable (hábitos, autocuidado y bienestar)</v>
      </c>
      <c r="C2628" s="90" t="str">
        <v/>
      </c>
      <c r="D2628" s="89" t="str">
        <v>Periódica</v>
      </c>
      <c r="E2628" s="89">
        <v>365</v>
      </c>
      <c r="F2628" s="89" t="str">
        <v/>
      </c>
      <c r="G2628" s="89" t="str">
        <f ca="1"/>
        <v/>
      </c>
    </row>
    <row r="2629" spans="1:7" x14ac:dyDescent="0.3">
      <c r="A2629" s="89" t="str">
        <v/>
      </c>
      <c r="B2629" s="89" t="str">
        <v>Primeros auxilios y Reanimación Cardio Pulmonar (RCP)</v>
      </c>
      <c r="C2629" s="90" t="str">
        <v/>
      </c>
      <c r="D2629" s="89" t="str">
        <v>Periódica</v>
      </c>
      <c r="E2629" s="89">
        <v>365</v>
      </c>
      <c r="F2629" s="89" t="str">
        <v/>
      </c>
      <c r="G2629" s="89" t="str">
        <f ca="1"/>
        <v/>
      </c>
    </row>
    <row r="2630" spans="1:7" x14ac:dyDescent="0.3">
      <c r="A2630" s="89" t="str">
        <v/>
      </c>
      <c r="B2630" s="89" t="str">
        <v>Prevención cardiovascular (factores de riesgo y señales de alarma)</v>
      </c>
      <c r="C2630" s="90" t="str">
        <v/>
      </c>
      <c r="D2630" s="89" t="str">
        <v>Periódica</v>
      </c>
      <c r="E2630" s="89">
        <v>365</v>
      </c>
      <c r="F2630" s="89" t="str">
        <v/>
      </c>
      <c r="G2630" s="89" t="str">
        <f ca="1"/>
        <v/>
      </c>
    </row>
    <row r="2631" spans="1:7" x14ac:dyDescent="0.3">
      <c r="A2631" s="89" t="str">
        <v/>
      </c>
      <c r="B2631" s="89" t="str">
        <v>Efectos del tabaco sobre la salud</v>
      </c>
      <c r="C2631" s="90" t="str">
        <v/>
      </c>
      <c r="D2631" s="89" t="str">
        <v>Periódica</v>
      </c>
      <c r="E2631" s="89">
        <v>365</v>
      </c>
      <c r="F2631" s="89" t="str">
        <v/>
      </c>
      <c r="G2631" s="89" t="str">
        <f ca="1"/>
        <v/>
      </c>
    </row>
    <row r="2632" spans="1:7" x14ac:dyDescent="0.3">
      <c r="A2632" s="89" t="str">
        <v/>
      </c>
      <c r="B2632" s="89" t="str">
        <v>Cargadora (Op. Montacargas)</v>
      </c>
      <c r="C2632" s="90" t="str">
        <v/>
      </c>
      <c r="D2632" s="89" t="str">
        <v>Periódica</v>
      </c>
      <c r="E2632" s="89">
        <v>365</v>
      </c>
      <c r="F2632" s="89" t="str">
        <v/>
      </c>
      <c r="G2632" s="89" t="str">
        <f ca="1"/>
        <v/>
      </c>
    </row>
    <row r="2633" spans="1:7" x14ac:dyDescent="0.3">
      <c r="A2633" s="89" t="str">
        <v/>
      </c>
      <c r="B2633" s="89">
        <v>0</v>
      </c>
      <c r="C2633" s="90" t="str">
        <v/>
      </c>
      <c r="D2633" s="89" t="str">
        <v/>
      </c>
      <c r="E2633" s="89" t="str">
        <v/>
      </c>
      <c r="F2633" s="89" t="str">
        <v/>
      </c>
      <c r="G2633" s="89" t="str">
        <f ca="1"/>
        <v/>
      </c>
    </row>
    <row r="2634" spans="1:7" x14ac:dyDescent="0.3">
      <c r="A2634" s="89" t="str">
        <v/>
      </c>
      <c r="B2634" s="89">
        <v>0</v>
      </c>
      <c r="C2634" s="90" t="str">
        <v/>
      </c>
      <c r="D2634" s="89" t="str">
        <v/>
      </c>
      <c r="E2634" s="89" t="str">
        <v/>
      </c>
      <c r="F2634" s="89" t="str">
        <v/>
      </c>
      <c r="G2634" s="89" t="str">
        <f ca="1"/>
        <v/>
      </c>
    </row>
    <row r="2635" spans="1:7" x14ac:dyDescent="0.3">
      <c r="A2635" s="89" t="str">
        <v/>
      </c>
      <c r="B2635" s="89">
        <v>0</v>
      </c>
      <c r="C2635" s="90" t="str">
        <v/>
      </c>
      <c r="D2635" s="89" t="str">
        <v/>
      </c>
      <c r="E2635" s="89" t="str">
        <v/>
      </c>
      <c r="F2635" s="89" t="str">
        <v/>
      </c>
      <c r="G2635" s="89" t="str">
        <f ca="1"/>
        <v/>
      </c>
    </row>
    <row r="2636" spans="1:7" x14ac:dyDescent="0.3">
      <c r="A2636" s="89" t="str">
        <v/>
      </c>
      <c r="B2636" s="89">
        <v>0</v>
      </c>
      <c r="C2636" s="90" t="str">
        <v/>
      </c>
      <c r="D2636" s="89" t="str">
        <v/>
      </c>
      <c r="E2636" s="89" t="str">
        <v/>
      </c>
      <c r="F2636" s="89" t="str">
        <v/>
      </c>
      <c r="G2636" s="89" t="str">
        <f ca="1"/>
        <v/>
      </c>
    </row>
    <row r="2637" spans="1:7" x14ac:dyDescent="0.3">
      <c r="A2637" s="89" t="str">
        <v/>
      </c>
      <c r="B2637" s="89">
        <v>0</v>
      </c>
      <c r="C2637" s="90" t="str">
        <v/>
      </c>
      <c r="D2637" s="89" t="str">
        <v/>
      </c>
      <c r="E2637" s="89" t="str">
        <v/>
      </c>
      <c r="F2637" s="89" t="str">
        <v/>
      </c>
      <c r="G2637" s="89" t="str">
        <f ca="1"/>
        <v/>
      </c>
    </row>
    <row r="2638" spans="1:7" x14ac:dyDescent="0.3">
      <c r="A2638" s="89" t="str">
        <v/>
      </c>
      <c r="B2638" s="89">
        <v>0</v>
      </c>
      <c r="C2638" s="90" t="str">
        <v/>
      </c>
      <c r="D2638" s="89" t="str">
        <v/>
      </c>
      <c r="E2638" s="89" t="str">
        <v/>
      </c>
      <c r="F2638" s="89" t="str">
        <v/>
      </c>
      <c r="G2638" s="89" t="str">
        <f ca="1"/>
        <v/>
      </c>
    </row>
    <row r="2639" spans="1:7" x14ac:dyDescent="0.3">
      <c r="A2639" s="89" t="str">
        <v/>
      </c>
      <c r="B2639" s="89">
        <v>0</v>
      </c>
      <c r="C2639" s="90" t="str">
        <v/>
      </c>
      <c r="D2639" s="89" t="str">
        <v/>
      </c>
      <c r="E2639" s="89" t="str">
        <v/>
      </c>
      <c r="F2639" s="89" t="str">
        <v/>
      </c>
      <c r="G2639" s="89" t="str">
        <f ca="1"/>
        <v/>
      </c>
    </row>
    <row r="2640" spans="1:7" x14ac:dyDescent="0.3">
      <c r="A2640" s="89" t="str">
        <v/>
      </c>
      <c r="B2640" s="89">
        <v>0</v>
      </c>
      <c r="C2640" s="90" t="str">
        <v/>
      </c>
      <c r="D2640" s="89" t="str">
        <v/>
      </c>
      <c r="E2640" s="89" t="str">
        <v/>
      </c>
      <c r="F2640" s="89" t="str">
        <v/>
      </c>
      <c r="G2640" s="89" t="str">
        <f ca="1"/>
        <v/>
      </c>
    </row>
    <row r="2641" spans="1:7" x14ac:dyDescent="0.3">
      <c r="A2641" s="89" t="str">
        <v/>
      </c>
      <c r="B2641" s="89">
        <v>0</v>
      </c>
      <c r="C2641" s="90" t="str">
        <v/>
      </c>
      <c r="D2641" s="89" t="str">
        <v/>
      </c>
      <c r="E2641" s="89" t="str">
        <v/>
      </c>
      <c r="F2641" s="89" t="str">
        <v/>
      </c>
      <c r="G2641" s="89" t="str">
        <f ca="1"/>
        <v/>
      </c>
    </row>
    <row r="2642" spans="1:7" x14ac:dyDescent="0.3">
      <c r="A2642" s="89" t="str">
        <v/>
      </c>
      <c r="B2642" s="89" t="str">
        <v>Programa de Aire</v>
      </c>
      <c r="C2642" s="90" t="str">
        <v/>
      </c>
      <c r="D2642" s="89" t="str">
        <v>Evento</v>
      </c>
      <c r="E2642" s="89">
        <v>0</v>
      </c>
      <c r="F2642" s="89" t="str">
        <v/>
      </c>
      <c r="G2642" s="89" t="str">
        <f ca="1"/>
        <v/>
      </c>
    </row>
    <row r="2643" spans="1:7" x14ac:dyDescent="0.3">
      <c r="A2643" s="89" t="str">
        <v/>
      </c>
      <c r="B2643" s="89" t="str">
        <v>Conciencia Ambiental</v>
      </c>
      <c r="C2643" s="90" t="str">
        <v/>
      </c>
      <c r="D2643" s="89" t="str">
        <v>Periódica</v>
      </c>
      <c r="E2643" s="89">
        <v>365</v>
      </c>
      <c r="F2643" s="89" t="str">
        <v/>
      </c>
      <c r="G2643" s="89" t="str">
        <f ca="1"/>
        <v/>
      </c>
    </row>
    <row r="2644" spans="1:7" x14ac:dyDescent="0.3">
      <c r="A2644" s="89" t="str">
        <v/>
      </c>
      <c r="B2644" s="89" t="str">
        <v xml:space="preserve">Control de Documentos e Informacion de HSE </v>
      </c>
      <c r="C2644" s="90" t="str">
        <v/>
      </c>
      <c r="D2644" s="89" t="str">
        <v>Evento</v>
      </c>
      <c r="E2644" s="89">
        <v>0</v>
      </c>
      <c r="F2644" s="89" t="str">
        <v/>
      </c>
      <c r="G2644" s="89" t="str">
        <f ca="1"/>
        <v/>
      </c>
    </row>
    <row r="2645" spans="1:7" x14ac:dyDescent="0.3">
      <c r="A2645" s="89" t="str">
        <v/>
      </c>
      <c r="B2645" s="89" t="str">
        <v xml:space="preserve"> Acciones Correctivas y Preventivas (CAPA)</v>
      </c>
      <c r="C2645" s="90" t="str">
        <v/>
      </c>
      <c r="D2645" s="89" t="str">
        <v>Evento</v>
      </c>
      <c r="E2645" s="89">
        <v>0</v>
      </c>
      <c r="F2645" s="89" t="str">
        <v/>
      </c>
      <c r="G2645" s="89" t="str">
        <f ca="1"/>
        <v/>
      </c>
    </row>
    <row r="2646" spans="1:7" x14ac:dyDescent="0.3">
      <c r="A2646" s="89" t="str">
        <v/>
      </c>
      <c r="B2646" s="89" t="str">
        <v>Seguridad Basada en el Comportamiento (Observation Program) // HSMS.043 / Autoridad de Detener el Trabajo</v>
      </c>
      <c r="C2646" s="90" t="str">
        <v/>
      </c>
      <c r="D2646" s="89" t="str">
        <v>Periódica</v>
      </c>
      <c r="E2646" s="89">
        <v>365</v>
      </c>
      <c r="F2646" s="89" t="str">
        <v/>
      </c>
      <c r="G2646" s="89" t="str">
        <f ca="1"/>
        <v/>
      </c>
    </row>
    <row r="2647" spans="1:7" x14ac:dyDescent="0.3">
      <c r="A2647" s="89" t="str">
        <v/>
      </c>
      <c r="B2647" s="89" t="str">
        <v>Identificacion de Peligros y Evaluacion de Riesgos</v>
      </c>
      <c r="C2647" s="90" t="str">
        <v/>
      </c>
      <c r="D2647" s="89" t="str">
        <v>Evento</v>
      </c>
      <c r="E2647" s="89">
        <v>0</v>
      </c>
      <c r="F2647" s="89" t="str">
        <v/>
      </c>
      <c r="G2647" s="89" t="str">
        <f ca="1"/>
        <v/>
      </c>
    </row>
    <row r="2648" spans="1:7" x14ac:dyDescent="0.3">
      <c r="A2648" s="89" t="str">
        <v/>
      </c>
      <c r="B2648" s="89" t="str">
        <v xml:space="preserve"> Plan de Respuesta ante Eemergencias / HSMS.010 /Primeros Axulios &amp; RCP/DEA / HSMSWT-002 / Patogenos Trasnmitidos por la Sangre</v>
      </c>
      <c r="C2648" s="90" t="str">
        <v/>
      </c>
      <c r="D2648" s="89" t="str">
        <v>Periódica</v>
      </c>
      <c r="E2648" s="89">
        <v>365</v>
      </c>
      <c r="F2648" s="89" t="str">
        <v/>
      </c>
      <c r="G2648" s="89" t="str">
        <f ca="1"/>
        <v/>
      </c>
    </row>
    <row r="2649" spans="1:7" x14ac:dyDescent="0.3">
      <c r="A2649" s="89" t="str">
        <v/>
      </c>
      <c r="B2649" s="89" t="str">
        <v>Reporte y Gestion de Incidentes HSE (Todos)</v>
      </c>
      <c r="C2649" s="90" t="str">
        <v/>
      </c>
      <c r="D2649" s="89" t="str">
        <v>Periódica</v>
      </c>
      <c r="E2649" s="89">
        <v>365</v>
      </c>
      <c r="F2649" s="89" t="str">
        <v/>
      </c>
      <c r="G2649" s="89" t="str">
        <f ca="1"/>
        <v/>
      </c>
    </row>
    <row r="2650" spans="1:7" x14ac:dyDescent="0.3">
      <c r="A2650" s="89" t="str">
        <v/>
      </c>
      <c r="B2650" s="89" t="str">
        <v>Reporte, Gestion e Investigacion de Incidentes HSE (supervisores / investigadores (rol))</v>
      </c>
      <c r="C2650" s="90" t="str">
        <v/>
      </c>
      <c r="D2650" s="89" t="str">
        <v>Periódica</v>
      </c>
      <c r="E2650" s="89">
        <v>1095</v>
      </c>
      <c r="F2650" s="89" t="str">
        <v/>
      </c>
      <c r="G2650" s="89" t="str">
        <f ca="1"/>
        <v/>
      </c>
    </row>
    <row r="2651" spans="1:7" x14ac:dyDescent="0.3">
      <c r="A2651" s="89" t="str">
        <v/>
      </c>
      <c r="B2651" s="89" t="str">
        <v>Gruas y Equipos de Izaje (Todos)</v>
      </c>
      <c r="C2651" s="90" t="str">
        <v/>
      </c>
      <c r="D2651" s="89" t="str">
        <v>Periódica</v>
      </c>
      <c r="E2651" s="89">
        <v>365</v>
      </c>
      <c r="F2651" s="89" t="str">
        <v/>
      </c>
      <c r="G2651" s="89" t="str">
        <f ca="1"/>
        <v/>
      </c>
    </row>
    <row r="2652" spans="1:7" x14ac:dyDescent="0.3">
      <c r="A2652" s="89" t="str">
        <v/>
      </c>
      <c r="B2652" s="89" t="str">
        <v>HSMS.007 / Gruas y Equipos de Izaje (Operadores)</v>
      </c>
      <c r="C2652" s="90" t="str">
        <v/>
      </c>
      <c r="D2652" s="89" t="str">
        <v>Periódica</v>
      </c>
      <c r="E2652" s="89">
        <v>365</v>
      </c>
      <c r="F2652" s="89" t="str">
        <v/>
      </c>
      <c r="G2652" s="89" t="str">
        <f ca="1"/>
        <v/>
      </c>
    </row>
    <row r="2653" spans="1:7" x14ac:dyDescent="0.3">
      <c r="A2653" s="89" t="str">
        <v/>
      </c>
      <c r="B2653" s="89" t="str">
        <v>Proteccion Contra Incendios (Todos)</v>
      </c>
      <c r="C2653" s="90" t="str">
        <v/>
      </c>
      <c r="D2653" s="89" t="str">
        <v>Periódica</v>
      </c>
      <c r="E2653" s="89">
        <v>365</v>
      </c>
      <c r="F2653" s="89" t="str">
        <v/>
      </c>
      <c r="G2653" s="89" t="str">
        <f ca="1"/>
        <v/>
      </c>
    </row>
    <row r="2654" spans="1:7" x14ac:dyDescent="0.3">
      <c r="A2654" s="89" t="str">
        <v/>
      </c>
      <c r="B2654" s="89" t="str">
        <v>Proteccion Contra Incendios (Brigadistas)</v>
      </c>
      <c r="C2654" s="90" t="str">
        <v/>
      </c>
      <c r="D2654" s="89" t="str">
        <v>Periódica</v>
      </c>
      <c r="E2654" s="89">
        <v>365</v>
      </c>
      <c r="F2654" s="89" t="str">
        <v/>
      </c>
      <c r="G2654" s="89" t="str">
        <f ca="1"/>
        <v/>
      </c>
    </row>
    <row r="2655" spans="1:7" x14ac:dyDescent="0.3">
      <c r="A2655" s="89" t="str">
        <v/>
      </c>
      <c r="B2655" s="89" t="str">
        <v>Primeros Auxilios (Brigadistas)</v>
      </c>
      <c r="C2655" s="90" t="str">
        <v/>
      </c>
      <c r="D2655" s="89" t="str">
        <v>Periódica</v>
      </c>
      <c r="E2655" s="89">
        <v>365</v>
      </c>
      <c r="F2655" s="89" t="str">
        <v/>
      </c>
      <c r="G2655" s="89" t="str">
        <f ca="1"/>
        <v/>
      </c>
    </row>
    <row r="2656" spans="1:7" x14ac:dyDescent="0.3">
      <c r="A2656" s="89" t="str">
        <v/>
      </c>
      <c r="B2656" s="89" t="str">
        <v>Seguridad Electrica (Todos)</v>
      </c>
      <c r="C2656" s="90" t="str">
        <v/>
      </c>
      <c r="D2656" s="89" t="str">
        <v>Periódica</v>
      </c>
      <c r="E2656" s="89">
        <v>365</v>
      </c>
      <c r="F2656" s="89" t="str">
        <v/>
      </c>
      <c r="G2656" s="89" t="str">
        <f ca="1"/>
        <v/>
      </c>
    </row>
    <row r="2657" spans="1:7" x14ac:dyDescent="0.3">
      <c r="A2657" s="89" t="str">
        <v/>
      </c>
      <c r="B2657" s="89" t="str">
        <v>Seguridad Electrica (Personal Autorizado)</v>
      </c>
      <c r="C2657" s="90" t="str">
        <v/>
      </c>
      <c r="D2657" s="89" t="str">
        <v>Periódica</v>
      </c>
      <c r="E2657" s="89">
        <v>1095</v>
      </c>
      <c r="F2657" s="89" t="str">
        <v/>
      </c>
      <c r="G2657" s="89" t="str">
        <f ca="1"/>
        <v/>
      </c>
    </row>
    <row r="2658" spans="1:7" x14ac:dyDescent="0.3">
      <c r="A2658" s="89" t="str">
        <v/>
      </c>
      <c r="B2658" s="89" t="str">
        <v>Camiones Industriales Motorizados (PIT) (Todos)</v>
      </c>
      <c r="C2658" s="90" t="str">
        <v/>
      </c>
      <c r="D2658" s="89" t="str">
        <v>Periódica</v>
      </c>
      <c r="E2658" s="89">
        <v>365</v>
      </c>
      <c r="F2658" s="89" t="str">
        <v/>
      </c>
      <c r="G2658" s="89" t="str">
        <f ca="1"/>
        <v/>
      </c>
    </row>
    <row r="2659" spans="1:7" x14ac:dyDescent="0.3">
      <c r="A2659" s="89" t="str">
        <v/>
      </c>
      <c r="B2659" s="89" t="str">
        <v>Camiones Industriales Motorizados (PIT) (Op. Montacargas)</v>
      </c>
      <c r="C2659" s="90" t="str">
        <v/>
      </c>
      <c r="D2659" s="89" t="str">
        <v>Periódica</v>
      </c>
      <c r="E2659" s="89">
        <v>365</v>
      </c>
      <c r="F2659" s="89" t="str">
        <v/>
      </c>
      <c r="G2659" s="89" t="str">
        <f ca="1"/>
        <v/>
      </c>
    </row>
    <row r="2660" spans="1:7" x14ac:dyDescent="0.3">
      <c r="A2660" s="89" t="str">
        <v/>
      </c>
      <c r="B2660" s="89" t="str">
        <v>Control de Energias Peligrosas (LOTO) (Todos)</v>
      </c>
      <c r="C2660" s="90" t="str">
        <v/>
      </c>
      <c r="D2660" s="89" t="str">
        <v>Evento</v>
      </c>
      <c r="E2660" s="89">
        <v>0</v>
      </c>
      <c r="F2660" s="89" t="str">
        <v/>
      </c>
      <c r="G2660" s="89" t="str">
        <f ca="1"/>
        <v/>
      </c>
    </row>
    <row r="2661" spans="1:7" x14ac:dyDescent="0.3">
      <c r="A2661" s="89" t="str">
        <v/>
      </c>
      <c r="B2661" s="89" t="str">
        <v>Control de Energias Peligrosas (LOTO) (Empleados Autorizados)</v>
      </c>
      <c r="C2661" s="90" t="str">
        <v/>
      </c>
      <c r="D2661" s="89" t="str">
        <v>Periódica</v>
      </c>
      <c r="E2661" s="89">
        <v>365</v>
      </c>
      <c r="F2661" s="89" t="str">
        <v/>
      </c>
      <c r="G2661" s="89" t="str">
        <f ca="1"/>
        <v/>
      </c>
    </row>
    <row r="2662" spans="1:7" x14ac:dyDescent="0.3">
      <c r="A2662" s="89" t="str">
        <v/>
      </c>
      <c r="B2662" s="89" t="str">
        <v>Seguridad aplicada al Pozo &amp; Yacimiento</v>
      </c>
      <c r="C2662" s="90" t="str">
        <v/>
      </c>
      <c r="D2662" s="89" t="str">
        <v>Periódica</v>
      </c>
      <c r="E2662" s="89">
        <v>365</v>
      </c>
      <c r="F2662" s="89" t="str">
        <v/>
      </c>
      <c r="G2662" s="89" t="str">
        <f ca="1"/>
        <v/>
      </c>
    </row>
    <row r="2663" spans="1:7" x14ac:dyDescent="0.3">
      <c r="A2663" s="89" t="str">
        <v/>
      </c>
      <c r="B2663" s="89" t="str">
        <v>Las Reglas que Salvan Vidas</v>
      </c>
      <c r="C2663" s="90" t="str">
        <v/>
      </c>
      <c r="D2663" s="89" t="str">
        <v>Periódica</v>
      </c>
      <c r="E2663" s="89">
        <v>365</v>
      </c>
      <c r="F2663" s="89" t="str">
        <v/>
      </c>
      <c r="G2663" s="89" t="str">
        <f ca="1"/>
        <v/>
      </c>
    </row>
    <row r="2664" spans="1:7" x14ac:dyDescent="0.3">
      <c r="A2664" s="89" t="str">
        <v/>
      </c>
      <c r="B2664" s="89" t="str">
        <v xml:space="preserve">Resguardo de Maquinas &amp; Equipos </v>
      </c>
      <c r="C2664" s="90" t="str">
        <v/>
      </c>
      <c r="D2664" s="89" t="str">
        <v>Periódica</v>
      </c>
      <c r="E2664" s="89">
        <v>365</v>
      </c>
      <c r="F2664" s="89" t="str">
        <v/>
      </c>
      <c r="G2664" s="89" t="str">
        <f ca="1"/>
        <v/>
      </c>
    </row>
    <row r="2665" spans="1:7" x14ac:dyDescent="0.3">
      <c r="A2665" s="89" t="str">
        <v/>
      </c>
      <c r="B2665" s="89" t="str">
        <v>Conduccion y Gestion de Viajes (Todos)</v>
      </c>
      <c r="C2665" s="90" t="str">
        <v/>
      </c>
      <c r="D2665" s="89" t="str">
        <v>Periódica</v>
      </c>
      <c r="E2665" s="89">
        <v>730</v>
      </c>
      <c r="F2665" s="89" t="str">
        <v/>
      </c>
      <c r="G2665" s="89" t="str">
        <f ca="1"/>
        <v/>
      </c>
    </row>
    <row r="2666" spans="1:7" x14ac:dyDescent="0.3">
      <c r="A2666" s="89" t="str">
        <v/>
      </c>
      <c r="B2666" s="89" t="str">
        <v>Conduccion y Gestion de Viajes (Conductores)</v>
      </c>
      <c r="C2666" s="90" t="str">
        <v/>
      </c>
      <c r="D2666" s="89" t="str">
        <v>Periódica</v>
      </c>
      <c r="E2666" s="89">
        <v>1095</v>
      </c>
      <c r="F2666" s="89" t="str">
        <v/>
      </c>
      <c r="G2666" s="89" t="str">
        <f ca="1"/>
        <v/>
      </c>
    </row>
    <row r="2667" spans="1:7" x14ac:dyDescent="0.3">
      <c r="A2667" s="89" t="str">
        <v/>
      </c>
      <c r="B2667" s="89" t="str">
        <v>Patogenos Transmitidos por la Sangre</v>
      </c>
      <c r="C2667" s="90" t="str">
        <v/>
      </c>
      <c r="D2667" s="89" t="str">
        <v>Periódica</v>
      </c>
      <c r="E2667" s="89">
        <v>365</v>
      </c>
      <c r="F2667" s="89" t="str">
        <v/>
      </c>
      <c r="G2667" s="89" t="str">
        <f ca="1"/>
        <v/>
      </c>
    </row>
    <row r="2668" spans="1:7" x14ac:dyDescent="0.3">
      <c r="A2668" s="89" t="str">
        <v/>
      </c>
      <c r="B2668" s="89" t="str">
        <v>Conservacion Auditiva</v>
      </c>
      <c r="C2668" s="90" t="str">
        <v/>
      </c>
      <c r="D2668" s="89" t="str">
        <v>Periódica</v>
      </c>
      <c r="E2668" s="89">
        <v>365</v>
      </c>
      <c r="F2668" s="89" t="str">
        <v/>
      </c>
      <c r="G2668" s="89" t="str">
        <f ca="1"/>
        <v/>
      </c>
    </row>
    <row r="2669" spans="1:7" x14ac:dyDescent="0.3">
      <c r="A2669" s="89" t="str">
        <v/>
      </c>
      <c r="B2669" s="89" t="str">
        <v xml:space="preserve">Ergonomia //  / Levantamiento &amp; Seguridad en la Espalda </v>
      </c>
      <c r="C2669" s="90" t="str">
        <v/>
      </c>
      <c r="D2669" s="89" t="str">
        <v>Periódica</v>
      </c>
      <c r="E2669" s="89">
        <v>365</v>
      </c>
      <c r="F2669" s="89" t="str">
        <v/>
      </c>
      <c r="G2669" s="89" t="str">
        <f ca="1"/>
        <v/>
      </c>
    </row>
    <row r="2670" spans="1:7" x14ac:dyDescent="0.3">
      <c r="A2670" s="89" t="str">
        <v/>
      </c>
      <c r="B2670" s="89" t="str">
        <v>Superficies Elevadas (Todos)</v>
      </c>
      <c r="C2670" s="90" t="str">
        <v/>
      </c>
      <c r="D2670" s="89" t="str">
        <v>Periódica</v>
      </c>
      <c r="E2670" s="89">
        <v>365</v>
      </c>
      <c r="F2670" s="89" t="str">
        <v/>
      </c>
      <c r="G2670" s="89" t="str">
        <f ca="1"/>
        <v/>
      </c>
    </row>
    <row r="2671" spans="1:7" x14ac:dyDescent="0.3">
      <c r="A2671" s="89" t="str">
        <v/>
      </c>
      <c r="B2671" s="89" t="str">
        <v>Superficies Elevadas (Personal Habilitado)</v>
      </c>
      <c r="C2671" s="90" t="str">
        <v/>
      </c>
      <c r="D2671" s="89" t="str">
        <v>Periódica</v>
      </c>
      <c r="E2671" s="89">
        <v>365</v>
      </c>
      <c r="F2671" s="89" t="str">
        <v/>
      </c>
      <c r="G2671" s="89" t="str">
        <f ca="1"/>
        <v/>
      </c>
    </row>
    <row r="2672" spans="1:7" x14ac:dyDescent="0.3">
      <c r="A2672" s="89" t="str">
        <v/>
      </c>
      <c r="B2672" s="89" t="str">
        <v>Seguridad Quimica (Todos)</v>
      </c>
      <c r="C2672" s="90" t="str">
        <v/>
      </c>
      <c r="D2672" s="89" t="str">
        <v>Periódica</v>
      </c>
      <c r="E2672" s="89">
        <v>730</v>
      </c>
      <c r="F2672" s="89" t="str">
        <v/>
      </c>
      <c r="G2672" s="89" t="str">
        <f ca="1"/>
        <v/>
      </c>
    </row>
    <row r="2673" spans="1:7" x14ac:dyDescent="0.3">
      <c r="A2673" s="89" t="str">
        <v/>
      </c>
      <c r="B2673" s="89" t="str">
        <v>Seguridad Quimica (Mantenimiento)</v>
      </c>
      <c r="C2673" s="90" t="str">
        <v/>
      </c>
      <c r="D2673" s="89" t="str">
        <v>Periódica</v>
      </c>
      <c r="E2673" s="89">
        <v>365</v>
      </c>
      <c r="F2673" s="89" t="str">
        <v/>
      </c>
      <c r="G2673" s="89" t="str">
        <f ca="1"/>
        <v/>
      </c>
    </row>
    <row r="2674" spans="1:7" x14ac:dyDescent="0.3">
      <c r="A2674" s="89" t="str">
        <v/>
      </c>
      <c r="B2674" s="89" t="str">
        <v>Seguridad Quimica (Contratistas)</v>
      </c>
      <c r="C2674" s="90" t="str">
        <v/>
      </c>
      <c r="D2674" s="89" t="str">
        <v>Periódica</v>
      </c>
      <c r="E2674" s="89">
        <v>365</v>
      </c>
      <c r="F2674" s="89" t="str">
        <v/>
      </c>
      <c r="G2674" s="89" t="str">
        <f ca="1"/>
        <v/>
      </c>
    </row>
    <row r="2675" spans="1:7" x14ac:dyDescent="0.3">
      <c r="A2675" s="89" t="str">
        <v/>
      </c>
      <c r="B2675" s="89" t="str">
        <v>Seguridad para Trabajos en Caliente</v>
      </c>
      <c r="C2675" s="90" t="str">
        <v/>
      </c>
      <c r="D2675" s="89" t="str">
        <v>Periódica</v>
      </c>
      <c r="E2675" s="89">
        <v>365</v>
      </c>
      <c r="F2675" s="89" t="str">
        <v/>
      </c>
      <c r="G2675" s="89" t="str">
        <f ca="1"/>
        <v/>
      </c>
    </row>
    <row r="2676" spans="1:7" x14ac:dyDescent="0.3">
      <c r="A2676" s="89" t="str">
        <v/>
      </c>
      <c r="B2676" s="89" t="str">
        <v>Seguridad con la Radiacion</v>
      </c>
      <c r="C2676" s="90" t="str">
        <v/>
      </c>
      <c r="D2676" s="89" t="str">
        <v>Periódica</v>
      </c>
      <c r="E2676" s="89">
        <v>365</v>
      </c>
      <c r="F2676" s="89" t="str">
        <v/>
      </c>
      <c r="G2676" s="89" t="str">
        <f ca="1"/>
        <v/>
      </c>
    </row>
    <row r="2677" spans="1:7" x14ac:dyDescent="0.3">
      <c r="A2677" s="89" t="str">
        <v/>
      </c>
      <c r="B2677" s="89" t="str">
        <v>Equipo de Proteccion Personal (PPE)</v>
      </c>
      <c r="C2677" s="90" t="str">
        <v/>
      </c>
      <c r="D2677" s="89" t="str">
        <v>Periódica</v>
      </c>
      <c r="E2677" s="89">
        <v>365</v>
      </c>
      <c r="F2677" s="89" t="str">
        <v/>
      </c>
      <c r="G2677" s="89" t="str">
        <f ca="1"/>
        <v/>
      </c>
    </row>
    <row r="2678" spans="1:7" x14ac:dyDescent="0.3">
      <c r="A2678" s="89" t="str">
        <v/>
      </c>
      <c r="B2678" s="89" t="str">
        <v>Proteccion Respiratoria</v>
      </c>
      <c r="C2678" s="90" t="str">
        <v/>
      </c>
      <c r="D2678" s="89" t="str">
        <v>Periódica</v>
      </c>
      <c r="E2678" s="89">
        <v>365</v>
      </c>
      <c r="F2678" s="89" t="str">
        <v/>
      </c>
      <c r="G2678" s="89" t="str">
        <f ca="1"/>
        <v/>
      </c>
    </row>
    <row r="2679" spans="1:7" x14ac:dyDescent="0.3">
      <c r="A2679" s="89" t="str">
        <v/>
      </c>
      <c r="B2679" s="89" t="str">
        <v xml:space="preserve">Seguridad con Escaleras </v>
      </c>
      <c r="C2679" s="90" t="str">
        <v/>
      </c>
      <c r="D2679" s="89" t="str">
        <v>Periódica</v>
      </c>
      <c r="E2679" s="89">
        <v>365</v>
      </c>
      <c r="F2679" s="89" t="str">
        <v/>
      </c>
      <c r="G2679" s="89" t="str">
        <f ca="1"/>
        <v/>
      </c>
    </row>
    <row r="2680" spans="1:7" x14ac:dyDescent="0.3">
      <c r="A2680" s="89" t="str">
        <v/>
      </c>
      <c r="B2680" s="89" t="str">
        <v>Seguridad con Escaleras // Estantes de Almacenamiento</v>
      </c>
      <c r="C2680" s="90" t="str">
        <v/>
      </c>
      <c r="D2680" s="89" t="str">
        <v>Periódica</v>
      </c>
      <c r="E2680" s="89">
        <v>365</v>
      </c>
      <c r="F2680" s="89" t="str">
        <v/>
      </c>
      <c r="G2680" s="89" t="str">
        <f ca="1"/>
        <v/>
      </c>
    </row>
    <row r="2681" spans="1:7" x14ac:dyDescent="0.3">
      <c r="A2681" s="89" t="str">
        <v/>
      </c>
      <c r="B2681" s="89" t="str">
        <v>Responsabilidades del Supervisor</v>
      </c>
      <c r="C2681" s="90" t="str">
        <v/>
      </c>
      <c r="D2681" s="89" t="str">
        <v>Periódica</v>
      </c>
      <c r="E2681" s="89">
        <v>365</v>
      </c>
      <c r="F2681" s="89" t="str">
        <v/>
      </c>
      <c r="G2681" s="89" t="str">
        <f ca="1"/>
        <v/>
      </c>
    </row>
    <row r="2682" spans="1:7" x14ac:dyDescent="0.3">
      <c r="A2682" s="89" t="str">
        <v/>
      </c>
      <c r="B2682" s="89" t="str">
        <v>Espacios Confinados (Todos)</v>
      </c>
      <c r="C2682" s="90" t="str">
        <v/>
      </c>
      <c r="D2682" s="89" t="str">
        <v>Periódica</v>
      </c>
      <c r="E2682" s="89">
        <v>365</v>
      </c>
      <c r="F2682" s="89" t="str">
        <v/>
      </c>
      <c r="G2682" s="89" t="str">
        <f ca="1"/>
        <v/>
      </c>
    </row>
    <row r="2683" spans="1:7" x14ac:dyDescent="0.3">
      <c r="A2683" s="89" t="str">
        <v/>
      </c>
      <c r="B2683" s="89" t="str">
        <v>HSMS.017 / Espacios Confinados (Entrantes)</v>
      </c>
      <c r="C2683" s="90" t="str">
        <v/>
      </c>
      <c r="D2683" s="89" t="str">
        <v>Evento</v>
      </c>
      <c r="E2683" s="89">
        <v>0</v>
      </c>
      <c r="F2683" s="89" t="str">
        <v/>
      </c>
      <c r="G2683" s="89" t="str">
        <f ca="1"/>
        <v/>
      </c>
    </row>
    <row r="2684" spans="1:7" x14ac:dyDescent="0.3">
      <c r="A2684" s="89" t="str">
        <v/>
      </c>
      <c r="B2684" s="89" t="str">
        <v>Programa de Agua (Todos)</v>
      </c>
      <c r="C2684" s="90" t="str">
        <v/>
      </c>
      <c r="D2684" s="89" t="str">
        <v>Evento</v>
      </c>
      <c r="E2684" s="89">
        <v>0</v>
      </c>
      <c r="F2684" s="89" t="str">
        <v/>
      </c>
      <c r="G2684" s="89" t="str">
        <f ca="1"/>
        <v/>
      </c>
    </row>
    <row r="2685" spans="1:7" x14ac:dyDescent="0.3">
      <c r="A2685" s="89" t="str">
        <v/>
      </c>
      <c r="B2685" s="89" t="str">
        <v>Programa de Agua (HSE)</v>
      </c>
      <c r="C2685" s="90" t="str">
        <v/>
      </c>
      <c r="D2685" s="89" t="str">
        <v>Evento</v>
      </c>
      <c r="E2685" s="89">
        <v>0</v>
      </c>
      <c r="F2685" s="89" t="str">
        <v/>
      </c>
      <c r="G2685" s="89" t="str">
        <f ca="1"/>
        <v/>
      </c>
    </row>
    <row r="2686" spans="1:7" x14ac:dyDescent="0.3">
      <c r="A2686" s="89" t="str">
        <v/>
      </c>
      <c r="B2686" s="89" t="str">
        <v>HIV/SIDA y otras enfermedades de transmisión sexual (ETS)</v>
      </c>
      <c r="C2686" s="90" t="str">
        <v/>
      </c>
      <c r="D2686" s="89" t="str">
        <v>Periódica</v>
      </c>
      <c r="E2686" s="89">
        <v>365</v>
      </c>
      <c r="F2686" s="89" t="str">
        <v/>
      </c>
      <c r="G2686" s="89" t="str">
        <f ca="1"/>
        <v/>
      </c>
    </row>
    <row r="2687" spans="1:7" x14ac:dyDescent="0.3">
      <c r="A2687" s="89" t="str">
        <v/>
      </c>
      <c r="B2687" s="89" t="str">
        <v>Drogas de abuso (concientización y prevención)</v>
      </c>
      <c r="C2687" s="90" t="str">
        <v/>
      </c>
      <c r="D2687" s="89" t="str">
        <v>Periódica</v>
      </c>
      <c r="E2687" s="89">
        <v>365</v>
      </c>
      <c r="F2687" s="89" t="str">
        <v/>
      </c>
      <c r="G2687" s="89" t="str">
        <f ca="1"/>
        <v/>
      </c>
    </row>
    <row r="2688" spans="1:7" x14ac:dyDescent="0.3">
      <c r="A2688" s="89" t="str">
        <v/>
      </c>
      <c r="B2688" s="89" t="str">
        <v>Vida saludable (hábitos, autocuidado y bienestar)</v>
      </c>
      <c r="C2688" s="90" t="str">
        <v/>
      </c>
      <c r="D2688" s="89" t="str">
        <v>Periódica</v>
      </c>
      <c r="E2688" s="89">
        <v>365</v>
      </c>
      <c r="F2688" s="89" t="str">
        <v/>
      </c>
      <c r="G2688" s="89" t="str">
        <f ca="1"/>
        <v/>
      </c>
    </row>
    <row r="2689" spans="1:7" x14ac:dyDescent="0.3">
      <c r="A2689" s="89" t="str">
        <v/>
      </c>
      <c r="B2689" s="89" t="str">
        <v>Primeros auxilios y Reanimación Cardio Pulmonar (RCP)</v>
      </c>
      <c r="C2689" s="90" t="str">
        <v/>
      </c>
      <c r="D2689" s="89" t="str">
        <v>Periódica</v>
      </c>
      <c r="E2689" s="89">
        <v>365</v>
      </c>
      <c r="F2689" s="89" t="str">
        <v/>
      </c>
      <c r="G2689" s="89" t="str">
        <f ca="1"/>
        <v/>
      </c>
    </row>
    <row r="2690" spans="1:7" x14ac:dyDescent="0.3">
      <c r="A2690" s="89" t="str">
        <v/>
      </c>
      <c r="B2690" s="89" t="str">
        <v>Prevención cardiovascular (factores de riesgo y señales de alarma)</v>
      </c>
      <c r="C2690" s="90" t="str">
        <v/>
      </c>
      <c r="D2690" s="89" t="str">
        <v>Periódica</v>
      </c>
      <c r="E2690" s="89">
        <v>365</v>
      </c>
      <c r="F2690" s="89" t="str">
        <v/>
      </c>
      <c r="G2690" s="89" t="str">
        <f ca="1"/>
        <v/>
      </c>
    </row>
    <row r="2691" spans="1:7" x14ac:dyDescent="0.3">
      <c r="A2691" s="89" t="str">
        <v/>
      </c>
      <c r="B2691" s="89" t="str">
        <v>Efectos del tabaco sobre la salud</v>
      </c>
      <c r="C2691" s="90" t="str">
        <v/>
      </c>
      <c r="D2691" s="89" t="str">
        <v>Periódica</v>
      </c>
      <c r="E2691" s="89">
        <v>365</v>
      </c>
      <c r="F2691" s="89" t="str">
        <v/>
      </c>
      <c r="G2691" s="89" t="str">
        <f ca="1"/>
        <v/>
      </c>
    </row>
    <row r="2692" spans="1:7" x14ac:dyDescent="0.3">
      <c r="A2692" s="89" t="str">
        <v/>
      </c>
      <c r="B2692" s="89" t="str">
        <v>Cargadora (Op. Montacargas)</v>
      </c>
      <c r="C2692" s="90" t="str">
        <v/>
      </c>
      <c r="D2692" s="89" t="str">
        <v>Periódica</v>
      </c>
      <c r="E2692" s="89">
        <v>365</v>
      </c>
      <c r="F2692" s="89" t="str">
        <v/>
      </c>
      <c r="G2692" s="89" t="str">
        <f ca="1"/>
        <v/>
      </c>
    </row>
    <row r="2693" spans="1:7" x14ac:dyDescent="0.3">
      <c r="A2693" s="89" t="str">
        <v/>
      </c>
      <c r="B2693" s="89">
        <v>0</v>
      </c>
      <c r="C2693" s="90" t="str">
        <v/>
      </c>
      <c r="D2693" s="89" t="str">
        <v/>
      </c>
      <c r="E2693" s="89" t="str">
        <v/>
      </c>
      <c r="F2693" s="89" t="str">
        <v/>
      </c>
      <c r="G2693" s="89" t="str">
        <f ca="1"/>
        <v/>
      </c>
    </row>
    <row r="2694" spans="1:7" x14ac:dyDescent="0.3">
      <c r="A2694" s="89" t="str">
        <v/>
      </c>
      <c r="B2694" s="89">
        <v>0</v>
      </c>
      <c r="C2694" s="90" t="str">
        <v/>
      </c>
      <c r="D2694" s="89" t="str">
        <v/>
      </c>
      <c r="E2694" s="89" t="str">
        <v/>
      </c>
      <c r="F2694" s="89" t="str">
        <v/>
      </c>
      <c r="G2694" s="89" t="str">
        <f ca="1"/>
        <v/>
      </c>
    </row>
    <row r="2695" spans="1:7" x14ac:dyDescent="0.3">
      <c r="A2695" s="89" t="str">
        <v/>
      </c>
      <c r="B2695" s="89">
        <v>0</v>
      </c>
      <c r="C2695" s="90" t="str">
        <v/>
      </c>
      <c r="D2695" s="89" t="str">
        <v/>
      </c>
      <c r="E2695" s="89" t="str">
        <v/>
      </c>
      <c r="F2695" s="89" t="str">
        <v/>
      </c>
      <c r="G2695" s="89" t="str">
        <f ca="1"/>
        <v/>
      </c>
    </row>
    <row r="2696" spans="1:7" x14ac:dyDescent="0.3">
      <c r="A2696" s="89" t="str">
        <v/>
      </c>
      <c r="B2696" s="89">
        <v>0</v>
      </c>
      <c r="C2696" s="90" t="str">
        <v/>
      </c>
      <c r="D2696" s="89" t="str">
        <v/>
      </c>
      <c r="E2696" s="89" t="str">
        <v/>
      </c>
      <c r="F2696" s="89" t="str">
        <v/>
      </c>
      <c r="G2696" s="89" t="str">
        <f ca="1"/>
        <v/>
      </c>
    </row>
    <row r="2697" spans="1:7" x14ac:dyDescent="0.3">
      <c r="A2697" s="89" t="str">
        <v/>
      </c>
      <c r="B2697" s="89">
        <v>0</v>
      </c>
      <c r="C2697" s="90" t="str">
        <v/>
      </c>
      <c r="D2697" s="89" t="str">
        <v/>
      </c>
      <c r="E2697" s="89" t="str">
        <v/>
      </c>
      <c r="F2697" s="89" t="str">
        <v/>
      </c>
      <c r="G2697" s="89" t="str">
        <f ca="1"/>
        <v/>
      </c>
    </row>
    <row r="2698" spans="1:7" x14ac:dyDescent="0.3">
      <c r="A2698" s="89" t="str">
        <v/>
      </c>
      <c r="B2698" s="89">
        <v>0</v>
      </c>
      <c r="C2698" s="90" t="str">
        <v/>
      </c>
      <c r="D2698" s="89" t="str">
        <v/>
      </c>
      <c r="E2698" s="89" t="str">
        <v/>
      </c>
      <c r="F2698" s="89" t="str">
        <v/>
      </c>
      <c r="G2698" s="89" t="str">
        <f ca="1"/>
        <v/>
      </c>
    </row>
    <row r="2699" spans="1:7" x14ac:dyDescent="0.3">
      <c r="A2699" s="89" t="str">
        <v/>
      </c>
      <c r="B2699" s="89">
        <v>0</v>
      </c>
      <c r="C2699" s="90" t="str">
        <v/>
      </c>
      <c r="D2699" s="89" t="str">
        <v/>
      </c>
      <c r="E2699" s="89" t="str">
        <v/>
      </c>
      <c r="F2699" s="89" t="str">
        <v/>
      </c>
      <c r="G2699" s="89" t="str">
        <f ca="1"/>
        <v/>
      </c>
    </row>
    <row r="2700" spans="1:7" x14ac:dyDescent="0.3">
      <c r="A2700" s="89" t="str">
        <v/>
      </c>
      <c r="B2700" s="89">
        <v>0</v>
      </c>
      <c r="C2700" s="90" t="str">
        <v/>
      </c>
      <c r="D2700" s="89" t="str">
        <v/>
      </c>
      <c r="E2700" s="89" t="str">
        <v/>
      </c>
      <c r="F2700" s="89" t="str">
        <v/>
      </c>
      <c r="G2700" s="89" t="str">
        <f ca="1"/>
        <v/>
      </c>
    </row>
    <row r="2701" spans="1:7" x14ac:dyDescent="0.3">
      <c r="A2701" s="89" t="str">
        <v/>
      </c>
      <c r="B2701" s="89">
        <v>0</v>
      </c>
      <c r="C2701" s="90" t="str">
        <v/>
      </c>
      <c r="D2701" s="89" t="str">
        <v/>
      </c>
      <c r="E2701" s="89" t="str">
        <v/>
      </c>
      <c r="F2701" s="89" t="str">
        <v/>
      </c>
      <c r="G2701" s="89" t="str">
        <f ca="1"/>
        <v/>
      </c>
    </row>
    <row r="2702" spans="1:7" x14ac:dyDescent="0.3">
      <c r="A2702" s="89" t="str">
        <v/>
      </c>
      <c r="B2702" s="89" t="str">
        <v>Programa de Aire</v>
      </c>
      <c r="C2702" s="90" t="str">
        <v/>
      </c>
      <c r="D2702" s="89" t="str">
        <v>Evento</v>
      </c>
      <c r="E2702" s="89">
        <v>0</v>
      </c>
      <c r="F2702" s="89" t="str">
        <v/>
      </c>
      <c r="G2702" s="89" t="str">
        <f ca="1"/>
        <v/>
      </c>
    </row>
    <row r="2703" spans="1:7" x14ac:dyDescent="0.3">
      <c r="A2703" s="89" t="str">
        <v/>
      </c>
      <c r="B2703" s="89" t="str">
        <v>Conciencia Ambiental</v>
      </c>
      <c r="C2703" s="90" t="str">
        <v/>
      </c>
      <c r="D2703" s="89" t="str">
        <v>Periódica</v>
      </c>
      <c r="E2703" s="89">
        <v>365</v>
      </c>
      <c r="F2703" s="89" t="str">
        <v/>
      </c>
      <c r="G2703" s="89" t="str">
        <f ca="1"/>
        <v/>
      </c>
    </row>
    <row r="2704" spans="1:7" x14ac:dyDescent="0.3">
      <c r="A2704" s="89" t="str">
        <v/>
      </c>
      <c r="B2704" s="89" t="str">
        <v xml:space="preserve">Control de Documentos e Informacion de HSE </v>
      </c>
      <c r="C2704" s="90" t="str">
        <v/>
      </c>
      <c r="D2704" s="89" t="str">
        <v>Evento</v>
      </c>
      <c r="E2704" s="89">
        <v>0</v>
      </c>
      <c r="F2704" s="89" t="str">
        <v/>
      </c>
      <c r="G2704" s="89" t="str">
        <f ca="1"/>
        <v/>
      </c>
    </row>
    <row r="2705" spans="1:7" x14ac:dyDescent="0.3">
      <c r="A2705" s="89" t="str">
        <v/>
      </c>
      <c r="B2705" s="89" t="str">
        <v xml:space="preserve"> Acciones Correctivas y Preventivas (CAPA)</v>
      </c>
      <c r="C2705" s="90" t="str">
        <v/>
      </c>
      <c r="D2705" s="89" t="str">
        <v>Evento</v>
      </c>
      <c r="E2705" s="89">
        <v>0</v>
      </c>
      <c r="F2705" s="89" t="str">
        <v/>
      </c>
      <c r="G2705" s="89" t="str">
        <f ca="1"/>
        <v/>
      </c>
    </row>
    <row r="2706" spans="1:7" x14ac:dyDescent="0.3">
      <c r="A2706" s="89" t="str">
        <v/>
      </c>
      <c r="B2706" s="89" t="str">
        <v>Seguridad Basada en el Comportamiento (Observation Program) // HSMS.043 / Autoridad de Detener el Trabajo</v>
      </c>
      <c r="C2706" s="90" t="str">
        <v/>
      </c>
      <c r="D2706" s="89" t="str">
        <v>Periódica</v>
      </c>
      <c r="E2706" s="89">
        <v>365</v>
      </c>
      <c r="F2706" s="89" t="str">
        <v/>
      </c>
      <c r="G2706" s="89" t="str">
        <f ca="1"/>
        <v/>
      </c>
    </row>
    <row r="2707" spans="1:7" x14ac:dyDescent="0.3">
      <c r="A2707" s="89" t="str">
        <v/>
      </c>
      <c r="B2707" s="89" t="str">
        <v>Identificacion de Peligros y Evaluacion de Riesgos</v>
      </c>
      <c r="C2707" s="90" t="str">
        <v/>
      </c>
      <c r="D2707" s="89" t="str">
        <v>Evento</v>
      </c>
      <c r="E2707" s="89">
        <v>0</v>
      </c>
      <c r="F2707" s="89" t="str">
        <v/>
      </c>
      <c r="G2707" s="89" t="str">
        <f ca="1"/>
        <v/>
      </c>
    </row>
    <row r="2708" spans="1:7" x14ac:dyDescent="0.3">
      <c r="A2708" s="89" t="str">
        <v/>
      </c>
      <c r="B2708" s="89" t="str">
        <v xml:space="preserve"> Plan de Respuesta ante Eemergencias / HSMS.010 /Primeros Axulios &amp; RCP/DEA / HSMSWT-002 / Patogenos Trasnmitidos por la Sangre</v>
      </c>
      <c r="C2708" s="90" t="str">
        <v/>
      </c>
      <c r="D2708" s="89" t="str">
        <v>Periódica</v>
      </c>
      <c r="E2708" s="89">
        <v>365</v>
      </c>
      <c r="F2708" s="89" t="str">
        <v/>
      </c>
      <c r="G2708" s="89" t="str">
        <f ca="1"/>
        <v/>
      </c>
    </row>
    <row r="2709" spans="1:7" x14ac:dyDescent="0.3">
      <c r="A2709" s="89" t="str">
        <v/>
      </c>
      <c r="B2709" s="89" t="str">
        <v>Reporte y Gestion de Incidentes HSE (Todos)</v>
      </c>
      <c r="C2709" s="90" t="str">
        <v/>
      </c>
      <c r="D2709" s="89" t="str">
        <v>Periódica</v>
      </c>
      <c r="E2709" s="89">
        <v>365</v>
      </c>
      <c r="F2709" s="89" t="str">
        <v/>
      </c>
      <c r="G2709" s="89" t="str">
        <f ca="1"/>
        <v/>
      </c>
    </row>
    <row r="2710" spans="1:7" x14ac:dyDescent="0.3">
      <c r="A2710" s="89" t="str">
        <v/>
      </c>
      <c r="B2710" s="89" t="str">
        <v>Reporte, Gestion e Investigacion de Incidentes HSE (supervisores / investigadores (rol))</v>
      </c>
      <c r="C2710" s="90" t="str">
        <v/>
      </c>
      <c r="D2710" s="89" t="str">
        <v>Periódica</v>
      </c>
      <c r="E2710" s="89">
        <v>1095</v>
      </c>
      <c r="F2710" s="89" t="str">
        <v/>
      </c>
      <c r="G2710" s="89" t="str">
        <f ca="1"/>
        <v/>
      </c>
    </row>
    <row r="2711" spans="1:7" x14ac:dyDescent="0.3">
      <c r="A2711" s="89" t="str">
        <v/>
      </c>
      <c r="B2711" s="89" t="str">
        <v>Gruas y Equipos de Izaje (Todos)</v>
      </c>
      <c r="C2711" s="90" t="str">
        <v/>
      </c>
      <c r="D2711" s="89" t="str">
        <v>Periódica</v>
      </c>
      <c r="E2711" s="89">
        <v>365</v>
      </c>
      <c r="F2711" s="89" t="str">
        <v/>
      </c>
      <c r="G2711" s="89" t="str">
        <f ca="1"/>
        <v/>
      </c>
    </row>
    <row r="2712" spans="1:7" x14ac:dyDescent="0.3">
      <c r="A2712" s="89" t="str">
        <v/>
      </c>
      <c r="B2712" s="89" t="str">
        <v>HSMS.007 / Gruas y Equipos de Izaje (Operadores)</v>
      </c>
      <c r="C2712" s="90" t="str">
        <v/>
      </c>
      <c r="D2712" s="89" t="str">
        <v>Periódica</v>
      </c>
      <c r="E2712" s="89">
        <v>365</v>
      </c>
      <c r="F2712" s="89" t="str">
        <v/>
      </c>
      <c r="G2712" s="89" t="str">
        <f ca="1"/>
        <v/>
      </c>
    </row>
    <row r="2713" spans="1:7" x14ac:dyDescent="0.3">
      <c r="A2713" s="89" t="str">
        <v/>
      </c>
      <c r="B2713" s="89" t="str">
        <v>Proteccion Contra Incendios (Todos)</v>
      </c>
      <c r="C2713" s="90" t="str">
        <v/>
      </c>
      <c r="D2713" s="89" t="str">
        <v>Periódica</v>
      </c>
      <c r="E2713" s="89">
        <v>365</v>
      </c>
      <c r="F2713" s="89" t="str">
        <v/>
      </c>
      <c r="G2713" s="89" t="str">
        <f ca="1"/>
        <v/>
      </c>
    </row>
    <row r="2714" spans="1:7" x14ac:dyDescent="0.3">
      <c r="A2714" s="89" t="str">
        <v/>
      </c>
      <c r="B2714" s="89" t="str">
        <v>Proteccion Contra Incendios (Brigadistas)</v>
      </c>
      <c r="C2714" s="90" t="str">
        <v/>
      </c>
      <c r="D2714" s="89" t="str">
        <v>Periódica</v>
      </c>
      <c r="E2714" s="89">
        <v>365</v>
      </c>
      <c r="F2714" s="89" t="str">
        <v/>
      </c>
      <c r="G2714" s="89" t="str">
        <f ca="1"/>
        <v/>
      </c>
    </row>
    <row r="2715" spans="1:7" x14ac:dyDescent="0.3">
      <c r="A2715" s="89" t="str">
        <v/>
      </c>
      <c r="B2715" s="89" t="str">
        <v>Primeros Auxilios (Brigadistas)</v>
      </c>
      <c r="C2715" s="90" t="str">
        <v/>
      </c>
      <c r="D2715" s="89" t="str">
        <v>Periódica</v>
      </c>
      <c r="E2715" s="89">
        <v>365</v>
      </c>
      <c r="F2715" s="89" t="str">
        <v/>
      </c>
      <c r="G2715" s="89" t="str">
        <f ca="1"/>
        <v/>
      </c>
    </row>
    <row r="2716" spans="1:7" x14ac:dyDescent="0.3">
      <c r="A2716" s="89" t="str">
        <v/>
      </c>
      <c r="B2716" s="89" t="str">
        <v>Seguridad Electrica (Todos)</v>
      </c>
      <c r="C2716" s="90" t="str">
        <v/>
      </c>
      <c r="D2716" s="89" t="str">
        <v>Periódica</v>
      </c>
      <c r="E2716" s="89">
        <v>365</v>
      </c>
      <c r="F2716" s="89" t="str">
        <v/>
      </c>
      <c r="G2716" s="89" t="str">
        <f ca="1"/>
        <v/>
      </c>
    </row>
    <row r="2717" spans="1:7" x14ac:dyDescent="0.3">
      <c r="A2717" s="89" t="str">
        <v/>
      </c>
      <c r="B2717" s="89" t="str">
        <v>Seguridad Electrica (Personal Autorizado)</v>
      </c>
      <c r="C2717" s="90" t="str">
        <v/>
      </c>
      <c r="D2717" s="89" t="str">
        <v>Periódica</v>
      </c>
      <c r="E2717" s="89">
        <v>1095</v>
      </c>
      <c r="F2717" s="89" t="str">
        <v/>
      </c>
      <c r="G2717" s="89" t="str">
        <f ca="1"/>
        <v/>
      </c>
    </row>
    <row r="2718" spans="1:7" x14ac:dyDescent="0.3">
      <c r="A2718" s="89" t="str">
        <v/>
      </c>
      <c r="B2718" s="89" t="str">
        <v>Camiones Industriales Motorizados (PIT) (Todos)</v>
      </c>
      <c r="C2718" s="90" t="str">
        <v/>
      </c>
      <c r="D2718" s="89" t="str">
        <v>Periódica</v>
      </c>
      <c r="E2718" s="89">
        <v>365</v>
      </c>
      <c r="F2718" s="89" t="str">
        <v/>
      </c>
      <c r="G2718" s="89" t="str">
        <f ca="1"/>
        <v/>
      </c>
    </row>
    <row r="2719" spans="1:7" x14ac:dyDescent="0.3">
      <c r="A2719" s="89" t="str">
        <v/>
      </c>
      <c r="B2719" s="89" t="str">
        <v>Camiones Industriales Motorizados (PIT) (Op. Montacargas)</v>
      </c>
      <c r="C2719" s="90" t="str">
        <v/>
      </c>
      <c r="D2719" s="89" t="str">
        <v>Periódica</v>
      </c>
      <c r="E2719" s="89">
        <v>365</v>
      </c>
      <c r="F2719" s="89" t="str">
        <v/>
      </c>
      <c r="G2719" s="89" t="str">
        <f ca="1"/>
        <v/>
      </c>
    </row>
    <row r="2720" spans="1:7" x14ac:dyDescent="0.3">
      <c r="A2720" s="89" t="str">
        <v/>
      </c>
      <c r="B2720" s="89" t="str">
        <v>Control de Energias Peligrosas (LOTO) (Todos)</v>
      </c>
      <c r="C2720" s="90" t="str">
        <v/>
      </c>
      <c r="D2720" s="89" t="str">
        <v>Evento</v>
      </c>
      <c r="E2720" s="89">
        <v>0</v>
      </c>
      <c r="F2720" s="89" t="str">
        <v/>
      </c>
      <c r="G2720" s="89" t="str">
        <f ca="1"/>
        <v/>
      </c>
    </row>
    <row r="2721" spans="1:7" x14ac:dyDescent="0.3">
      <c r="A2721" s="89" t="str">
        <v/>
      </c>
      <c r="B2721" s="89" t="str">
        <v>Control de Energias Peligrosas (LOTO) (Empleados Autorizados)</v>
      </c>
      <c r="C2721" s="90" t="str">
        <v/>
      </c>
      <c r="D2721" s="89" t="str">
        <v>Periódica</v>
      </c>
      <c r="E2721" s="89">
        <v>365</v>
      </c>
      <c r="F2721" s="89" t="str">
        <v/>
      </c>
      <c r="G2721" s="89" t="str">
        <f ca="1"/>
        <v/>
      </c>
    </row>
    <row r="2722" spans="1:7" x14ac:dyDescent="0.3">
      <c r="A2722" s="89" t="str">
        <v/>
      </c>
      <c r="B2722" s="89" t="str">
        <v>Seguridad aplicada al Pozo &amp; Yacimiento</v>
      </c>
      <c r="C2722" s="90" t="str">
        <v/>
      </c>
      <c r="D2722" s="89" t="str">
        <v>Periódica</v>
      </c>
      <c r="E2722" s="89">
        <v>365</v>
      </c>
      <c r="F2722" s="89" t="str">
        <v/>
      </c>
      <c r="G2722" s="89" t="str">
        <f ca="1"/>
        <v/>
      </c>
    </row>
    <row r="2723" spans="1:7" x14ac:dyDescent="0.3">
      <c r="A2723" s="89" t="str">
        <v/>
      </c>
      <c r="B2723" s="89" t="str">
        <v>Las Reglas que Salvan Vidas</v>
      </c>
      <c r="C2723" s="90" t="str">
        <v/>
      </c>
      <c r="D2723" s="89" t="str">
        <v>Periódica</v>
      </c>
      <c r="E2723" s="89">
        <v>365</v>
      </c>
      <c r="F2723" s="89" t="str">
        <v/>
      </c>
      <c r="G2723" s="89" t="str">
        <f ca="1"/>
        <v/>
      </c>
    </row>
    <row r="2724" spans="1:7" x14ac:dyDescent="0.3">
      <c r="A2724" s="89" t="str">
        <v/>
      </c>
      <c r="B2724" s="89" t="str">
        <v xml:space="preserve">Resguardo de Maquinas &amp; Equipos </v>
      </c>
      <c r="C2724" s="90" t="str">
        <v/>
      </c>
      <c r="D2724" s="89" t="str">
        <v>Periódica</v>
      </c>
      <c r="E2724" s="89">
        <v>365</v>
      </c>
      <c r="F2724" s="89" t="str">
        <v/>
      </c>
      <c r="G2724" s="89" t="str">
        <f ca="1"/>
        <v/>
      </c>
    </row>
    <row r="2725" spans="1:7" x14ac:dyDescent="0.3">
      <c r="A2725" s="89" t="str">
        <v/>
      </c>
      <c r="B2725" s="89" t="str">
        <v>Conduccion y Gestion de Viajes (Todos)</v>
      </c>
      <c r="C2725" s="90" t="str">
        <v/>
      </c>
      <c r="D2725" s="89" t="str">
        <v>Periódica</v>
      </c>
      <c r="E2725" s="89">
        <v>730</v>
      </c>
      <c r="F2725" s="89" t="str">
        <v/>
      </c>
      <c r="G2725" s="89" t="str">
        <f ca="1"/>
        <v/>
      </c>
    </row>
    <row r="2726" spans="1:7" x14ac:dyDescent="0.3">
      <c r="A2726" s="89" t="str">
        <v/>
      </c>
      <c r="B2726" s="89" t="str">
        <v>Conduccion y Gestion de Viajes (Conductores)</v>
      </c>
      <c r="C2726" s="90" t="str">
        <v/>
      </c>
      <c r="D2726" s="89" t="str">
        <v>Periódica</v>
      </c>
      <c r="E2726" s="89">
        <v>1095</v>
      </c>
      <c r="F2726" s="89" t="str">
        <v/>
      </c>
      <c r="G2726" s="89" t="str">
        <f ca="1"/>
        <v/>
      </c>
    </row>
    <row r="2727" spans="1:7" x14ac:dyDescent="0.3">
      <c r="A2727" s="89" t="str">
        <v/>
      </c>
      <c r="B2727" s="89" t="str">
        <v>Patogenos Transmitidos por la Sangre</v>
      </c>
      <c r="C2727" s="90" t="str">
        <v/>
      </c>
      <c r="D2727" s="89" t="str">
        <v>Periódica</v>
      </c>
      <c r="E2727" s="89">
        <v>365</v>
      </c>
      <c r="F2727" s="89" t="str">
        <v/>
      </c>
      <c r="G2727" s="89" t="str">
        <f ca="1"/>
        <v/>
      </c>
    </row>
    <row r="2728" spans="1:7" x14ac:dyDescent="0.3">
      <c r="A2728" s="89" t="str">
        <v/>
      </c>
      <c r="B2728" s="89" t="str">
        <v>Conservacion Auditiva</v>
      </c>
      <c r="C2728" s="90" t="str">
        <v/>
      </c>
      <c r="D2728" s="89" t="str">
        <v>Periódica</v>
      </c>
      <c r="E2728" s="89">
        <v>365</v>
      </c>
      <c r="F2728" s="89" t="str">
        <v/>
      </c>
      <c r="G2728" s="89" t="str">
        <f ca="1"/>
        <v/>
      </c>
    </row>
    <row r="2729" spans="1:7" x14ac:dyDescent="0.3">
      <c r="A2729" s="89" t="str">
        <v/>
      </c>
      <c r="B2729" s="89" t="str">
        <v xml:space="preserve">Ergonomia //  / Levantamiento &amp; Seguridad en la Espalda </v>
      </c>
      <c r="C2729" s="90" t="str">
        <v/>
      </c>
      <c r="D2729" s="89" t="str">
        <v>Periódica</v>
      </c>
      <c r="E2729" s="89">
        <v>365</v>
      </c>
      <c r="F2729" s="89" t="str">
        <v/>
      </c>
      <c r="G2729" s="89" t="str">
        <f ca="1"/>
        <v/>
      </c>
    </row>
    <row r="2730" spans="1:7" x14ac:dyDescent="0.3">
      <c r="A2730" s="89" t="str">
        <v/>
      </c>
      <c r="B2730" s="89" t="str">
        <v>Superficies Elevadas (Todos)</v>
      </c>
      <c r="C2730" s="90" t="str">
        <v/>
      </c>
      <c r="D2730" s="89" t="str">
        <v>Periódica</v>
      </c>
      <c r="E2730" s="89">
        <v>365</v>
      </c>
      <c r="F2730" s="89" t="str">
        <v/>
      </c>
      <c r="G2730" s="89" t="str">
        <f ca="1"/>
        <v/>
      </c>
    </row>
    <row r="2731" spans="1:7" x14ac:dyDescent="0.3">
      <c r="A2731" s="89" t="str">
        <v/>
      </c>
      <c r="B2731" s="89" t="str">
        <v>Superficies Elevadas (Personal Habilitado)</v>
      </c>
      <c r="C2731" s="90" t="str">
        <v/>
      </c>
      <c r="D2731" s="89" t="str">
        <v>Periódica</v>
      </c>
      <c r="E2731" s="89">
        <v>365</v>
      </c>
      <c r="F2731" s="89" t="str">
        <v/>
      </c>
      <c r="G2731" s="89" t="str">
        <f ca="1"/>
        <v/>
      </c>
    </row>
    <row r="2732" spans="1:7" x14ac:dyDescent="0.3">
      <c r="A2732" s="89" t="str">
        <v/>
      </c>
      <c r="B2732" s="89" t="str">
        <v>Seguridad Quimica (Todos)</v>
      </c>
      <c r="C2732" s="90" t="str">
        <v/>
      </c>
      <c r="D2732" s="89" t="str">
        <v>Periódica</v>
      </c>
      <c r="E2732" s="89">
        <v>730</v>
      </c>
      <c r="F2732" s="89" t="str">
        <v/>
      </c>
      <c r="G2732" s="89" t="str">
        <f ca="1"/>
        <v/>
      </c>
    </row>
    <row r="2733" spans="1:7" x14ac:dyDescent="0.3">
      <c r="A2733" s="89" t="str">
        <v/>
      </c>
      <c r="B2733" s="89" t="str">
        <v>Seguridad Quimica (Mantenimiento)</v>
      </c>
      <c r="C2733" s="90" t="str">
        <v/>
      </c>
      <c r="D2733" s="89" t="str">
        <v>Periódica</v>
      </c>
      <c r="E2733" s="89">
        <v>365</v>
      </c>
      <c r="F2733" s="89" t="str">
        <v/>
      </c>
      <c r="G2733" s="89" t="str">
        <f ca="1"/>
        <v/>
      </c>
    </row>
    <row r="2734" spans="1:7" x14ac:dyDescent="0.3">
      <c r="A2734" s="89" t="str">
        <v/>
      </c>
      <c r="B2734" s="89" t="str">
        <v>Seguridad Quimica (Contratistas)</v>
      </c>
      <c r="C2734" s="90" t="str">
        <v/>
      </c>
      <c r="D2734" s="89" t="str">
        <v>Periódica</v>
      </c>
      <c r="E2734" s="89">
        <v>365</v>
      </c>
      <c r="F2734" s="89" t="str">
        <v/>
      </c>
      <c r="G2734" s="89" t="str">
        <f ca="1"/>
        <v/>
      </c>
    </row>
    <row r="2735" spans="1:7" x14ac:dyDescent="0.3">
      <c r="A2735" s="89" t="str">
        <v/>
      </c>
      <c r="B2735" s="89" t="str">
        <v>Seguridad para Trabajos en Caliente</v>
      </c>
      <c r="C2735" s="90" t="str">
        <v/>
      </c>
      <c r="D2735" s="89" t="str">
        <v>Periódica</v>
      </c>
      <c r="E2735" s="89">
        <v>365</v>
      </c>
      <c r="F2735" s="89" t="str">
        <v/>
      </c>
      <c r="G2735" s="89" t="str">
        <f ca="1"/>
        <v/>
      </c>
    </row>
    <row r="2736" spans="1:7" x14ac:dyDescent="0.3">
      <c r="A2736" s="89" t="str">
        <v/>
      </c>
      <c r="B2736" s="89" t="str">
        <v>Seguridad con la Radiacion</v>
      </c>
      <c r="C2736" s="90" t="str">
        <v/>
      </c>
      <c r="D2736" s="89" t="str">
        <v>Periódica</v>
      </c>
      <c r="E2736" s="89">
        <v>365</v>
      </c>
      <c r="F2736" s="89" t="str">
        <v/>
      </c>
      <c r="G2736" s="89" t="str">
        <f ca="1"/>
        <v/>
      </c>
    </row>
    <row r="2737" spans="1:7" x14ac:dyDescent="0.3">
      <c r="A2737" s="89" t="str">
        <v/>
      </c>
      <c r="B2737" s="89" t="str">
        <v>Equipo de Proteccion Personal (PPE)</v>
      </c>
      <c r="C2737" s="90" t="str">
        <v/>
      </c>
      <c r="D2737" s="89" t="str">
        <v>Periódica</v>
      </c>
      <c r="E2737" s="89">
        <v>365</v>
      </c>
      <c r="F2737" s="89" t="str">
        <v/>
      </c>
      <c r="G2737" s="89" t="str">
        <f ca="1"/>
        <v/>
      </c>
    </row>
    <row r="2738" spans="1:7" x14ac:dyDescent="0.3">
      <c r="A2738" s="89" t="str">
        <v/>
      </c>
      <c r="B2738" s="89" t="str">
        <v>Proteccion Respiratoria</v>
      </c>
      <c r="C2738" s="90" t="str">
        <v/>
      </c>
      <c r="D2738" s="89" t="str">
        <v>Periódica</v>
      </c>
      <c r="E2738" s="89">
        <v>365</v>
      </c>
      <c r="F2738" s="89" t="str">
        <v/>
      </c>
      <c r="G2738" s="89" t="str">
        <f ca="1"/>
        <v/>
      </c>
    </row>
    <row r="2739" spans="1:7" x14ac:dyDescent="0.3">
      <c r="A2739" s="89" t="str">
        <v/>
      </c>
      <c r="B2739" s="89" t="str">
        <v xml:space="preserve">Seguridad con Escaleras </v>
      </c>
      <c r="C2739" s="90" t="str">
        <v/>
      </c>
      <c r="D2739" s="89" t="str">
        <v>Periódica</v>
      </c>
      <c r="E2739" s="89">
        <v>365</v>
      </c>
      <c r="F2739" s="89" t="str">
        <v/>
      </c>
      <c r="G2739" s="89" t="str">
        <f ca="1"/>
        <v/>
      </c>
    </row>
    <row r="2740" spans="1:7" x14ac:dyDescent="0.3">
      <c r="A2740" s="89" t="str">
        <v/>
      </c>
      <c r="B2740" s="89" t="str">
        <v>Seguridad con Escaleras // Estantes de Almacenamiento</v>
      </c>
      <c r="C2740" s="90" t="str">
        <v/>
      </c>
      <c r="D2740" s="89" t="str">
        <v>Periódica</v>
      </c>
      <c r="E2740" s="89">
        <v>365</v>
      </c>
      <c r="F2740" s="89" t="str">
        <v/>
      </c>
      <c r="G2740" s="89" t="str">
        <f ca="1"/>
        <v/>
      </c>
    </row>
    <row r="2741" spans="1:7" x14ac:dyDescent="0.3">
      <c r="A2741" s="89" t="str">
        <v/>
      </c>
      <c r="B2741" s="89" t="str">
        <v>Responsabilidades del Supervisor</v>
      </c>
      <c r="C2741" s="90" t="str">
        <v/>
      </c>
      <c r="D2741" s="89" t="str">
        <v>Periódica</v>
      </c>
      <c r="E2741" s="89">
        <v>365</v>
      </c>
      <c r="F2741" s="89" t="str">
        <v/>
      </c>
      <c r="G2741" s="89" t="str">
        <f ca="1"/>
        <v/>
      </c>
    </row>
    <row r="2742" spans="1:7" x14ac:dyDescent="0.3">
      <c r="A2742" s="89" t="str">
        <v/>
      </c>
      <c r="B2742" s="89" t="str">
        <v>Espacios Confinados (Todos)</v>
      </c>
      <c r="C2742" s="90" t="str">
        <v/>
      </c>
      <c r="D2742" s="89" t="str">
        <v>Periódica</v>
      </c>
      <c r="E2742" s="89">
        <v>365</v>
      </c>
      <c r="F2742" s="89" t="str">
        <v/>
      </c>
      <c r="G2742" s="89" t="str">
        <f ca="1"/>
        <v/>
      </c>
    </row>
    <row r="2743" spans="1:7" x14ac:dyDescent="0.3">
      <c r="A2743" s="89" t="str">
        <v/>
      </c>
      <c r="B2743" s="89" t="str">
        <v>HSMS.017 / Espacios Confinados (Entrantes)</v>
      </c>
      <c r="C2743" s="90" t="str">
        <v/>
      </c>
      <c r="D2743" s="89" t="str">
        <v>Evento</v>
      </c>
      <c r="E2743" s="89">
        <v>0</v>
      </c>
      <c r="F2743" s="89" t="str">
        <v/>
      </c>
      <c r="G2743" s="89" t="str">
        <f ca="1"/>
        <v/>
      </c>
    </row>
    <row r="2744" spans="1:7" x14ac:dyDescent="0.3">
      <c r="A2744" s="89" t="str">
        <v/>
      </c>
      <c r="B2744" s="89" t="str">
        <v>Programa de Agua (Todos)</v>
      </c>
      <c r="C2744" s="90" t="str">
        <v/>
      </c>
      <c r="D2744" s="89" t="str">
        <v>Evento</v>
      </c>
      <c r="E2744" s="89">
        <v>0</v>
      </c>
      <c r="F2744" s="89" t="str">
        <v/>
      </c>
      <c r="G2744" s="89" t="str">
        <f ca="1"/>
        <v/>
      </c>
    </row>
    <row r="2745" spans="1:7" x14ac:dyDescent="0.3">
      <c r="A2745" s="89" t="str">
        <v/>
      </c>
      <c r="B2745" s="89" t="str">
        <v>Programa de Agua (HSE)</v>
      </c>
      <c r="C2745" s="90" t="str">
        <v/>
      </c>
      <c r="D2745" s="89" t="str">
        <v>Evento</v>
      </c>
      <c r="E2745" s="89">
        <v>0</v>
      </c>
      <c r="F2745" s="89" t="str">
        <v/>
      </c>
      <c r="G2745" s="89" t="str">
        <f ca="1"/>
        <v/>
      </c>
    </row>
    <row r="2746" spans="1:7" x14ac:dyDescent="0.3">
      <c r="A2746" s="89" t="str">
        <v/>
      </c>
      <c r="B2746" s="89" t="str">
        <v>HIV/SIDA y otras enfermedades de transmisión sexual (ETS)</v>
      </c>
      <c r="C2746" s="90" t="str">
        <v/>
      </c>
      <c r="D2746" s="89" t="str">
        <v>Periódica</v>
      </c>
      <c r="E2746" s="89">
        <v>365</v>
      </c>
      <c r="F2746" s="89" t="str">
        <v/>
      </c>
      <c r="G2746" s="89" t="str">
        <f ca="1"/>
        <v/>
      </c>
    </row>
    <row r="2747" spans="1:7" x14ac:dyDescent="0.3">
      <c r="A2747" s="89" t="str">
        <v/>
      </c>
      <c r="B2747" s="89" t="str">
        <v>Drogas de abuso (concientización y prevención)</v>
      </c>
      <c r="C2747" s="90" t="str">
        <v/>
      </c>
      <c r="D2747" s="89" t="str">
        <v>Periódica</v>
      </c>
      <c r="E2747" s="89">
        <v>365</v>
      </c>
      <c r="F2747" s="89" t="str">
        <v/>
      </c>
      <c r="G2747" s="89" t="str">
        <f ca="1"/>
        <v/>
      </c>
    </row>
    <row r="2748" spans="1:7" x14ac:dyDescent="0.3">
      <c r="A2748" s="89" t="str">
        <v/>
      </c>
      <c r="B2748" s="89" t="str">
        <v>Vida saludable (hábitos, autocuidado y bienestar)</v>
      </c>
      <c r="C2748" s="90" t="str">
        <v/>
      </c>
      <c r="D2748" s="89" t="str">
        <v>Periódica</v>
      </c>
      <c r="E2748" s="89">
        <v>365</v>
      </c>
      <c r="F2748" s="89" t="str">
        <v/>
      </c>
      <c r="G2748" s="89" t="str">
        <f ca="1"/>
        <v/>
      </c>
    </row>
    <row r="2749" spans="1:7" x14ac:dyDescent="0.3">
      <c r="A2749" s="89" t="str">
        <v/>
      </c>
      <c r="B2749" s="89" t="str">
        <v>Primeros auxilios y Reanimación Cardio Pulmonar (RCP)</v>
      </c>
      <c r="C2749" s="90" t="str">
        <v/>
      </c>
      <c r="D2749" s="89" t="str">
        <v>Periódica</v>
      </c>
      <c r="E2749" s="89">
        <v>365</v>
      </c>
      <c r="F2749" s="89" t="str">
        <v/>
      </c>
      <c r="G2749" s="89" t="str">
        <f ca="1"/>
        <v/>
      </c>
    </row>
    <row r="2750" spans="1:7" x14ac:dyDescent="0.3">
      <c r="A2750" s="89" t="str">
        <v/>
      </c>
      <c r="B2750" s="89" t="str">
        <v>Prevención cardiovascular (factores de riesgo y señales de alarma)</v>
      </c>
      <c r="C2750" s="90" t="str">
        <v/>
      </c>
      <c r="D2750" s="89" t="str">
        <v>Periódica</v>
      </c>
      <c r="E2750" s="89">
        <v>365</v>
      </c>
      <c r="F2750" s="89" t="str">
        <v/>
      </c>
      <c r="G2750" s="89" t="str">
        <f ca="1"/>
        <v/>
      </c>
    </row>
    <row r="2751" spans="1:7" x14ac:dyDescent="0.3">
      <c r="A2751" s="89" t="str">
        <v/>
      </c>
      <c r="B2751" s="89" t="str">
        <v>Efectos del tabaco sobre la salud</v>
      </c>
      <c r="C2751" s="90" t="str">
        <v/>
      </c>
      <c r="D2751" s="89" t="str">
        <v>Periódica</v>
      </c>
      <c r="E2751" s="89">
        <v>365</v>
      </c>
      <c r="F2751" s="89" t="str">
        <v/>
      </c>
      <c r="G2751" s="89" t="str">
        <f ca="1"/>
        <v/>
      </c>
    </row>
    <row r="2752" spans="1:7" x14ac:dyDescent="0.3">
      <c r="A2752" s="89" t="str">
        <v/>
      </c>
      <c r="B2752" s="89" t="str">
        <v>Cargadora (Op. Montacargas)</v>
      </c>
      <c r="C2752" s="90" t="str">
        <v/>
      </c>
      <c r="D2752" s="89" t="str">
        <v>Periódica</v>
      </c>
      <c r="E2752" s="89">
        <v>365</v>
      </c>
      <c r="F2752" s="89" t="str">
        <v/>
      </c>
      <c r="G2752" s="89" t="str">
        <f ca="1"/>
        <v/>
      </c>
    </row>
    <row r="2753" spans="1:7" x14ac:dyDescent="0.3">
      <c r="A2753" s="89" t="str">
        <v/>
      </c>
      <c r="B2753" s="89">
        <v>0</v>
      </c>
      <c r="C2753" s="90" t="str">
        <v/>
      </c>
      <c r="D2753" s="89" t="str">
        <v/>
      </c>
      <c r="E2753" s="89" t="str">
        <v/>
      </c>
      <c r="F2753" s="89" t="str">
        <v/>
      </c>
      <c r="G2753" s="89" t="str">
        <f ca="1"/>
        <v/>
      </c>
    </row>
    <row r="2754" spans="1:7" x14ac:dyDescent="0.3">
      <c r="A2754" s="89" t="str">
        <v/>
      </c>
      <c r="B2754" s="89">
        <v>0</v>
      </c>
      <c r="C2754" s="90" t="str">
        <v/>
      </c>
      <c r="D2754" s="89" t="str">
        <v/>
      </c>
      <c r="E2754" s="89" t="str">
        <v/>
      </c>
      <c r="F2754" s="89" t="str">
        <v/>
      </c>
      <c r="G2754" s="89" t="str">
        <f ca="1"/>
        <v/>
      </c>
    </row>
    <row r="2755" spans="1:7" x14ac:dyDescent="0.3">
      <c r="A2755" s="89" t="str">
        <v/>
      </c>
      <c r="B2755" s="89">
        <v>0</v>
      </c>
      <c r="C2755" s="90" t="str">
        <v/>
      </c>
      <c r="D2755" s="89" t="str">
        <v/>
      </c>
      <c r="E2755" s="89" t="str">
        <v/>
      </c>
      <c r="F2755" s="89" t="str">
        <v/>
      </c>
      <c r="G2755" s="89" t="str">
        <f ca="1"/>
        <v/>
      </c>
    </row>
    <row r="2756" spans="1:7" x14ac:dyDescent="0.3">
      <c r="A2756" s="89" t="str">
        <v/>
      </c>
      <c r="B2756" s="89">
        <v>0</v>
      </c>
      <c r="C2756" s="90" t="str">
        <v/>
      </c>
      <c r="D2756" s="89" t="str">
        <v/>
      </c>
      <c r="E2756" s="89" t="str">
        <v/>
      </c>
      <c r="F2756" s="89" t="str">
        <v/>
      </c>
      <c r="G2756" s="89" t="str">
        <f ca="1"/>
        <v/>
      </c>
    </row>
    <row r="2757" spans="1:7" x14ac:dyDescent="0.3">
      <c r="A2757" s="89" t="str">
        <v/>
      </c>
      <c r="B2757" s="89">
        <v>0</v>
      </c>
      <c r="C2757" s="90" t="str">
        <v/>
      </c>
      <c r="D2757" s="89" t="str">
        <v/>
      </c>
      <c r="E2757" s="89" t="str">
        <v/>
      </c>
      <c r="F2757" s="89" t="str">
        <v/>
      </c>
      <c r="G2757" s="89" t="str">
        <f ca="1"/>
        <v/>
      </c>
    </row>
    <row r="2758" spans="1:7" x14ac:dyDescent="0.3">
      <c r="A2758" s="89" t="str">
        <v/>
      </c>
      <c r="B2758" s="89">
        <v>0</v>
      </c>
      <c r="C2758" s="90" t="str">
        <v/>
      </c>
      <c r="D2758" s="89" t="str">
        <v/>
      </c>
      <c r="E2758" s="89" t="str">
        <v/>
      </c>
      <c r="F2758" s="89" t="str">
        <v/>
      </c>
      <c r="G2758" s="89" t="str">
        <f ca="1"/>
        <v/>
      </c>
    </row>
    <row r="2759" spans="1:7" x14ac:dyDescent="0.3">
      <c r="A2759" s="89" t="str">
        <v/>
      </c>
      <c r="B2759" s="89">
        <v>0</v>
      </c>
      <c r="C2759" s="90" t="str">
        <v/>
      </c>
      <c r="D2759" s="89" t="str">
        <v/>
      </c>
      <c r="E2759" s="89" t="str">
        <v/>
      </c>
      <c r="F2759" s="89" t="str">
        <v/>
      </c>
      <c r="G2759" s="89" t="str">
        <f ca="1"/>
        <v/>
      </c>
    </row>
    <row r="2760" spans="1:7" x14ac:dyDescent="0.3">
      <c r="A2760" s="89" t="str">
        <v/>
      </c>
      <c r="B2760" s="89">
        <v>0</v>
      </c>
      <c r="C2760" s="90" t="str">
        <v/>
      </c>
      <c r="D2760" s="89" t="str">
        <v/>
      </c>
      <c r="E2760" s="89" t="str">
        <v/>
      </c>
      <c r="F2760" s="89" t="str">
        <v/>
      </c>
      <c r="G2760" s="89" t="str">
        <f ca="1"/>
        <v/>
      </c>
    </row>
    <row r="2761" spans="1:7" x14ac:dyDescent="0.3">
      <c r="A2761" s="89" t="str">
        <v/>
      </c>
      <c r="B2761" s="89">
        <v>0</v>
      </c>
      <c r="C2761" s="90" t="str">
        <v/>
      </c>
      <c r="D2761" s="89" t="str">
        <v/>
      </c>
      <c r="E2761" s="89" t="str">
        <v/>
      </c>
      <c r="F2761" s="89" t="str">
        <v/>
      </c>
      <c r="G2761" s="89" t="str">
        <f ca="1"/>
        <v/>
      </c>
    </row>
    <row r="2762" spans="1:7" x14ac:dyDescent="0.3">
      <c r="A2762" s="89" t="str">
        <v/>
      </c>
      <c r="B2762" s="89" t="str">
        <v>Programa de Aire</v>
      </c>
      <c r="C2762" s="90" t="str">
        <v/>
      </c>
      <c r="D2762" s="89" t="str">
        <v>Evento</v>
      </c>
      <c r="E2762" s="89">
        <v>0</v>
      </c>
      <c r="F2762" s="89" t="str">
        <v/>
      </c>
      <c r="G2762" s="89" t="str">
        <f ca="1"/>
        <v/>
      </c>
    </row>
    <row r="2763" spans="1:7" x14ac:dyDescent="0.3">
      <c r="A2763" s="89" t="str">
        <v/>
      </c>
      <c r="B2763" s="89" t="str">
        <v>Conciencia Ambiental</v>
      </c>
      <c r="C2763" s="90" t="str">
        <v/>
      </c>
      <c r="D2763" s="89" t="str">
        <v>Periódica</v>
      </c>
      <c r="E2763" s="89">
        <v>365</v>
      </c>
      <c r="F2763" s="89" t="str">
        <v/>
      </c>
      <c r="G2763" s="89" t="str">
        <f ca="1"/>
        <v/>
      </c>
    </row>
    <row r="2764" spans="1:7" x14ac:dyDescent="0.3">
      <c r="A2764" s="89" t="str">
        <v/>
      </c>
      <c r="B2764" s="89" t="str">
        <v xml:space="preserve">Control de Documentos e Informacion de HSE </v>
      </c>
      <c r="C2764" s="90" t="str">
        <v/>
      </c>
      <c r="D2764" s="89" t="str">
        <v>Evento</v>
      </c>
      <c r="E2764" s="89">
        <v>0</v>
      </c>
      <c r="F2764" s="89" t="str">
        <v/>
      </c>
      <c r="G2764" s="89" t="str">
        <f ca="1"/>
        <v/>
      </c>
    </row>
    <row r="2765" spans="1:7" x14ac:dyDescent="0.3">
      <c r="A2765" s="89" t="str">
        <v/>
      </c>
      <c r="B2765" s="89" t="str">
        <v xml:space="preserve"> Acciones Correctivas y Preventivas (CAPA)</v>
      </c>
      <c r="C2765" s="90" t="str">
        <v/>
      </c>
      <c r="D2765" s="89" t="str">
        <v>Evento</v>
      </c>
      <c r="E2765" s="89">
        <v>0</v>
      </c>
      <c r="F2765" s="89" t="str">
        <v/>
      </c>
      <c r="G2765" s="89" t="str">
        <f ca="1"/>
        <v/>
      </c>
    </row>
    <row r="2766" spans="1:7" x14ac:dyDescent="0.3">
      <c r="A2766" s="89" t="str">
        <v/>
      </c>
      <c r="B2766" s="89" t="str">
        <v>Seguridad Basada en el Comportamiento (Observation Program) // HSMS.043 / Autoridad de Detener el Trabajo</v>
      </c>
      <c r="C2766" s="90" t="str">
        <v/>
      </c>
      <c r="D2766" s="89" t="str">
        <v>Periódica</v>
      </c>
      <c r="E2766" s="89">
        <v>365</v>
      </c>
      <c r="F2766" s="89" t="str">
        <v/>
      </c>
      <c r="G2766" s="89" t="str">
        <f ca="1"/>
        <v/>
      </c>
    </row>
    <row r="2767" spans="1:7" x14ac:dyDescent="0.3">
      <c r="A2767" s="89" t="str">
        <v/>
      </c>
      <c r="B2767" s="89" t="str">
        <v>Identificacion de Peligros y Evaluacion de Riesgos</v>
      </c>
      <c r="C2767" s="90" t="str">
        <v/>
      </c>
      <c r="D2767" s="89" t="str">
        <v>Evento</v>
      </c>
      <c r="E2767" s="89">
        <v>0</v>
      </c>
      <c r="F2767" s="89" t="str">
        <v/>
      </c>
      <c r="G2767" s="89" t="str">
        <f ca="1"/>
        <v/>
      </c>
    </row>
    <row r="2768" spans="1:7" x14ac:dyDescent="0.3">
      <c r="A2768" s="89" t="str">
        <v/>
      </c>
      <c r="B2768" s="89" t="str">
        <v xml:space="preserve"> Plan de Respuesta ante Eemergencias / HSMS.010 /Primeros Axulios &amp; RCP/DEA / HSMSWT-002 / Patogenos Trasnmitidos por la Sangre</v>
      </c>
      <c r="C2768" s="90" t="str">
        <v/>
      </c>
      <c r="D2768" s="89" t="str">
        <v>Periódica</v>
      </c>
      <c r="E2768" s="89">
        <v>365</v>
      </c>
      <c r="F2768" s="89" t="str">
        <v/>
      </c>
      <c r="G2768" s="89" t="str">
        <f ca="1"/>
        <v/>
      </c>
    </row>
    <row r="2769" spans="1:7" x14ac:dyDescent="0.3">
      <c r="A2769" s="89" t="str">
        <v/>
      </c>
      <c r="B2769" s="89" t="str">
        <v>Reporte y Gestion de Incidentes HSE (Todos)</v>
      </c>
      <c r="C2769" s="90" t="str">
        <v/>
      </c>
      <c r="D2769" s="89" t="str">
        <v>Periódica</v>
      </c>
      <c r="E2769" s="89">
        <v>365</v>
      </c>
      <c r="F2769" s="89" t="str">
        <v/>
      </c>
      <c r="G2769" s="89" t="str">
        <f ca="1"/>
        <v/>
      </c>
    </row>
    <row r="2770" spans="1:7" x14ac:dyDescent="0.3">
      <c r="A2770" s="89" t="str">
        <v/>
      </c>
      <c r="B2770" s="89" t="str">
        <v>Reporte, Gestion e Investigacion de Incidentes HSE (supervisores / investigadores (rol))</v>
      </c>
      <c r="C2770" s="90" t="str">
        <v/>
      </c>
      <c r="D2770" s="89" t="str">
        <v>Periódica</v>
      </c>
      <c r="E2770" s="89">
        <v>1095</v>
      </c>
      <c r="F2770" s="89" t="str">
        <v/>
      </c>
      <c r="G2770" s="89" t="str">
        <f ca="1"/>
        <v/>
      </c>
    </row>
    <row r="2771" spans="1:7" x14ac:dyDescent="0.3">
      <c r="A2771" s="89" t="str">
        <v/>
      </c>
      <c r="B2771" s="89" t="str">
        <v>Gruas y Equipos de Izaje (Todos)</v>
      </c>
      <c r="C2771" s="90" t="str">
        <v/>
      </c>
      <c r="D2771" s="89" t="str">
        <v>Periódica</v>
      </c>
      <c r="E2771" s="89">
        <v>365</v>
      </c>
      <c r="F2771" s="89" t="str">
        <v/>
      </c>
      <c r="G2771" s="89" t="str">
        <f ca="1"/>
        <v/>
      </c>
    </row>
    <row r="2772" spans="1:7" x14ac:dyDescent="0.3">
      <c r="A2772" s="89" t="str">
        <v/>
      </c>
      <c r="B2772" s="89" t="str">
        <v>HSMS.007 / Gruas y Equipos de Izaje (Operadores)</v>
      </c>
      <c r="C2772" s="90" t="str">
        <v/>
      </c>
      <c r="D2772" s="89" t="str">
        <v>Periódica</v>
      </c>
      <c r="E2772" s="89">
        <v>365</v>
      </c>
      <c r="F2772" s="89" t="str">
        <v/>
      </c>
      <c r="G2772" s="89" t="str">
        <f ca="1"/>
        <v/>
      </c>
    </row>
    <row r="2773" spans="1:7" x14ac:dyDescent="0.3">
      <c r="A2773" s="89" t="str">
        <v/>
      </c>
      <c r="B2773" s="89" t="str">
        <v>Proteccion Contra Incendios (Todos)</v>
      </c>
      <c r="C2773" s="90" t="str">
        <v/>
      </c>
      <c r="D2773" s="89" t="str">
        <v>Periódica</v>
      </c>
      <c r="E2773" s="89">
        <v>365</v>
      </c>
      <c r="F2773" s="89" t="str">
        <v/>
      </c>
      <c r="G2773" s="89" t="str">
        <f ca="1"/>
        <v/>
      </c>
    </row>
    <row r="2774" spans="1:7" x14ac:dyDescent="0.3">
      <c r="A2774" s="89" t="str">
        <v/>
      </c>
      <c r="B2774" s="89" t="str">
        <v>Proteccion Contra Incendios (Brigadistas)</v>
      </c>
      <c r="C2774" s="90" t="str">
        <v/>
      </c>
      <c r="D2774" s="89" t="str">
        <v>Periódica</v>
      </c>
      <c r="E2774" s="89">
        <v>365</v>
      </c>
      <c r="F2774" s="89" t="str">
        <v/>
      </c>
      <c r="G2774" s="89" t="str">
        <f ca="1"/>
        <v/>
      </c>
    </row>
    <row r="2775" spans="1:7" x14ac:dyDescent="0.3">
      <c r="A2775" s="89" t="str">
        <v/>
      </c>
      <c r="B2775" s="89" t="str">
        <v>Primeros Auxilios (Brigadistas)</v>
      </c>
      <c r="C2775" s="90" t="str">
        <v/>
      </c>
      <c r="D2775" s="89" t="str">
        <v>Periódica</v>
      </c>
      <c r="E2775" s="89">
        <v>365</v>
      </c>
      <c r="F2775" s="89" t="str">
        <v/>
      </c>
      <c r="G2775" s="89" t="str">
        <f ca="1"/>
        <v/>
      </c>
    </row>
    <row r="2776" spans="1:7" x14ac:dyDescent="0.3">
      <c r="A2776" s="89" t="str">
        <v/>
      </c>
      <c r="B2776" s="89" t="str">
        <v>Seguridad Electrica (Todos)</v>
      </c>
      <c r="C2776" s="90" t="str">
        <v/>
      </c>
      <c r="D2776" s="89" t="str">
        <v>Periódica</v>
      </c>
      <c r="E2776" s="89">
        <v>365</v>
      </c>
      <c r="F2776" s="89" t="str">
        <v/>
      </c>
      <c r="G2776" s="89" t="str">
        <f ca="1"/>
        <v/>
      </c>
    </row>
    <row r="2777" spans="1:7" x14ac:dyDescent="0.3">
      <c r="A2777" s="89" t="str">
        <v/>
      </c>
      <c r="B2777" s="89" t="str">
        <v>Seguridad Electrica (Personal Autorizado)</v>
      </c>
      <c r="C2777" s="90" t="str">
        <v/>
      </c>
      <c r="D2777" s="89" t="str">
        <v>Periódica</v>
      </c>
      <c r="E2777" s="89">
        <v>1095</v>
      </c>
      <c r="F2777" s="89" t="str">
        <v/>
      </c>
      <c r="G2777" s="89" t="str">
        <f ca="1"/>
        <v/>
      </c>
    </row>
    <row r="2778" spans="1:7" x14ac:dyDescent="0.3">
      <c r="A2778" s="89" t="str">
        <v/>
      </c>
      <c r="B2778" s="89" t="str">
        <v>Camiones Industriales Motorizados (PIT) (Todos)</v>
      </c>
      <c r="C2778" s="90" t="str">
        <v/>
      </c>
      <c r="D2778" s="89" t="str">
        <v>Periódica</v>
      </c>
      <c r="E2778" s="89">
        <v>365</v>
      </c>
      <c r="F2778" s="89" t="str">
        <v/>
      </c>
      <c r="G2778" s="89" t="str">
        <f ca="1"/>
        <v/>
      </c>
    </row>
    <row r="2779" spans="1:7" x14ac:dyDescent="0.3">
      <c r="A2779" s="89" t="str">
        <v/>
      </c>
      <c r="B2779" s="89" t="str">
        <v>Camiones Industriales Motorizados (PIT) (Op. Montacargas)</v>
      </c>
      <c r="C2779" s="90" t="str">
        <v/>
      </c>
      <c r="D2779" s="89" t="str">
        <v>Periódica</v>
      </c>
      <c r="E2779" s="89">
        <v>365</v>
      </c>
      <c r="F2779" s="89" t="str">
        <v/>
      </c>
      <c r="G2779" s="89" t="str">
        <f ca="1"/>
        <v/>
      </c>
    </row>
    <row r="2780" spans="1:7" x14ac:dyDescent="0.3">
      <c r="A2780" s="89" t="str">
        <v/>
      </c>
      <c r="B2780" s="89" t="str">
        <v>Control de Energias Peligrosas (LOTO) (Todos)</v>
      </c>
      <c r="C2780" s="90" t="str">
        <v/>
      </c>
      <c r="D2780" s="89" t="str">
        <v>Evento</v>
      </c>
      <c r="E2780" s="89">
        <v>0</v>
      </c>
      <c r="F2780" s="89" t="str">
        <v/>
      </c>
      <c r="G2780" s="89" t="str">
        <f ca="1"/>
        <v/>
      </c>
    </row>
    <row r="2781" spans="1:7" x14ac:dyDescent="0.3">
      <c r="A2781" s="89" t="str">
        <v/>
      </c>
      <c r="B2781" s="89" t="str">
        <v>Control de Energias Peligrosas (LOTO) (Empleados Autorizados)</v>
      </c>
      <c r="C2781" s="90" t="str">
        <v/>
      </c>
      <c r="D2781" s="89" t="str">
        <v>Periódica</v>
      </c>
      <c r="E2781" s="89">
        <v>365</v>
      </c>
      <c r="F2781" s="89" t="str">
        <v/>
      </c>
      <c r="G2781" s="89" t="str">
        <f ca="1"/>
        <v/>
      </c>
    </row>
    <row r="2782" spans="1:7" x14ac:dyDescent="0.3">
      <c r="A2782" s="89" t="str">
        <v/>
      </c>
      <c r="B2782" s="89" t="str">
        <v>Seguridad aplicada al Pozo &amp; Yacimiento</v>
      </c>
      <c r="C2782" s="90" t="str">
        <v/>
      </c>
      <c r="D2782" s="89" t="str">
        <v>Periódica</v>
      </c>
      <c r="E2782" s="89">
        <v>365</v>
      </c>
      <c r="F2782" s="89" t="str">
        <v/>
      </c>
      <c r="G2782" s="89" t="str">
        <f ca="1"/>
        <v/>
      </c>
    </row>
    <row r="2783" spans="1:7" x14ac:dyDescent="0.3">
      <c r="A2783" s="89" t="str">
        <v/>
      </c>
      <c r="B2783" s="89" t="str">
        <v>Las Reglas que Salvan Vidas</v>
      </c>
      <c r="C2783" s="90" t="str">
        <v/>
      </c>
      <c r="D2783" s="89" t="str">
        <v>Periódica</v>
      </c>
      <c r="E2783" s="89">
        <v>365</v>
      </c>
      <c r="F2783" s="89" t="str">
        <v/>
      </c>
      <c r="G2783" s="89" t="str">
        <f ca="1"/>
        <v/>
      </c>
    </row>
    <row r="2784" spans="1:7" x14ac:dyDescent="0.3">
      <c r="A2784" s="89" t="str">
        <v/>
      </c>
      <c r="B2784" s="89" t="str">
        <v xml:space="preserve">Resguardo de Maquinas &amp; Equipos </v>
      </c>
      <c r="C2784" s="90" t="str">
        <v/>
      </c>
      <c r="D2784" s="89" t="str">
        <v>Periódica</v>
      </c>
      <c r="E2784" s="89">
        <v>365</v>
      </c>
      <c r="F2784" s="89" t="str">
        <v/>
      </c>
      <c r="G2784" s="89" t="str">
        <f ca="1"/>
        <v/>
      </c>
    </row>
    <row r="2785" spans="1:7" x14ac:dyDescent="0.3">
      <c r="A2785" s="89" t="str">
        <v/>
      </c>
      <c r="B2785" s="89" t="str">
        <v>Conduccion y Gestion de Viajes (Todos)</v>
      </c>
      <c r="C2785" s="90" t="str">
        <v/>
      </c>
      <c r="D2785" s="89" t="str">
        <v>Periódica</v>
      </c>
      <c r="E2785" s="89">
        <v>730</v>
      </c>
      <c r="F2785" s="89" t="str">
        <v/>
      </c>
      <c r="G2785" s="89" t="str">
        <f ca="1"/>
        <v/>
      </c>
    </row>
    <row r="2786" spans="1:7" x14ac:dyDescent="0.3">
      <c r="A2786" s="89" t="str">
        <v/>
      </c>
      <c r="B2786" s="89" t="str">
        <v>Conduccion y Gestion de Viajes (Conductores)</v>
      </c>
      <c r="C2786" s="90" t="str">
        <v/>
      </c>
      <c r="D2786" s="89" t="str">
        <v>Periódica</v>
      </c>
      <c r="E2786" s="89">
        <v>1095</v>
      </c>
      <c r="F2786" s="89" t="str">
        <v/>
      </c>
      <c r="G2786" s="89" t="str">
        <f ca="1"/>
        <v/>
      </c>
    </row>
    <row r="2787" spans="1:7" x14ac:dyDescent="0.3">
      <c r="A2787" s="89" t="str">
        <v/>
      </c>
      <c r="B2787" s="89" t="str">
        <v>Patogenos Transmitidos por la Sangre</v>
      </c>
      <c r="C2787" s="90" t="str">
        <v/>
      </c>
      <c r="D2787" s="89" t="str">
        <v>Periódica</v>
      </c>
      <c r="E2787" s="89">
        <v>365</v>
      </c>
      <c r="F2787" s="89" t="str">
        <v/>
      </c>
      <c r="G2787" s="89" t="str">
        <f ca="1"/>
        <v/>
      </c>
    </row>
    <row r="2788" spans="1:7" x14ac:dyDescent="0.3">
      <c r="A2788" s="89" t="str">
        <v/>
      </c>
      <c r="B2788" s="89" t="str">
        <v>Conservacion Auditiva</v>
      </c>
      <c r="C2788" s="90" t="str">
        <v/>
      </c>
      <c r="D2788" s="89" t="str">
        <v>Periódica</v>
      </c>
      <c r="E2788" s="89">
        <v>365</v>
      </c>
      <c r="F2788" s="89" t="str">
        <v/>
      </c>
      <c r="G2788" s="89" t="str">
        <f ca="1"/>
        <v/>
      </c>
    </row>
    <row r="2789" spans="1:7" x14ac:dyDescent="0.3">
      <c r="A2789" s="89" t="str">
        <v/>
      </c>
      <c r="B2789" s="89" t="str">
        <v xml:space="preserve">Ergonomia //  / Levantamiento &amp; Seguridad en la Espalda </v>
      </c>
      <c r="C2789" s="90" t="str">
        <v/>
      </c>
      <c r="D2789" s="89" t="str">
        <v>Periódica</v>
      </c>
      <c r="E2789" s="89">
        <v>365</v>
      </c>
      <c r="F2789" s="89" t="str">
        <v/>
      </c>
      <c r="G2789" s="89" t="str">
        <f ca="1"/>
        <v/>
      </c>
    </row>
    <row r="2790" spans="1:7" x14ac:dyDescent="0.3">
      <c r="A2790" s="89" t="str">
        <v/>
      </c>
      <c r="B2790" s="89" t="str">
        <v>Superficies Elevadas (Todos)</v>
      </c>
      <c r="C2790" s="90" t="str">
        <v/>
      </c>
      <c r="D2790" s="89" t="str">
        <v>Periódica</v>
      </c>
      <c r="E2790" s="89">
        <v>365</v>
      </c>
      <c r="F2790" s="89" t="str">
        <v/>
      </c>
      <c r="G2790" s="89" t="str">
        <f ca="1"/>
        <v/>
      </c>
    </row>
    <row r="2791" spans="1:7" x14ac:dyDescent="0.3">
      <c r="A2791" s="89" t="str">
        <v/>
      </c>
      <c r="B2791" s="89" t="str">
        <v>Superficies Elevadas (Personal Habilitado)</v>
      </c>
      <c r="C2791" s="90" t="str">
        <v/>
      </c>
      <c r="D2791" s="89" t="str">
        <v>Periódica</v>
      </c>
      <c r="E2791" s="89">
        <v>365</v>
      </c>
      <c r="F2791" s="89" t="str">
        <v/>
      </c>
      <c r="G2791" s="89" t="str">
        <f ca="1"/>
        <v/>
      </c>
    </row>
    <row r="2792" spans="1:7" x14ac:dyDescent="0.3">
      <c r="A2792" s="89" t="str">
        <v/>
      </c>
      <c r="B2792" s="89" t="str">
        <v>Seguridad Quimica (Todos)</v>
      </c>
      <c r="C2792" s="90" t="str">
        <v/>
      </c>
      <c r="D2792" s="89" t="str">
        <v>Periódica</v>
      </c>
      <c r="E2792" s="89">
        <v>730</v>
      </c>
      <c r="F2792" s="89" t="str">
        <v/>
      </c>
      <c r="G2792" s="89" t="str">
        <f ca="1"/>
        <v/>
      </c>
    </row>
    <row r="2793" spans="1:7" x14ac:dyDescent="0.3">
      <c r="A2793" s="89" t="str">
        <v/>
      </c>
      <c r="B2793" s="89" t="str">
        <v>Seguridad Quimica (Mantenimiento)</v>
      </c>
      <c r="C2793" s="90" t="str">
        <v/>
      </c>
      <c r="D2793" s="89" t="str">
        <v>Periódica</v>
      </c>
      <c r="E2793" s="89">
        <v>365</v>
      </c>
      <c r="F2793" s="89" t="str">
        <v/>
      </c>
      <c r="G2793" s="89" t="str">
        <f ca="1"/>
        <v/>
      </c>
    </row>
    <row r="2794" spans="1:7" x14ac:dyDescent="0.3">
      <c r="A2794" s="89" t="str">
        <v/>
      </c>
      <c r="B2794" s="89" t="str">
        <v>Seguridad Quimica (Contratistas)</v>
      </c>
      <c r="C2794" s="90" t="str">
        <v/>
      </c>
      <c r="D2794" s="89" t="str">
        <v>Periódica</v>
      </c>
      <c r="E2794" s="89">
        <v>365</v>
      </c>
      <c r="F2794" s="89" t="str">
        <v/>
      </c>
      <c r="G2794" s="89" t="str">
        <f ca="1"/>
        <v/>
      </c>
    </row>
    <row r="2795" spans="1:7" x14ac:dyDescent="0.3">
      <c r="A2795" s="89" t="str">
        <v/>
      </c>
      <c r="B2795" s="89" t="str">
        <v>Seguridad para Trabajos en Caliente</v>
      </c>
      <c r="C2795" s="90" t="str">
        <v/>
      </c>
      <c r="D2795" s="89" t="str">
        <v>Periódica</v>
      </c>
      <c r="E2795" s="89">
        <v>365</v>
      </c>
      <c r="F2795" s="89" t="str">
        <v/>
      </c>
      <c r="G2795" s="89" t="str">
        <f ca="1"/>
        <v/>
      </c>
    </row>
    <row r="2796" spans="1:7" x14ac:dyDescent="0.3">
      <c r="A2796" s="89" t="str">
        <v/>
      </c>
      <c r="B2796" s="89" t="str">
        <v>Seguridad con la Radiacion</v>
      </c>
      <c r="C2796" s="90" t="str">
        <v/>
      </c>
      <c r="D2796" s="89" t="str">
        <v>Periódica</v>
      </c>
      <c r="E2796" s="89">
        <v>365</v>
      </c>
      <c r="F2796" s="89" t="str">
        <v/>
      </c>
      <c r="G2796" s="89" t="str">
        <f ca="1"/>
        <v/>
      </c>
    </row>
    <row r="2797" spans="1:7" x14ac:dyDescent="0.3">
      <c r="A2797" s="89" t="str">
        <v/>
      </c>
      <c r="B2797" s="89" t="str">
        <v>Equipo de Proteccion Personal (PPE)</v>
      </c>
      <c r="C2797" s="90" t="str">
        <v/>
      </c>
      <c r="D2797" s="89" t="str">
        <v>Periódica</v>
      </c>
      <c r="E2797" s="89">
        <v>365</v>
      </c>
      <c r="F2797" s="89" t="str">
        <v/>
      </c>
      <c r="G2797" s="89" t="str">
        <f ca="1"/>
        <v/>
      </c>
    </row>
    <row r="2798" spans="1:7" x14ac:dyDescent="0.3">
      <c r="A2798" s="89" t="str">
        <v/>
      </c>
      <c r="B2798" s="89" t="str">
        <v>Proteccion Respiratoria</v>
      </c>
      <c r="C2798" s="90" t="str">
        <v/>
      </c>
      <c r="D2798" s="89" t="str">
        <v>Periódica</v>
      </c>
      <c r="E2798" s="89">
        <v>365</v>
      </c>
      <c r="F2798" s="89" t="str">
        <v/>
      </c>
      <c r="G2798" s="89" t="str">
        <f ca="1"/>
        <v/>
      </c>
    </row>
    <row r="2799" spans="1:7" x14ac:dyDescent="0.3">
      <c r="A2799" s="89" t="str">
        <v/>
      </c>
      <c r="B2799" s="89" t="str">
        <v xml:space="preserve">Seguridad con Escaleras </v>
      </c>
      <c r="C2799" s="90" t="str">
        <v/>
      </c>
      <c r="D2799" s="89" t="str">
        <v>Periódica</v>
      </c>
      <c r="E2799" s="89">
        <v>365</v>
      </c>
      <c r="F2799" s="89" t="str">
        <v/>
      </c>
      <c r="G2799" s="89" t="str">
        <f ca="1"/>
        <v/>
      </c>
    </row>
    <row r="2800" spans="1:7" x14ac:dyDescent="0.3">
      <c r="A2800" s="89" t="str">
        <v/>
      </c>
      <c r="B2800" s="89" t="str">
        <v>Seguridad con Escaleras // Estantes de Almacenamiento</v>
      </c>
      <c r="C2800" s="90" t="str">
        <v/>
      </c>
      <c r="D2800" s="89" t="str">
        <v>Periódica</v>
      </c>
      <c r="E2800" s="89">
        <v>365</v>
      </c>
      <c r="F2800" s="89" t="str">
        <v/>
      </c>
      <c r="G2800" s="89" t="str">
        <f ca="1"/>
        <v/>
      </c>
    </row>
    <row r="2801" spans="1:7" x14ac:dyDescent="0.3">
      <c r="A2801" s="89" t="str">
        <v/>
      </c>
      <c r="B2801" s="89" t="str">
        <v>Responsabilidades del Supervisor</v>
      </c>
      <c r="C2801" s="90" t="str">
        <v/>
      </c>
      <c r="D2801" s="89" t="str">
        <v>Periódica</v>
      </c>
      <c r="E2801" s="89">
        <v>365</v>
      </c>
      <c r="F2801" s="89" t="str">
        <v/>
      </c>
      <c r="G2801" s="89" t="str">
        <f ca="1"/>
        <v/>
      </c>
    </row>
    <row r="2802" spans="1:7" x14ac:dyDescent="0.3">
      <c r="A2802" s="89" t="str">
        <v/>
      </c>
      <c r="B2802" s="89" t="str">
        <v>Espacios Confinados (Todos)</v>
      </c>
      <c r="C2802" s="90" t="str">
        <v/>
      </c>
      <c r="D2802" s="89" t="str">
        <v>Periódica</v>
      </c>
      <c r="E2802" s="89">
        <v>365</v>
      </c>
      <c r="F2802" s="89" t="str">
        <v/>
      </c>
      <c r="G2802" s="89" t="str">
        <f ca="1"/>
        <v/>
      </c>
    </row>
    <row r="2803" spans="1:7" x14ac:dyDescent="0.3">
      <c r="A2803" s="89" t="str">
        <v/>
      </c>
      <c r="B2803" s="89" t="str">
        <v>HSMS.017 / Espacios Confinados (Entrantes)</v>
      </c>
      <c r="C2803" s="90" t="str">
        <v/>
      </c>
      <c r="D2803" s="89" t="str">
        <v>Evento</v>
      </c>
      <c r="E2803" s="89">
        <v>0</v>
      </c>
      <c r="F2803" s="89" t="str">
        <v/>
      </c>
      <c r="G2803" s="89" t="str">
        <f ca="1"/>
        <v/>
      </c>
    </row>
    <row r="2804" spans="1:7" x14ac:dyDescent="0.3">
      <c r="A2804" s="89" t="str">
        <v/>
      </c>
      <c r="B2804" s="89" t="str">
        <v>Programa de Agua (Todos)</v>
      </c>
      <c r="C2804" s="90" t="str">
        <v/>
      </c>
      <c r="D2804" s="89" t="str">
        <v>Evento</v>
      </c>
      <c r="E2804" s="89">
        <v>0</v>
      </c>
      <c r="F2804" s="89" t="str">
        <v/>
      </c>
      <c r="G2804" s="89" t="str">
        <f ca="1"/>
        <v/>
      </c>
    </row>
    <row r="2805" spans="1:7" x14ac:dyDescent="0.3">
      <c r="A2805" s="89" t="str">
        <v/>
      </c>
      <c r="B2805" s="89" t="str">
        <v>Programa de Agua (HSE)</v>
      </c>
      <c r="C2805" s="90" t="str">
        <v/>
      </c>
      <c r="D2805" s="89" t="str">
        <v>Evento</v>
      </c>
      <c r="E2805" s="89">
        <v>0</v>
      </c>
      <c r="F2805" s="89" t="str">
        <v/>
      </c>
      <c r="G2805" s="89" t="str">
        <f ca="1"/>
        <v/>
      </c>
    </row>
    <row r="2806" spans="1:7" x14ac:dyDescent="0.3">
      <c r="A2806" s="89" t="str">
        <v/>
      </c>
      <c r="B2806" s="89" t="str">
        <v>HIV/SIDA y otras enfermedades de transmisión sexual (ETS)</v>
      </c>
      <c r="C2806" s="90" t="str">
        <v/>
      </c>
      <c r="D2806" s="89" t="str">
        <v>Periódica</v>
      </c>
      <c r="E2806" s="89">
        <v>365</v>
      </c>
      <c r="F2806" s="89" t="str">
        <v/>
      </c>
      <c r="G2806" s="89" t="str">
        <f ca="1"/>
        <v/>
      </c>
    </row>
    <row r="2807" spans="1:7" x14ac:dyDescent="0.3">
      <c r="A2807" s="89" t="str">
        <v/>
      </c>
      <c r="B2807" s="89" t="str">
        <v>Drogas de abuso (concientización y prevención)</v>
      </c>
      <c r="C2807" s="90" t="str">
        <v/>
      </c>
      <c r="D2807" s="89" t="str">
        <v>Periódica</v>
      </c>
      <c r="E2807" s="89">
        <v>365</v>
      </c>
      <c r="F2807" s="89" t="str">
        <v/>
      </c>
      <c r="G2807" s="89" t="str">
        <f ca="1"/>
        <v/>
      </c>
    </row>
    <row r="2808" spans="1:7" x14ac:dyDescent="0.3">
      <c r="A2808" s="89" t="str">
        <v/>
      </c>
      <c r="B2808" s="89" t="str">
        <v>Vida saludable (hábitos, autocuidado y bienestar)</v>
      </c>
      <c r="C2808" s="90" t="str">
        <v/>
      </c>
      <c r="D2808" s="89" t="str">
        <v>Periódica</v>
      </c>
      <c r="E2808" s="89">
        <v>365</v>
      </c>
      <c r="F2808" s="89" t="str">
        <v/>
      </c>
      <c r="G2808" s="89" t="str">
        <f ca="1"/>
        <v/>
      </c>
    </row>
    <row r="2809" spans="1:7" x14ac:dyDescent="0.3">
      <c r="A2809" s="89" t="str">
        <v/>
      </c>
      <c r="B2809" s="89" t="str">
        <v>Primeros auxilios y Reanimación Cardio Pulmonar (RCP)</v>
      </c>
      <c r="C2809" s="90" t="str">
        <v/>
      </c>
      <c r="D2809" s="89" t="str">
        <v>Periódica</v>
      </c>
      <c r="E2809" s="89">
        <v>365</v>
      </c>
      <c r="F2809" s="89" t="str">
        <v/>
      </c>
      <c r="G2809" s="89" t="str">
        <f ca="1"/>
        <v/>
      </c>
    </row>
    <row r="2810" spans="1:7" x14ac:dyDescent="0.3">
      <c r="A2810" s="89" t="str">
        <v/>
      </c>
      <c r="B2810" s="89" t="str">
        <v>Prevención cardiovascular (factores de riesgo y señales de alarma)</v>
      </c>
      <c r="C2810" s="90" t="str">
        <v/>
      </c>
      <c r="D2810" s="89" t="str">
        <v>Periódica</v>
      </c>
      <c r="E2810" s="89">
        <v>365</v>
      </c>
      <c r="F2810" s="89" t="str">
        <v/>
      </c>
      <c r="G2810" s="89" t="str">
        <f ca="1"/>
        <v/>
      </c>
    </row>
    <row r="2811" spans="1:7" x14ac:dyDescent="0.3">
      <c r="A2811" s="89" t="str">
        <v/>
      </c>
      <c r="B2811" s="89" t="str">
        <v>Efectos del tabaco sobre la salud</v>
      </c>
      <c r="C2811" s="90" t="str">
        <v/>
      </c>
      <c r="D2811" s="89" t="str">
        <v>Periódica</v>
      </c>
      <c r="E2811" s="89">
        <v>365</v>
      </c>
      <c r="F2811" s="89" t="str">
        <v/>
      </c>
      <c r="G2811" s="89" t="str">
        <f ca="1"/>
        <v/>
      </c>
    </row>
    <row r="2812" spans="1:7" x14ac:dyDescent="0.3">
      <c r="A2812" s="89" t="str">
        <v/>
      </c>
      <c r="B2812" s="89" t="str">
        <v>Cargadora (Op. Montacargas)</v>
      </c>
      <c r="C2812" s="90" t="str">
        <v/>
      </c>
      <c r="D2812" s="89" t="str">
        <v>Periódica</v>
      </c>
      <c r="E2812" s="89">
        <v>365</v>
      </c>
      <c r="F2812" s="89" t="str">
        <v/>
      </c>
      <c r="G2812" s="89" t="str">
        <f ca="1"/>
        <v/>
      </c>
    </row>
    <row r="2813" spans="1:7" x14ac:dyDescent="0.3">
      <c r="A2813" s="89" t="str">
        <v/>
      </c>
      <c r="B2813" s="89">
        <v>0</v>
      </c>
      <c r="C2813" s="90" t="str">
        <v/>
      </c>
      <c r="D2813" s="89" t="str">
        <v/>
      </c>
      <c r="E2813" s="89" t="str">
        <v/>
      </c>
      <c r="F2813" s="89" t="str">
        <v/>
      </c>
      <c r="G2813" s="89" t="str">
        <f ca="1"/>
        <v/>
      </c>
    </row>
    <row r="2814" spans="1:7" x14ac:dyDescent="0.3">
      <c r="A2814" s="89" t="str">
        <v/>
      </c>
      <c r="B2814" s="89">
        <v>0</v>
      </c>
      <c r="C2814" s="90" t="str">
        <v/>
      </c>
      <c r="D2814" s="89" t="str">
        <v/>
      </c>
      <c r="E2814" s="89" t="str">
        <v/>
      </c>
      <c r="F2814" s="89" t="str">
        <v/>
      </c>
      <c r="G2814" s="89" t="str">
        <f ca="1"/>
        <v/>
      </c>
    </row>
    <row r="2815" spans="1:7" x14ac:dyDescent="0.3">
      <c r="A2815" s="89" t="str">
        <v/>
      </c>
      <c r="B2815" s="89">
        <v>0</v>
      </c>
      <c r="C2815" s="90" t="str">
        <v/>
      </c>
      <c r="D2815" s="89" t="str">
        <v/>
      </c>
      <c r="E2815" s="89" t="str">
        <v/>
      </c>
      <c r="F2815" s="89" t="str">
        <v/>
      </c>
      <c r="G2815" s="89" t="str">
        <f ca="1"/>
        <v/>
      </c>
    </row>
    <row r="2816" spans="1:7" x14ac:dyDescent="0.3">
      <c r="A2816" s="89" t="str">
        <v/>
      </c>
      <c r="B2816" s="89">
        <v>0</v>
      </c>
      <c r="C2816" s="90" t="str">
        <v/>
      </c>
      <c r="D2816" s="89" t="str">
        <v/>
      </c>
      <c r="E2816" s="89" t="str">
        <v/>
      </c>
      <c r="F2816" s="89" t="str">
        <v/>
      </c>
      <c r="G2816" s="89" t="str">
        <f ca="1"/>
        <v/>
      </c>
    </row>
    <row r="2817" spans="1:7" x14ac:dyDescent="0.3">
      <c r="A2817" s="89" t="str">
        <v/>
      </c>
      <c r="B2817" s="89">
        <v>0</v>
      </c>
      <c r="C2817" s="90" t="str">
        <v/>
      </c>
      <c r="D2817" s="89" t="str">
        <v/>
      </c>
      <c r="E2817" s="89" t="str">
        <v/>
      </c>
      <c r="F2817" s="89" t="str">
        <v/>
      </c>
      <c r="G2817" s="89" t="str">
        <f ca="1"/>
        <v/>
      </c>
    </row>
    <row r="2818" spans="1:7" x14ac:dyDescent="0.3">
      <c r="A2818" s="89" t="str">
        <v/>
      </c>
      <c r="B2818" s="89">
        <v>0</v>
      </c>
      <c r="C2818" s="90" t="str">
        <v/>
      </c>
      <c r="D2818" s="89" t="str">
        <v/>
      </c>
      <c r="E2818" s="89" t="str">
        <v/>
      </c>
      <c r="F2818" s="89" t="str">
        <v/>
      </c>
      <c r="G2818" s="89" t="str">
        <f ca="1"/>
        <v/>
      </c>
    </row>
    <row r="2819" spans="1:7" x14ac:dyDescent="0.3">
      <c r="A2819" s="89" t="str">
        <v/>
      </c>
      <c r="B2819" s="89">
        <v>0</v>
      </c>
      <c r="C2819" s="90" t="str">
        <v/>
      </c>
      <c r="D2819" s="89" t="str">
        <v/>
      </c>
      <c r="E2819" s="89" t="str">
        <v/>
      </c>
      <c r="F2819" s="89" t="str">
        <v/>
      </c>
      <c r="G2819" s="89" t="str">
        <f ca="1"/>
        <v/>
      </c>
    </row>
    <row r="2820" spans="1:7" x14ac:dyDescent="0.3">
      <c r="A2820" s="89" t="str">
        <v/>
      </c>
      <c r="B2820" s="89">
        <v>0</v>
      </c>
      <c r="C2820" s="90" t="str">
        <v/>
      </c>
      <c r="D2820" s="89" t="str">
        <v/>
      </c>
      <c r="E2820" s="89" t="str">
        <v/>
      </c>
      <c r="F2820" s="89" t="str">
        <v/>
      </c>
      <c r="G2820" s="89" t="str">
        <f ca="1"/>
        <v/>
      </c>
    </row>
    <row r="2821" spans="1:7" x14ac:dyDescent="0.3">
      <c r="A2821" s="89" t="str">
        <v/>
      </c>
      <c r="B2821" s="89">
        <v>0</v>
      </c>
      <c r="C2821" s="90" t="str">
        <v/>
      </c>
      <c r="D2821" s="89" t="str">
        <v/>
      </c>
      <c r="E2821" s="89" t="str">
        <v/>
      </c>
      <c r="F2821" s="89" t="str">
        <v/>
      </c>
      <c r="G2821" s="89" t="str">
        <f ca="1"/>
        <v/>
      </c>
    </row>
    <row r="2822" spans="1:7" x14ac:dyDescent="0.3">
      <c r="A2822" s="89" t="str">
        <v/>
      </c>
      <c r="B2822" s="89" t="str">
        <v>Programa de Aire</v>
      </c>
      <c r="C2822" s="90" t="str">
        <v/>
      </c>
      <c r="D2822" s="89" t="str">
        <v>Evento</v>
      </c>
      <c r="E2822" s="89">
        <v>0</v>
      </c>
      <c r="F2822" s="89" t="str">
        <v/>
      </c>
      <c r="G2822" s="89" t="str">
        <f ca="1"/>
        <v/>
      </c>
    </row>
    <row r="2823" spans="1:7" x14ac:dyDescent="0.3">
      <c r="A2823" s="89" t="str">
        <v/>
      </c>
      <c r="B2823" s="89" t="str">
        <v>Conciencia Ambiental</v>
      </c>
      <c r="C2823" s="90" t="str">
        <v/>
      </c>
      <c r="D2823" s="89" t="str">
        <v>Periódica</v>
      </c>
      <c r="E2823" s="89">
        <v>365</v>
      </c>
      <c r="F2823" s="89" t="str">
        <v/>
      </c>
      <c r="G2823" s="89" t="str">
        <f ca="1"/>
        <v/>
      </c>
    </row>
    <row r="2824" spans="1:7" x14ac:dyDescent="0.3">
      <c r="A2824" s="89" t="str">
        <v/>
      </c>
      <c r="B2824" s="89" t="str">
        <v xml:space="preserve">Control de Documentos e Informacion de HSE </v>
      </c>
      <c r="C2824" s="90" t="str">
        <v/>
      </c>
      <c r="D2824" s="89" t="str">
        <v>Evento</v>
      </c>
      <c r="E2824" s="89">
        <v>0</v>
      </c>
      <c r="F2824" s="89" t="str">
        <v/>
      </c>
      <c r="G2824" s="89" t="str">
        <f ca="1"/>
        <v/>
      </c>
    </row>
    <row r="2825" spans="1:7" x14ac:dyDescent="0.3">
      <c r="A2825" s="89" t="str">
        <v/>
      </c>
      <c r="B2825" s="89" t="str">
        <v xml:space="preserve"> Acciones Correctivas y Preventivas (CAPA)</v>
      </c>
      <c r="C2825" s="90" t="str">
        <v/>
      </c>
      <c r="D2825" s="89" t="str">
        <v>Evento</v>
      </c>
      <c r="E2825" s="89">
        <v>0</v>
      </c>
      <c r="F2825" s="89" t="str">
        <v/>
      </c>
      <c r="G2825" s="89" t="str">
        <f ca="1"/>
        <v/>
      </c>
    </row>
    <row r="2826" spans="1:7" x14ac:dyDescent="0.3">
      <c r="A2826" s="89" t="str">
        <v/>
      </c>
      <c r="B2826" s="89" t="str">
        <v>Seguridad Basada en el Comportamiento (Observation Program) // HSMS.043 / Autoridad de Detener el Trabajo</v>
      </c>
      <c r="C2826" s="90" t="str">
        <v/>
      </c>
      <c r="D2826" s="89" t="str">
        <v>Periódica</v>
      </c>
      <c r="E2826" s="89">
        <v>365</v>
      </c>
      <c r="F2826" s="89" t="str">
        <v/>
      </c>
      <c r="G2826" s="89" t="str">
        <f ca="1"/>
        <v/>
      </c>
    </row>
    <row r="2827" spans="1:7" x14ac:dyDescent="0.3">
      <c r="A2827" s="89" t="str">
        <v/>
      </c>
      <c r="B2827" s="89" t="str">
        <v>Identificacion de Peligros y Evaluacion de Riesgos</v>
      </c>
      <c r="C2827" s="90" t="str">
        <v/>
      </c>
      <c r="D2827" s="89" t="str">
        <v>Evento</v>
      </c>
      <c r="E2827" s="89">
        <v>0</v>
      </c>
      <c r="F2827" s="89" t="str">
        <v/>
      </c>
      <c r="G2827" s="89" t="str">
        <f ca="1"/>
        <v/>
      </c>
    </row>
    <row r="2828" spans="1:7" x14ac:dyDescent="0.3">
      <c r="A2828" s="89" t="str">
        <v/>
      </c>
      <c r="B2828" s="89" t="str">
        <v xml:space="preserve"> Plan de Respuesta ante Eemergencias / HSMS.010 /Primeros Axulios &amp; RCP/DEA / HSMSWT-002 / Patogenos Trasnmitidos por la Sangre</v>
      </c>
      <c r="C2828" s="90" t="str">
        <v/>
      </c>
      <c r="D2828" s="89" t="str">
        <v>Periódica</v>
      </c>
      <c r="E2828" s="89">
        <v>365</v>
      </c>
      <c r="F2828" s="89" t="str">
        <v/>
      </c>
      <c r="G2828" s="89" t="str">
        <f ca="1"/>
        <v/>
      </c>
    </row>
    <row r="2829" spans="1:7" x14ac:dyDescent="0.3">
      <c r="A2829" s="89" t="str">
        <v/>
      </c>
      <c r="B2829" s="89" t="str">
        <v>Reporte y Gestion de Incidentes HSE (Todos)</v>
      </c>
      <c r="C2829" s="90" t="str">
        <v/>
      </c>
      <c r="D2829" s="89" t="str">
        <v>Periódica</v>
      </c>
      <c r="E2829" s="89">
        <v>365</v>
      </c>
      <c r="F2829" s="89" t="str">
        <v/>
      </c>
      <c r="G2829" s="89" t="str">
        <f ca="1"/>
        <v/>
      </c>
    </row>
    <row r="2830" spans="1:7" x14ac:dyDescent="0.3">
      <c r="A2830" s="89" t="str">
        <v/>
      </c>
      <c r="B2830" s="89" t="str">
        <v>Reporte, Gestion e Investigacion de Incidentes HSE (supervisores / investigadores (rol))</v>
      </c>
      <c r="C2830" s="90" t="str">
        <v/>
      </c>
      <c r="D2830" s="89" t="str">
        <v>Periódica</v>
      </c>
      <c r="E2830" s="89">
        <v>1095</v>
      </c>
      <c r="F2830" s="89" t="str">
        <v/>
      </c>
      <c r="G2830" s="89" t="str">
        <f ca="1"/>
        <v/>
      </c>
    </row>
    <row r="2831" spans="1:7" x14ac:dyDescent="0.3">
      <c r="A2831" s="89" t="str">
        <v/>
      </c>
      <c r="B2831" s="89" t="str">
        <v>Gruas y Equipos de Izaje (Todos)</v>
      </c>
      <c r="C2831" s="90" t="str">
        <v/>
      </c>
      <c r="D2831" s="89" t="str">
        <v>Periódica</v>
      </c>
      <c r="E2831" s="89">
        <v>365</v>
      </c>
      <c r="F2831" s="89" t="str">
        <v/>
      </c>
      <c r="G2831" s="89" t="str">
        <f ca="1"/>
        <v/>
      </c>
    </row>
    <row r="2832" spans="1:7" x14ac:dyDescent="0.3">
      <c r="A2832" s="89" t="str">
        <v/>
      </c>
      <c r="B2832" s="89" t="str">
        <v>HSMS.007 / Gruas y Equipos de Izaje (Operadores)</v>
      </c>
      <c r="C2832" s="90" t="str">
        <v/>
      </c>
      <c r="D2832" s="89" t="str">
        <v>Periódica</v>
      </c>
      <c r="E2832" s="89">
        <v>365</v>
      </c>
      <c r="F2832" s="89" t="str">
        <v/>
      </c>
      <c r="G2832" s="89" t="str">
        <f ca="1"/>
        <v/>
      </c>
    </row>
    <row r="2833" spans="1:7" x14ac:dyDescent="0.3">
      <c r="A2833" s="89" t="str">
        <v/>
      </c>
      <c r="B2833" s="89" t="str">
        <v>Proteccion Contra Incendios (Todos)</v>
      </c>
      <c r="C2833" s="90" t="str">
        <v/>
      </c>
      <c r="D2833" s="89" t="str">
        <v>Periódica</v>
      </c>
      <c r="E2833" s="89">
        <v>365</v>
      </c>
      <c r="F2833" s="89" t="str">
        <v/>
      </c>
      <c r="G2833" s="89" t="str">
        <f ca="1"/>
        <v/>
      </c>
    </row>
    <row r="2834" spans="1:7" x14ac:dyDescent="0.3">
      <c r="A2834" s="89" t="str">
        <v/>
      </c>
      <c r="B2834" s="89" t="str">
        <v>Proteccion Contra Incendios (Brigadistas)</v>
      </c>
      <c r="C2834" s="90" t="str">
        <v/>
      </c>
      <c r="D2834" s="89" t="str">
        <v>Periódica</v>
      </c>
      <c r="E2834" s="89">
        <v>365</v>
      </c>
      <c r="F2834" s="89" t="str">
        <v/>
      </c>
      <c r="G2834" s="89" t="str">
        <f ca="1"/>
        <v/>
      </c>
    </row>
    <row r="2835" spans="1:7" x14ac:dyDescent="0.3">
      <c r="A2835" s="89" t="str">
        <v/>
      </c>
      <c r="B2835" s="89" t="str">
        <v>Primeros Auxilios (Brigadistas)</v>
      </c>
      <c r="C2835" s="90" t="str">
        <v/>
      </c>
      <c r="D2835" s="89" t="str">
        <v>Periódica</v>
      </c>
      <c r="E2835" s="89">
        <v>365</v>
      </c>
      <c r="F2835" s="89" t="str">
        <v/>
      </c>
      <c r="G2835" s="89" t="str">
        <f ca="1"/>
        <v/>
      </c>
    </row>
    <row r="2836" spans="1:7" x14ac:dyDescent="0.3">
      <c r="A2836" s="89" t="str">
        <v/>
      </c>
      <c r="B2836" s="89" t="str">
        <v>Seguridad Electrica (Todos)</v>
      </c>
      <c r="C2836" s="90" t="str">
        <v/>
      </c>
      <c r="D2836" s="89" t="str">
        <v>Periódica</v>
      </c>
      <c r="E2836" s="89">
        <v>365</v>
      </c>
      <c r="F2836" s="89" t="str">
        <v/>
      </c>
      <c r="G2836" s="89" t="str">
        <f ca="1"/>
        <v/>
      </c>
    </row>
    <row r="2837" spans="1:7" x14ac:dyDescent="0.3">
      <c r="A2837" s="89" t="str">
        <v/>
      </c>
      <c r="B2837" s="89" t="str">
        <v>Seguridad Electrica (Personal Autorizado)</v>
      </c>
      <c r="C2837" s="90" t="str">
        <v/>
      </c>
      <c r="D2837" s="89" t="str">
        <v>Periódica</v>
      </c>
      <c r="E2837" s="89">
        <v>1095</v>
      </c>
      <c r="F2837" s="89" t="str">
        <v/>
      </c>
      <c r="G2837" s="89" t="str">
        <f ca="1"/>
        <v/>
      </c>
    </row>
    <row r="2838" spans="1:7" x14ac:dyDescent="0.3">
      <c r="A2838" s="89" t="str">
        <v/>
      </c>
      <c r="B2838" s="89" t="str">
        <v>Camiones Industriales Motorizados (PIT) (Todos)</v>
      </c>
      <c r="C2838" s="90" t="str">
        <v/>
      </c>
      <c r="D2838" s="89" t="str">
        <v>Periódica</v>
      </c>
      <c r="E2838" s="89">
        <v>365</v>
      </c>
      <c r="F2838" s="89" t="str">
        <v/>
      </c>
      <c r="G2838" s="89" t="str">
        <f ca="1"/>
        <v/>
      </c>
    </row>
    <row r="2839" spans="1:7" x14ac:dyDescent="0.3">
      <c r="A2839" s="89" t="str">
        <v/>
      </c>
      <c r="B2839" s="89" t="str">
        <v>Camiones Industriales Motorizados (PIT) (Op. Montacargas)</v>
      </c>
      <c r="C2839" s="90" t="str">
        <v/>
      </c>
      <c r="D2839" s="89" t="str">
        <v>Periódica</v>
      </c>
      <c r="E2839" s="89">
        <v>365</v>
      </c>
      <c r="F2839" s="89" t="str">
        <v/>
      </c>
      <c r="G2839" s="89" t="str">
        <f ca="1"/>
        <v/>
      </c>
    </row>
    <row r="2840" spans="1:7" x14ac:dyDescent="0.3">
      <c r="A2840" s="89" t="str">
        <v/>
      </c>
      <c r="B2840" s="89" t="str">
        <v>Control de Energias Peligrosas (LOTO) (Todos)</v>
      </c>
      <c r="C2840" s="90" t="str">
        <v/>
      </c>
      <c r="D2840" s="89" t="str">
        <v>Evento</v>
      </c>
      <c r="E2840" s="89">
        <v>0</v>
      </c>
      <c r="F2840" s="89" t="str">
        <v/>
      </c>
      <c r="G2840" s="89" t="str">
        <f ca="1"/>
        <v/>
      </c>
    </row>
    <row r="2841" spans="1:7" x14ac:dyDescent="0.3">
      <c r="A2841" s="89" t="str">
        <v/>
      </c>
      <c r="B2841" s="89" t="str">
        <v>Control de Energias Peligrosas (LOTO) (Empleados Autorizados)</v>
      </c>
      <c r="C2841" s="90" t="str">
        <v/>
      </c>
      <c r="D2841" s="89" t="str">
        <v>Periódica</v>
      </c>
      <c r="E2841" s="89">
        <v>365</v>
      </c>
      <c r="F2841" s="89" t="str">
        <v/>
      </c>
      <c r="G2841" s="89" t="str">
        <f ca="1"/>
        <v/>
      </c>
    </row>
    <row r="2842" spans="1:7" x14ac:dyDescent="0.3">
      <c r="A2842" s="89" t="str">
        <v/>
      </c>
      <c r="B2842" s="89" t="str">
        <v>Seguridad aplicada al Pozo &amp; Yacimiento</v>
      </c>
      <c r="C2842" s="90" t="str">
        <v/>
      </c>
      <c r="D2842" s="89" t="str">
        <v>Periódica</v>
      </c>
      <c r="E2842" s="89">
        <v>365</v>
      </c>
      <c r="F2842" s="89" t="str">
        <v/>
      </c>
      <c r="G2842" s="89" t="str">
        <f ca="1"/>
        <v/>
      </c>
    </row>
    <row r="2843" spans="1:7" x14ac:dyDescent="0.3">
      <c r="A2843" s="89" t="str">
        <v/>
      </c>
      <c r="B2843" s="89" t="str">
        <v>Las Reglas que Salvan Vidas</v>
      </c>
      <c r="C2843" s="90" t="str">
        <v/>
      </c>
      <c r="D2843" s="89" t="str">
        <v>Periódica</v>
      </c>
      <c r="E2843" s="89">
        <v>365</v>
      </c>
      <c r="F2843" s="89" t="str">
        <v/>
      </c>
      <c r="G2843" s="89" t="str">
        <f ca="1"/>
        <v/>
      </c>
    </row>
    <row r="2844" spans="1:7" x14ac:dyDescent="0.3">
      <c r="A2844" s="89" t="str">
        <v/>
      </c>
      <c r="B2844" s="89" t="str">
        <v xml:space="preserve">Resguardo de Maquinas &amp; Equipos </v>
      </c>
      <c r="C2844" s="90" t="str">
        <v/>
      </c>
      <c r="D2844" s="89" t="str">
        <v>Periódica</v>
      </c>
      <c r="E2844" s="89">
        <v>365</v>
      </c>
      <c r="F2844" s="89" t="str">
        <v/>
      </c>
      <c r="G2844" s="89" t="str">
        <f ca="1"/>
        <v/>
      </c>
    </row>
    <row r="2845" spans="1:7" x14ac:dyDescent="0.3">
      <c r="A2845" s="89" t="str">
        <v/>
      </c>
      <c r="B2845" s="89" t="str">
        <v>Conduccion y Gestion de Viajes (Todos)</v>
      </c>
      <c r="C2845" s="90" t="str">
        <v/>
      </c>
      <c r="D2845" s="89" t="str">
        <v>Periódica</v>
      </c>
      <c r="E2845" s="89">
        <v>730</v>
      </c>
      <c r="F2845" s="89" t="str">
        <v/>
      </c>
      <c r="G2845" s="89" t="str">
        <f ca="1"/>
        <v/>
      </c>
    </row>
    <row r="2846" spans="1:7" x14ac:dyDescent="0.3">
      <c r="A2846" s="89" t="str">
        <v/>
      </c>
      <c r="B2846" s="89" t="str">
        <v>Conduccion y Gestion de Viajes (Conductores)</v>
      </c>
      <c r="C2846" s="90" t="str">
        <v/>
      </c>
      <c r="D2846" s="89" t="str">
        <v>Periódica</v>
      </c>
      <c r="E2846" s="89">
        <v>1095</v>
      </c>
      <c r="F2846" s="89" t="str">
        <v/>
      </c>
      <c r="G2846" s="89" t="str">
        <f ca="1"/>
        <v/>
      </c>
    </row>
    <row r="2847" spans="1:7" x14ac:dyDescent="0.3">
      <c r="A2847" s="89" t="str">
        <v/>
      </c>
      <c r="B2847" s="89" t="str">
        <v>Patogenos Transmitidos por la Sangre</v>
      </c>
      <c r="C2847" s="90" t="str">
        <v/>
      </c>
      <c r="D2847" s="89" t="str">
        <v>Periódica</v>
      </c>
      <c r="E2847" s="89">
        <v>365</v>
      </c>
      <c r="F2847" s="89" t="str">
        <v/>
      </c>
      <c r="G2847" s="89" t="str">
        <f ca="1"/>
        <v/>
      </c>
    </row>
    <row r="2848" spans="1:7" x14ac:dyDescent="0.3">
      <c r="A2848" s="89" t="str">
        <v/>
      </c>
      <c r="B2848" s="89" t="str">
        <v>Conservacion Auditiva</v>
      </c>
      <c r="C2848" s="90" t="str">
        <v/>
      </c>
      <c r="D2848" s="89" t="str">
        <v>Periódica</v>
      </c>
      <c r="E2848" s="89">
        <v>365</v>
      </c>
      <c r="F2848" s="89" t="str">
        <v/>
      </c>
      <c r="G2848" s="89" t="str">
        <f ca="1"/>
        <v/>
      </c>
    </row>
    <row r="2849" spans="1:7" x14ac:dyDescent="0.3">
      <c r="A2849" s="89" t="str">
        <v/>
      </c>
      <c r="B2849" s="89" t="str">
        <v xml:space="preserve">Ergonomia //  / Levantamiento &amp; Seguridad en la Espalda </v>
      </c>
      <c r="C2849" s="90" t="str">
        <v/>
      </c>
      <c r="D2849" s="89" t="str">
        <v>Periódica</v>
      </c>
      <c r="E2849" s="89">
        <v>365</v>
      </c>
      <c r="F2849" s="89" t="str">
        <v/>
      </c>
      <c r="G2849" s="89" t="str">
        <f ca="1"/>
        <v/>
      </c>
    </row>
    <row r="2850" spans="1:7" x14ac:dyDescent="0.3">
      <c r="A2850" s="89" t="str">
        <v/>
      </c>
      <c r="B2850" s="89" t="str">
        <v>Superficies Elevadas (Todos)</v>
      </c>
      <c r="C2850" s="90" t="str">
        <v/>
      </c>
      <c r="D2850" s="89" t="str">
        <v>Periódica</v>
      </c>
      <c r="E2850" s="89">
        <v>365</v>
      </c>
      <c r="F2850" s="89" t="str">
        <v/>
      </c>
      <c r="G2850" s="89" t="str">
        <f ca="1"/>
        <v/>
      </c>
    </row>
    <row r="2851" spans="1:7" x14ac:dyDescent="0.3">
      <c r="A2851" s="89" t="str">
        <v/>
      </c>
      <c r="B2851" s="89" t="str">
        <v>Superficies Elevadas (Personal Habilitado)</v>
      </c>
      <c r="C2851" s="90" t="str">
        <v/>
      </c>
      <c r="D2851" s="89" t="str">
        <v>Periódica</v>
      </c>
      <c r="E2851" s="89">
        <v>365</v>
      </c>
      <c r="F2851" s="89" t="str">
        <v/>
      </c>
      <c r="G2851" s="89" t="str">
        <f ca="1"/>
        <v/>
      </c>
    </row>
    <row r="2852" spans="1:7" x14ac:dyDescent="0.3">
      <c r="A2852" s="89" t="str">
        <v/>
      </c>
      <c r="B2852" s="89" t="str">
        <v>Seguridad Quimica (Todos)</v>
      </c>
      <c r="C2852" s="90" t="str">
        <v/>
      </c>
      <c r="D2852" s="89" t="str">
        <v>Periódica</v>
      </c>
      <c r="E2852" s="89">
        <v>730</v>
      </c>
      <c r="F2852" s="89" t="str">
        <v/>
      </c>
      <c r="G2852" s="89" t="str">
        <f ca="1"/>
        <v/>
      </c>
    </row>
    <row r="2853" spans="1:7" x14ac:dyDescent="0.3">
      <c r="A2853" s="89" t="str">
        <v/>
      </c>
      <c r="B2853" s="89" t="str">
        <v>Seguridad Quimica (Mantenimiento)</v>
      </c>
      <c r="C2853" s="90" t="str">
        <v/>
      </c>
      <c r="D2853" s="89" t="str">
        <v>Periódica</v>
      </c>
      <c r="E2853" s="89">
        <v>365</v>
      </c>
      <c r="F2853" s="89" t="str">
        <v/>
      </c>
      <c r="G2853" s="89" t="str">
        <f ca="1"/>
        <v/>
      </c>
    </row>
    <row r="2854" spans="1:7" x14ac:dyDescent="0.3">
      <c r="A2854" s="89" t="str">
        <v/>
      </c>
      <c r="B2854" s="89" t="str">
        <v>Seguridad Quimica (Contratistas)</v>
      </c>
      <c r="C2854" s="90" t="str">
        <v/>
      </c>
      <c r="D2854" s="89" t="str">
        <v>Periódica</v>
      </c>
      <c r="E2854" s="89">
        <v>365</v>
      </c>
      <c r="F2854" s="89" t="str">
        <v/>
      </c>
      <c r="G2854" s="89" t="str">
        <f ca="1"/>
        <v/>
      </c>
    </row>
    <row r="2855" spans="1:7" x14ac:dyDescent="0.3">
      <c r="A2855" s="89" t="str">
        <v/>
      </c>
      <c r="B2855" s="89" t="str">
        <v>Seguridad para Trabajos en Caliente</v>
      </c>
      <c r="C2855" s="90" t="str">
        <v/>
      </c>
      <c r="D2855" s="89" t="str">
        <v>Periódica</v>
      </c>
      <c r="E2855" s="89">
        <v>365</v>
      </c>
      <c r="F2855" s="89" t="str">
        <v/>
      </c>
      <c r="G2855" s="89" t="str">
        <f ca="1"/>
        <v/>
      </c>
    </row>
    <row r="2856" spans="1:7" x14ac:dyDescent="0.3">
      <c r="A2856" s="89" t="str">
        <v/>
      </c>
      <c r="B2856" s="89" t="str">
        <v>Seguridad con la Radiacion</v>
      </c>
      <c r="C2856" s="90" t="str">
        <v/>
      </c>
      <c r="D2856" s="89" t="str">
        <v>Periódica</v>
      </c>
      <c r="E2856" s="89">
        <v>365</v>
      </c>
      <c r="F2856" s="89" t="str">
        <v/>
      </c>
      <c r="G2856" s="89" t="str">
        <f ca="1"/>
        <v/>
      </c>
    </row>
    <row r="2857" spans="1:7" x14ac:dyDescent="0.3">
      <c r="A2857" s="89" t="str">
        <v/>
      </c>
      <c r="B2857" s="89" t="str">
        <v>Equipo de Proteccion Personal (PPE)</v>
      </c>
      <c r="C2857" s="90" t="str">
        <v/>
      </c>
      <c r="D2857" s="89" t="str">
        <v>Periódica</v>
      </c>
      <c r="E2857" s="89">
        <v>365</v>
      </c>
      <c r="F2857" s="89" t="str">
        <v/>
      </c>
      <c r="G2857" s="89" t="str">
        <f ca="1"/>
        <v/>
      </c>
    </row>
    <row r="2858" spans="1:7" x14ac:dyDescent="0.3">
      <c r="A2858" s="89" t="str">
        <v/>
      </c>
      <c r="B2858" s="89" t="str">
        <v>Proteccion Respiratoria</v>
      </c>
      <c r="C2858" s="90" t="str">
        <v/>
      </c>
      <c r="D2858" s="89" t="str">
        <v>Periódica</v>
      </c>
      <c r="E2858" s="89">
        <v>365</v>
      </c>
      <c r="F2858" s="89" t="str">
        <v/>
      </c>
      <c r="G2858" s="89" t="str">
        <f ca="1"/>
        <v/>
      </c>
    </row>
    <row r="2859" spans="1:7" x14ac:dyDescent="0.3">
      <c r="A2859" s="89" t="str">
        <v/>
      </c>
      <c r="B2859" s="89" t="str">
        <v xml:space="preserve">Seguridad con Escaleras </v>
      </c>
      <c r="C2859" s="90" t="str">
        <v/>
      </c>
      <c r="D2859" s="89" t="str">
        <v>Periódica</v>
      </c>
      <c r="E2859" s="89">
        <v>365</v>
      </c>
      <c r="F2859" s="89" t="str">
        <v/>
      </c>
      <c r="G2859" s="89" t="str">
        <f ca="1"/>
        <v/>
      </c>
    </row>
    <row r="2860" spans="1:7" x14ac:dyDescent="0.3">
      <c r="A2860" s="89" t="str">
        <v/>
      </c>
      <c r="B2860" s="89" t="str">
        <v>Seguridad con Escaleras // Estantes de Almacenamiento</v>
      </c>
      <c r="C2860" s="90" t="str">
        <v/>
      </c>
      <c r="D2860" s="89" t="str">
        <v>Periódica</v>
      </c>
      <c r="E2860" s="89">
        <v>365</v>
      </c>
      <c r="F2860" s="89" t="str">
        <v/>
      </c>
      <c r="G2860" s="89" t="str">
        <f ca="1"/>
        <v/>
      </c>
    </row>
    <row r="2861" spans="1:7" x14ac:dyDescent="0.3">
      <c r="A2861" s="89" t="str">
        <v/>
      </c>
      <c r="B2861" s="89" t="str">
        <v>Responsabilidades del Supervisor</v>
      </c>
      <c r="C2861" s="90" t="str">
        <v/>
      </c>
      <c r="D2861" s="89" t="str">
        <v>Periódica</v>
      </c>
      <c r="E2861" s="89">
        <v>365</v>
      </c>
      <c r="F2861" s="89" t="str">
        <v/>
      </c>
      <c r="G2861" s="89" t="str">
        <f ca="1"/>
        <v/>
      </c>
    </row>
    <row r="2862" spans="1:7" x14ac:dyDescent="0.3">
      <c r="A2862" s="89" t="str">
        <v/>
      </c>
      <c r="B2862" s="89" t="str">
        <v>Espacios Confinados (Todos)</v>
      </c>
      <c r="C2862" s="90" t="str">
        <v/>
      </c>
      <c r="D2862" s="89" t="str">
        <v>Periódica</v>
      </c>
      <c r="E2862" s="89">
        <v>365</v>
      </c>
      <c r="F2862" s="89" t="str">
        <v/>
      </c>
      <c r="G2862" s="89" t="str">
        <f ca="1"/>
        <v/>
      </c>
    </row>
    <row r="2863" spans="1:7" x14ac:dyDescent="0.3">
      <c r="A2863" s="89" t="str">
        <v/>
      </c>
      <c r="B2863" s="89" t="str">
        <v>HSMS.017 / Espacios Confinados (Entrantes)</v>
      </c>
      <c r="C2863" s="90" t="str">
        <v/>
      </c>
      <c r="D2863" s="89" t="str">
        <v>Evento</v>
      </c>
      <c r="E2863" s="89">
        <v>0</v>
      </c>
      <c r="F2863" s="89" t="str">
        <v/>
      </c>
      <c r="G2863" s="89" t="str">
        <f ca="1"/>
        <v/>
      </c>
    </row>
    <row r="2864" spans="1:7" x14ac:dyDescent="0.3">
      <c r="A2864" s="89" t="str">
        <v/>
      </c>
      <c r="B2864" s="89" t="str">
        <v>Programa de Agua (Todos)</v>
      </c>
      <c r="C2864" s="90" t="str">
        <v/>
      </c>
      <c r="D2864" s="89" t="str">
        <v>Evento</v>
      </c>
      <c r="E2864" s="89">
        <v>0</v>
      </c>
      <c r="F2864" s="89" t="str">
        <v/>
      </c>
      <c r="G2864" s="89" t="str">
        <f ca="1"/>
        <v/>
      </c>
    </row>
    <row r="2865" spans="1:7" x14ac:dyDescent="0.3">
      <c r="A2865" s="89" t="str">
        <v/>
      </c>
      <c r="B2865" s="89" t="str">
        <v>Programa de Agua (HSE)</v>
      </c>
      <c r="C2865" s="90" t="str">
        <v/>
      </c>
      <c r="D2865" s="89" t="str">
        <v>Evento</v>
      </c>
      <c r="E2865" s="89">
        <v>0</v>
      </c>
      <c r="F2865" s="89" t="str">
        <v/>
      </c>
      <c r="G2865" s="89" t="str">
        <f ca="1"/>
        <v/>
      </c>
    </row>
    <row r="2866" spans="1:7" x14ac:dyDescent="0.3">
      <c r="A2866" s="89" t="str">
        <v/>
      </c>
      <c r="B2866" s="89" t="str">
        <v>HIV/SIDA y otras enfermedades de transmisión sexual (ETS)</v>
      </c>
      <c r="C2866" s="90" t="str">
        <v/>
      </c>
      <c r="D2866" s="89" t="str">
        <v>Periódica</v>
      </c>
      <c r="E2866" s="89">
        <v>365</v>
      </c>
      <c r="F2866" s="89" t="str">
        <v/>
      </c>
      <c r="G2866" s="89" t="str">
        <f ca="1"/>
        <v/>
      </c>
    </row>
    <row r="2867" spans="1:7" x14ac:dyDescent="0.3">
      <c r="A2867" s="89" t="str">
        <v/>
      </c>
      <c r="B2867" s="89" t="str">
        <v>Drogas de abuso (concientización y prevención)</v>
      </c>
      <c r="C2867" s="90" t="str">
        <v/>
      </c>
      <c r="D2867" s="89" t="str">
        <v>Periódica</v>
      </c>
      <c r="E2867" s="89">
        <v>365</v>
      </c>
      <c r="F2867" s="89" t="str">
        <v/>
      </c>
      <c r="G2867" s="89" t="str">
        <f ca="1"/>
        <v/>
      </c>
    </row>
    <row r="2868" spans="1:7" x14ac:dyDescent="0.3">
      <c r="A2868" s="89" t="str">
        <v/>
      </c>
      <c r="B2868" s="89" t="str">
        <v>Vida saludable (hábitos, autocuidado y bienestar)</v>
      </c>
      <c r="C2868" s="90" t="str">
        <v/>
      </c>
      <c r="D2868" s="89" t="str">
        <v>Periódica</v>
      </c>
      <c r="E2868" s="89">
        <v>365</v>
      </c>
      <c r="F2868" s="89" t="str">
        <v/>
      </c>
      <c r="G2868" s="89" t="str">
        <f ca="1"/>
        <v/>
      </c>
    </row>
    <row r="2869" spans="1:7" x14ac:dyDescent="0.3">
      <c r="A2869" s="89" t="str">
        <v/>
      </c>
      <c r="B2869" s="89" t="str">
        <v>Primeros auxilios y Reanimación Cardio Pulmonar (RCP)</v>
      </c>
      <c r="C2869" s="90" t="str">
        <v/>
      </c>
      <c r="D2869" s="89" t="str">
        <v>Periódica</v>
      </c>
      <c r="E2869" s="89">
        <v>365</v>
      </c>
      <c r="F2869" s="89" t="str">
        <v/>
      </c>
      <c r="G2869" s="89" t="str">
        <f ca="1"/>
        <v/>
      </c>
    </row>
    <row r="2870" spans="1:7" x14ac:dyDescent="0.3">
      <c r="A2870" s="89" t="str">
        <v/>
      </c>
      <c r="B2870" s="89" t="str">
        <v>Prevención cardiovascular (factores de riesgo y señales de alarma)</v>
      </c>
      <c r="C2870" s="90" t="str">
        <v/>
      </c>
      <c r="D2870" s="89" t="str">
        <v>Periódica</v>
      </c>
      <c r="E2870" s="89">
        <v>365</v>
      </c>
      <c r="F2870" s="89" t="str">
        <v/>
      </c>
      <c r="G2870" s="89" t="str">
        <f ca="1"/>
        <v/>
      </c>
    </row>
    <row r="2871" spans="1:7" x14ac:dyDescent="0.3">
      <c r="A2871" s="89" t="str">
        <v/>
      </c>
      <c r="B2871" s="89" t="str">
        <v>Efectos del tabaco sobre la salud</v>
      </c>
      <c r="C2871" s="90" t="str">
        <v/>
      </c>
      <c r="D2871" s="89" t="str">
        <v>Periódica</v>
      </c>
      <c r="E2871" s="89">
        <v>365</v>
      </c>
      <c r="F2871" s="89" t="str">
        <v/>
      </c>
      <c r="G2871" s="89" t="str">
        <f ca="1"/>
        <v/>
      </c>
    </row>
    <row r="2872" spans="1:7" x14ac:dyDescent="0.3">
      <c r="A2872" s="89" t="str">
        <v/>
      </c>
      <c r="B2872" s="89" t="str">
        <v>Cargadora (Op. Montacargas)</v>
      </c>
      <c r="C2872" s="90" t="str">
        <v/>
      </c>
      <c r="D2872" s="89" t="str">
        <v>Periódica</v>
      </c>
      <c r="E2872" s="89">
        <v>365</v>
      </c>
      <c r="F2872" s="89" t="str">
        <v/>
      </c>
      <c r="G2872" s="89" t="str">
        <f ca="1"/>
        <v/>
      </c>
    </row>
    <row r="2873" spans="1:7" x14ac:dyDescent="0.3">
      <c r="A2873" s="89" t="str">
        <v/>
      </c>
      <c r="B2873" s="89">
        <v>0</v>
      </c>
      <c r="C2873" s="90" t="str">
        <v/>
      </c>
      <c r="D2873" s="89" t="str">
        <v/>
      </c>
      <c r="E2873" s="89" t="str">
        <v/>
      </c>
      <c r="F2873" s="89" t="str">
        <v/>
      </c>
      <c r="G2873" s="89" t="str">
        <f ca="1"/>
        <v/>
      </c>
    </row>
    <row r="2874" spans="1:7" x14ac:dyDescent="0.3">
      <c r="A2874" s="89" t="str">
        <v/>
      </c>
      <c r="B2874" s="89">
        <v>0</v>
      </c>
      <c r="C2874" s="90" t="str">
        <v/>
      </c>
      <c r="D2874" s="89" t="str">
        <v/>
      </c>
      <c r="E2874" s="89" t="str">
        <v/>
      </c>
      <c r="F2874" s="89" t="str">
        <v/>
      </c>
      <c r="G2874" s="89" t="str">
        <f ca="1"/>
        <v/>
      </c>
    </row>
    <row r="2875" spans="1:7" x14ac:dyDescent="0.3">
      <c r="A2875" s="89" t="str">
        <v/>
      </c>
      <c r="B2875" s="89">
        <v>0</v>
      </c>
      <c r="C2875" s="90" t="str">
        <v/>
      </c>
      <c r="D2875" s="89" t="str">
        <v/>
      </c>
      <c r="E2875" s="89" t="str">
        <v/>
      </c>
      <c r="F2875" s="89" t="str">
        <v/>
      </c>
      <c r="G2875" s="89" t="str">
        <f ca="1"/>
        <v/>
      </c>
    </row>
    <row r="2876" spans="1:7" x14ac:dyDescent="0.3">
      <c r="A2876" s="89" t="str">
        <v/>
      </c>
      <c r="B2876" s="89">
        <v>0</v>
      </c>
      <c r="C2876" s="90" t="str">
        <v/>
      </c>
      <c r="D2876" s="89" t="str">
        <v/>
      </c>
      <c r="E2876" s="89" t="str">
        <v/>
      </c>
      <c r="F2876" s="89" t="str">
        <v/>
      </c>
      <c r="G2876" s="89" t="str">
        <f ca="1"/>
        <v/>
      </c>
    </row>
    <row r="2877" spans="1:7" x14ac:dyDescent="0.3">
      <c r="A2877" s="89" t="str">
        <v/>
      </c>
      <c r="B2877" s="89">
        <v>0</v>
      </c>
      <c r="C2877" s="90" t="str">
        <v/>
      </c>
      <c r="D2877" s="89" t="str">
        <v/>
      </c>
      <c r="E2877" s="89" t="str">
        <v/>
      </c>
      <c r="F2877" s="89" t="str">
        <v/>
      </c>
      <c r="G2877" s="89" t="str">
        <f ca="1"/>
        <v/>
      </c>
    </row>
    <row r="2878" spans="1:7" x14ac:dyDescent="0.3">
      <c r="A2878" s="89" t="str">
        <v/>
      </c>
      <c r="B2878" s="89">
        <v>0</v>
      </c>
      <c r="C2878" s="90" t="str">
        <v/>
      </c>
      <c r="D2878" s="89" t="str">
        <v/>
      </c>
      <c r="E2878" s="89" t="str">
        <v/>
      </c>
      <c r="F2878" s="89" t="str">
        <v/>
      </c>
      <c r="G2878" s="89" t="str">
        <f ca="1"/>
        <v/>
      </c>
    </row>
    <row r="2879" spans="1:7" x14ac:dyDescent="0.3">
      <c r="A2879" s="89" t="str">
        <v/>
      </c>
      <c r="B2879" s="89">
        <v>0</v>
      </c>
      <c r="C2879" s="90" t="str">
        <v/>
      </c>
      <c r="D2879" s="89" t="str">
        <v/>
      </c>
      <c r="E2879" s="89" t="str">
        <v/>
      </c>
      <c r="F2879" s="89" t="str">
        <v/>
      </c>
      <c r="G2879" s="89" t="str">
        <f ca="1"/>
        <v/>
      </c>
    </row>
    <row r="2880" spans="1:7" x14ac:dyDescent="0.3">
      <c r="A2880" s="89" t="str">
        <v/>
      </c>
      <c r="B2880" s="89">
        <v>0</v>
      </c>
      <c r="C2880" s="90" t="str">
        <v/>
      </c>
      <c r="D2880" s="89" t="str">
        <v/>
      </c>
      <c r="E2880" s="89" t="str">
        <v/>
      </c>
      <c r="F2880" s="89" t="str">
        <v/>
      </c>
      <c r="G2880" s="89" t="str">
        <f ca="1"/>
        <v/>
      </c>
    </row>
    <row r="2881" spans="1:7" x14ac:dyDescent="0.3">
      <c r="A2881" s="89" t="str">
        <v/>
      </c>
      <c r="B2881" s="89">
        <v>0</v>
      </c>
      <c r="C2881" s="90" t="str">
        <v/>
      </c>
      <c r="D2881" s="89" t="str">
        <v/>
      </c>
      <c r="E2881" s="89" t="str">
        <v/>
      </c>
      <c r="F2881" s="89" t="str">
        <v/>
      </c>
      <c r="G2881" s="89" t="str">
        <f ca="1"/>
        <v/>
      </c>
    </row>
    <row r="2882" spans="1:7" x14ac:dyDescent="0.3">
      <c r="A2882" s="89" t="str">
        <v/>
      </c>
      <c r="B2882" s="89" t="str">
        <v>Programa de Aire</v>
      </c>
      <c r="C2882" s="90" t="str">
        <v/>
      </c>
      <c r="D2882" s="89" t="str">
        <v>Evento</v>
      </c>
      <c r="E2882" s="89">
        <v>0</v>
      </c>
      <c r="F2882" s="89" t="str">
        <v/>
      </c>
      <c r="G2882" s="89" t="str">
        <f ca="1"/>
        <v/>
      </c>
    </row>
    <row r="2883" spans="1:7" x14ac:dyDescent="0.3">
      <c r="A2883" s="89" t="str">
        <v/>
      </c>
      <c r="B2883" s="89" t="str">
        <v>Conciencia Ambiental</v>
      </c>
      <c r="C2883" s="90" t="str">
        <v/>
      </c>
      <c r="D2883" s="89" t="str">
        <v>Periódica</v>
      </c>
      <c r="E2883" s="89">
        <v>365</v>
      </c>
      <c r="F2883" s="89" t="str">
        <v/>
      </c>
      <c r="G2883" s="89" t="str">
        <f ca="1"/>
        <v/>
      </c>
    </row>
    <row r="2884" spans="1:7" x14ac:dyDescent="0.3">
      <c r="A2884" s="89" t="str">
        <v/>
      </c>
      <c r="B2884" s="89" t="str">
        <v xml:space="preserve">Control de Documentos e Informacion de HSE </v>
      </c>
      <c r="C2884" s="90" t="str">
        <v/>
      </c>
      <c r="D2884" s="89" t="str">
        <v>Evento</v>
      </c>
      <c r="E2884" s="89">
        <v>0</v>
      </c>
      <c r="F2884" s="89" t="str">
        <v/>
      </c>
      <c r="G2884" s="89" t="str">
        <f ca="1"/>
        <v/>
      </c>
    </row>
    <row r="2885" spans="1:7" x14ac:dyDescent="0.3">
      <c r="A2885" s="89" t="str">
        <v/>
      </c>
      <c r="B2885" s="89" t="str">
        <v xml:space="preserve"> Acciones Correctivas y Preventivas (CAPA)</v>
      </c>
      <c r="C2885" s="90" t="str">
        <v/>
      </c>
      <c r="D2885" s="89" t="str">
        <v>Evento</v>
      </c>
      <c r="E2885" s="89">
        <v>0</v>
      </c>
      <c r="F2885" s="89" t="str">
        <v/>
      </c>
      <c r="G2885" s="89" t="str">
        <f ca="1"/>
        <v/>
      </c>
    </row>
    <row r="2886" spans="1:7" x14ac:dyDescent="0.3">
      <c r="A2886" s="89" t="str">
        <v/>
      </c>
      <c r="B2886" s="89" t="str">
        <v>Seguridad Basada en el Comportamiento (Observation Program) // HSMS.043 / Autoridad de Detener el Trabajo</v>
      </c>
      <c r="C2886" s="90" t="str">
        <v/>
      </c>
      <c r="D2886" s="89" t="str">
        <v>Periódica</v>
      </c>
      <c r="E2886" s="89">
        <v>365</v>
      </c>
      <c r="F2886" s="89" t="str">
        <v/>
      </c>
      <c r="G2886" s="89" t="str">
        <f ca="1"/>
        <v/>
      </c>
    </row>
    <row r="2887" spans="1:7" x14ac:dyDescent="0.3">
      <c r="A2887" s="89" t="str">
        <v/>
      </c>
      <c r="B2887" s="89" t="str">
        <v>Identificacion de Peligros y Evaluacion de Riesgos</v>
      </c>
      <c r="C2887" s="90" t="str">
        <v/>
      </c>
      <c r="D2887" s="89" t="str">
        <v>Evento</v>
      </c>
      <c r="E2887" s="89">
        <v>0</v>
      </c>
      <c r="F2887" s="89" t="str">
        <v/>
      </c>
      <c r="G2887" s="89" t="str">
        <f ca="1"/>
        <v/>
      </c>
    </row>
    <row r="2888" spans="1:7" x14ac:dyDescent="0.3">
      <c r="A2888" s="89" t="str">
        <v/>
      </c>
      <c r="B2888" s="89" t="str">
        <v xml:space="preserve"> Plan de Respuesta ante Eemergencias / HSMS.010 /Primeros Axulios &amp; RCP/DEA / HSMSWT-002 / Patogenos Trasnmitidos por la Sangre</v>
      </c>
      <c r="C2888" s="90" t="str">
        <v/>
      </c>
      <c r="D2888" s="89" t="str">
        <v>Periódica</v>
      </c>
      <c r="E2888" s="89">
        <v>365</v>
      </c>
      <c r="F2888" s="89" t="str">
        <v/>
      </c>
      <c r="G2888" s="89" t="str">
        <f ca="1"/>
        <v/>
      </c>
    </row>
    <row r="2889" spans="1:7" x14ac:dyDescent="0.3">
      <c r="A2889" s="89" t="str">
        <v/>
      </c>
      <c r="B2889" s="89" t="str">
        <v>Reporte y Gestion de Incidentes HSE (Todos)</v>
      </c>
      <c r="C2889" s="90" t="str">
        <v/>
      </c>
      <c r="D2889" s="89" t="str">
        <v>Periódica</v>
      </c>
      <c r="E2889" s="89">
        <v>365</v>
      </c>
      <c r="F2889" s="89" t="str">
        <v/>
      </c>
      <c r="G2889" s="89" t="str">
        <f ca="1"/>
        <v/>
      </c>
    </row>
    <row r="2890" spans="1:7" x14ac:dyDescent="0.3">
      <c r="A2890" s="89" t="str">
        <v/>
      </c>
      <c r="B2890" s="89" t="str">
        <v>Reporte, Gestion e Investigacion de Incidentes HSE (supervisores / investigadores (rol))</v>
      </c>
      <c r="C2890" s="90" t="str">
        <v/>
      </c>
      <c r="D2890" s="89" t="str">
        <v>Periódica</v>
      </c>
      <c r="E2890" s="89">
        <v>1095</v>
      </c>
      <c r="F2890" s="89" t="str">
        <v/>
      </c>
      <c r="G2890" s="89" t="str">
        <f ca="1"/>
        <v/>
      </c>
    </row>
    <row r="2891" spans="1:7" x14ac:dyDescent="0.3">
      <c r="A2891" s="89" t="str">
        <v/>
      </c>
      <c r="B2891" s="89" t="str">
        <v>Gruas y Equipos de Izaje (Todos)</v>
      </c>
      <c r="C2891" s="90" t="str">
        <v/>
      </c>
      <c r="D2891" s="89" t="str">
        <v>Periódica</v>
      </c>
      <c r="E2891" s="89">
        <v>365</v>
      </c>
      <c r="F2891" s="89" t="str">
        <v/>
      </c>
      <c r="G2891" s="89" t="str">
        <f ca="1"/>
        <v/>
      </c>
    </row>
    <row r="2892" spans="1:7" x14ac:dyDescent="0.3">
      <c r="A2892" s="89" t="str">
        <v/>
      </c>
      <c r="B2892" s="89" t="str">
        <v>HSMS.007 / Gruas y Equipos de Izaje (Operadores)</v>
      </c>
      <c r="C2892" s="90" t="str">
        <v/>
      </c>
      <c r="D2892" s="89" t="str">
        <v>Periódica</v>
      </c>
      <c r="E2892" s="89">
        <v>365</v>
      </c>
      <c r="F2892" s="89" t="str">
        <v/>
      </c>
      <c r="G2892" s="89" t="str">
        <f ca="1"/>
        <v/>
      </c>
    </row>
    <row r="2893" spans="1:7" x14ac:dyDescent="0.3">
      <c r="A2893" s="89" t="str">
        <v/>
      </c>
      <c r="B2893" s="89" t="str">
        <v>Proteccion Contra Incendios (Todos)</v>
      </c>
      <c r="C2893" s="90" t="str">
        <v/>
      </c>
      <c r="D2893" s="89" t="str">
        <v>Periódica</v>
      </c>
      <c r="E2893" s="89">
        <v>365</v>
      </c>
      <c r="F2893" s="89" t="str">
        <v/>
      </c>
      <c r="G2893" s="89" t="str">
        <f ca="1"/>
        <v/>
      </c>
    </row>
    <row r="2894" spans="1:7" x14ac:dyDescent="0.3">
      <c r="A2894" s="89" t="str">
        <v/>
      </c>
      <c r="B2894" s="89" t="str">
        <v>Proteccion Contra Incendios (Brigadistas)</v>
      </c>
      <c r="C2894" s="90" t="str">
        <v/>
      </c>
      <c r="D2894" s="89" t="str">
        <v>Periódica</v>
      </c>
      <c r="E2894" s="89">
        <v>365</v>
      </c>
      <c r="F2894" s="89" t="str">
        <v/>
      </c>
      <c r="G2894" s="89" t="str">
        <f ca="1"/>
        <v/>
      </c>
    </row>
    <row r="2895" spans="1:7" x14ac:dyDescent="0.3">
      <c r="A2895" s="89" t="str">
        <v/>
      </c>
      <c r="B2895" s="89" t="str">
        <v>Primeros Auxilios (Brigadistas)</v>
      </c>
      <c r="C2895" s="90" t="str">
        <v/>
      </c>
      <c r="D2895" s="89" t="str">
        <v>Periódica</v>
      </c>
      <c r="E2895" s="89">
        <v>365</v>
      </c>
      <c r="F2895" s="89" t="str">
        <v/>
      </c>
      <c r="G2895" s="89" t="str">
        <f ca="1"/>
        <v/>
      </c>
    </row>
    <row r="2896" spans="1:7" x14ac:dyDescent="0.3">
      <c r="A2896" s="89" t="str">
        <v/>
      </c>
      <c r="B2896" s="89" t="str">
        <v>Seguridad Electrica (Todos)</v>
      </c>
      <c r="C2896" s="90" t="str">
        <v/>
      </c>
      <c r="D2896" s="89" t="str">
        <v>Periódica</v>
      </c>
      <c r="E2896" s="89">
        <v>365</v>
      </c>
      <c r="F2896" s="89" t="str">
        <v/>
      </c>
      <c r="G2896" s="89" t="str">
        <f ca="1"/>
        <v/>
      </c>
    </row>
    <row r="2897" spans="1:7" x14ac:dyDescent="0.3">
      <c r="A2897" s="89" t="str">
        <v/>
      </c>
      <c r="B2897" s="89" t="str">
        <v>Seguridad Electrica (Personal Autorizado)</v>
      </c>
      <c r="C2897" s="90" t="str">
        <v/>
      </c>
      <c r="D2897" s="89" t="str">
        <v>Periódica</v>
      </c>
      <c r="E2897" s="89">
        <v>1095</v>
      </c>
      <c r="F2897" s="89" t="str">
        <v/>
      </c>
      <c r="G2897" s="89" t="str">
        <f ca="1"/>
        <v/>
      </c>
    </row>
    <row r="2898" spans="1:7" x14ac:dyDescent="0.3">
      <c r="A2898" s="89" t="str">
        <v/>
      </c>
      <c r="B2898" s="89" t="str">
        <v>Camiones Industriales Motorizados (PIT) (Todos)</v>
      </c>
      <c r="C2898" s="90" t="str">
        <v/>
      </c>
      <c r="D2898" s="89" t="str">
        <v>Periódica</v>
      </c>
      <c r="E2898" s="89">
        <v>365</v>
      </c>
      <c r="F2898" s="89" t="str">
        <v/>
      </c>
      <c r="G2898" s="89" t="str">
        <f ca="1"/>
        <v/>
      </c>
    </row>
    <row r="2899" spans="1:7" x14ac:dyDescent="0.3">
      <c r="A2899" s="89" t="str">
        <v/>
      </c>
      <c r="B2899" s="89" t="str">
        <v>Camiones Industriales Motorizados (PIT) (Op. Montacargas)</v>
      </c>
      <c r="C2899" s="90" t="str">
        <v/>
      </c>
      <c r="D2899" s="89" t="str">
        <v>Periódica</v>
      </c>
      <c r="E2899" s="89">
        <v>365</v>
      </c>
      <c r="F2899" s="89" t="str">
        <v/>
      </c>
      <c r="G2899" s="89" t="str">
        <f ca="1"/>
        <v/>
      </c>
    </row>
    <row r="2900" spans="1:7" x14ac:dyDescent="0.3">
      <c r="A2900" s="89" t="str">
        <v/>
      </c>
      <c r="B2900" s="89" t="str">
        <v>Control de Energias Peligrosas (LOTO) (Todos)</v>
      </c>
      <c r="C2900" s="90" t="str">
        <v/>
      </c>
      <c r="D2900" s="89" t="str">
        <v>Evento</v>
      </c>
      <c r="E2900" s="89">
        <v>0</v>
      </c>
      <c r="F2900" s="89" t="str">
        <v/>
      </c>
      <c r="G2900" s="89" t="str">
        <f ca="1"/>
        <v/>
      </c>
    </row>
    <row r="2901" spans="1:7" x14ac:dyDescent="0.3">
      <c r="A2901" s="89" t="str">
        <v/>
      </c>
      <c r="B2901" s="89" t="str">
        <v>Control de Energias Peligrosas (LOTO) (Empleados Autorizados)</v>
      </c>
      <c r="C2901" s="90" t="str">
        <v/>
      </c>
      <c r="D2901" s="89" t="str">
        <v>Periódica</v>
      </c>
      <c r="E2901" s="89">
        <v>365</v>
      </c>
      <c r="F2901" s="89" t="str">
        <v/>
      </c>
      <c r="G2901" s="89" t="str">
        <f ca="1"/>
        <v/>
      </c>
    </row>
    <row r="2902" spans="1:7" x14ac:dyDescent="0.3">
      <c r="A2902" s="89" t="str">
        <v/>
      </c>
      <c r="B2902" s="89" t="str">
        <v>Seguridad aplicada al Pozo &amp; Yacimiento</v>
      </c>
      <c r="C2902" s="90" t="str">
        <v/>
      </c>
      <c r="D2902" s="89" t="str">
        <v>Periódica</v>
      </c>
      <c r="E2902" s="89">
        <v>365</v>
      </c>
      <c r="F2902" s="89" t="str">
        <v/>
      </c>
      <c r="G2902" s="89" t="str">
        <f ca="1"/>
        <v/>
      </c>
    </row>
    <row r="2903" spans="1:7" x14ac:dyDescent="0.3">
      <c r="A2903" s="89" t="str">
        <v/>
      </c>
      <c r="B2903" s="89" t="str">
        <v>Las Reglas que Salvan Vidas</v>
      </c>
      <c r="C2903" s="90" t="str">
        <v/>
      </c>
      <c r="D2903" s="89" t="str">
        <v>Periódica</v>
      </c>
      <c r="E2903" s="89">
        <v>365</v>
      </c>
      <c r="F2903" s="89" t="str">
        <v/>
      </c>
      <c r="G2903" s="89" t="str">
        <f ca="1"/>
        <v/>
      </c>
    </row>
    <row r="2904" spans="1:7" x14ac:dyDescent="0.3">
      <c r="A2904" s="89" t="str">
        <v/>
      </c>
      <c r="B2904" s="89" t="str">
        <v xml:space="preserve">Resguardo de Maquinas &amp; Equipos </v>
      </c>
      <c r="C2904" s="90" t="str">
        <v/>
      </c>
      <c r="D2904" s="89" t="str">
        <v>Periódica</v>
      </c>
      <c r="E2904" s="89">
        <v>365</v>
      </c>
      <c r="F2904" s="89" t="str">
        <v/>
      </c>
      <c r="G2904" s="89" t="str">
        <f ca="1"/>
        <v/>
      </c>
    </row>
    <row r="2905" spans="1:7" x14ac:dyDescent="0.3">
      <c r="A2905" s="89" t="str">
        <v/>
      </c>
      <c r="B2905" s="89" t="str">
        <v>Conduccion y Gestion de Viajes (Todos)</v>
      </c>
      <c r="C2905" s="90" t="str">
        <v/>
      </c>
      <c r="D2905" s="89" t="str">
        <v>Periódica</v>
      </c>
      <c r="E2905" s="89">
        <v>730</v>
      </c>
      <c r="F2905" s="89" t="str">
        <v/>
      </c>
      <c r="G2905" s="89" t="str">
        <f ca="1"/>
        <v/>
      </c>
    </row>
    <row r="2906" spans="1:7" x14ac:dyDescent="0.3">
      <c r="A2906" s="89" t="str">
        <v/>
      </c>
      <c r="B2906" s="89" t="str">
        <v>Conduccion y Gestion de Viajes (Conductores)</v>
      </c>
      <c r="C2906" s="90" t="str">
        <v/>
      </c>
      <c r="D2906" s="89" t="str">
        <v>Periódica</v>
      </c>
      <c r="E2906" s="89">
        <v>1095</v>
      </c>
      <c r="F2906" s="89" t="str">
        <v/>
      </c>
      <c r="G2906" s="89" t="str">
        <f ca="1"/>
        <v/>
      </c>
    </row>
    <row r="2907" spans="1:7" x14ac:dyDescent="0.3">
      <c r="A2907" s="89" t="str">
        <v/>
      </c>
      <c r="B2907" s="89" t="str">
        <v>Patogenos Transmitidos por la Sangre</v>
      </c>
      <c r="C2907" s="90" t="str">
        <v/>
      </c>
      <c r="D2907" s="89" t="str">
        <v>Periódica</v>
      </c>
      <c r="E2907" s="89">
        <v>365</v>
      </c>
      <c r="F2907" s="89" t="str">
        <v/>
      </c>
      <c r="G2907" s="89" t="str">
        <f ca="1"/>
        <v/>
      </c>
    </row>
    <row r="2908" spans="1:7" x14ac:dyDescent="0.3">
      <c r="A2908" s="89" t="str">
        <v/>
      </c>
      <c r="B2908" s="89" t="str">
        <v>Conservacion Auditiva</v>
      </c>
      <c r="C2908" s="90" t="str">
        <v/>
      </c>
      <c r="D2908" s="89" t="str">
        <v>Periódica</v>
      </c>
      <c r="E2908" s="89">
        <v>365</v>
      </c>
      <c r="F2908" s="89" t="str">
        <v/>
      </c>
      <c r="G2908" s="89" t="str">
        <f ca="1"/>
        <v/>
      </c>
    </row>
    <row r="2909" spans="1:7" x14ac:dyDescent="0.3">
      <c r="A2909" s="89" t="str">
        <v/>
      </c>
      <c r="B2909" s="89" t="str">
        <v xml:space="preserve">Ergonomia //  / Levantamiento &amp; Seguridad en la Espalda </v>
      </c>
      <c r="C2909" s="90" t="str">
        <v/>
      </c>
      <c r="D2909" s="89" t="str">
        <v>Periódica</v>
      </c>
      <c r="E2909" s="89">
        <v>365</v>
      </c>
      <c r="F2909" s="89" t="str">
        <v/>
      </c>
      <c r="G2909" s="89" t="str">
        <f ca="1"/>
        <v/>
      </c>
    </row>
    <row r="2910" spans="1:7" x14ac:dyDescent="0.3">
      <c r="A2910" s="89" t="str">
        <v/>
      </c>
      <c r="B2910" s="89" t="str">
        <v>Superficies Elevadas (Todos)</v>
      </c>
      <c r="C2910" s="90" t="str">
        <v/>
      </c>
      <c r="D2910" s="89" t="str">
        <v>Periódica</v>
      </c>
      <c r="E2910" s="89">
        <v>365</v>
      </c>
      <c r="F2910" s="89" t="str">
        <v/>
      </c>
      <c r="G2910" s="89" t="str">
        <f ca="1"/>
        <v/>
      </c>
    </row>
    <row r="2911" spans="1:7" x14ac:dyDescent="0.3">
      <c r="A2911" s="89" t="str">
        <v/>
      </c>
      <c r="B2911" s="89" t="str">
        <v>Superficies Elevadas (Personal Habilitado)</v>
      </c>
      <c r="C2911" s="90" t="str">
        <v/>
      </c>
      <c r="D2911" s="89" t="str">
        <v>Periódica</v>
      </c>
      <c r="E2911" s="89">
        <v>365</v>
      </c>
      <c r="F2911" s="89" t="str">
        <v/>
      </c>
      <c r="G2911" s="89" t="str">
        <f ca="1"/>
        <v/>
      </c>
    </row>
    <row r="2912" spans="1:7" x14ac:dyDescent="0.3">
      <c r="A2912" s="89" t="str">
        <v/>
      </c>
      <c r="B2912" s="89" t="str">
        <v>Seguridad Quimica (Todos)</v>
      </c>
      <c r="C2912" s="90" t="str">
        <v/>
      </c>
      <c r="D2912" s="89" t="str">
        <v>Periódica</v>
      </c>
      <c r="E2912" s="89">
        <v>730</v>
      </c>
      <c r="F2912" s="89" t="str">
        <v/>
      </c>
      <c r="G2912" s="89" t="str">
        <f ca="1"/>
        <v/>
      </c>
    </row>
    <row r="2913" spans="1:7" x14ac:dyDescent="0.3">
      <c r="A2913" s="89" t="str">
        <v/>
      </c>
      <c r="B2913" s="89" t="str">
        <v>Seguridad Quimica (Mantenimiento)</v>
      </c>
      <c r="C2913" s="90" t="str">
        <v/>
      </c>
      <c r="D2913" s="89" t="str">
        <v>Periódica</v>
      </c>
      <c r="E2913" s="89">
        <v>365</v>
      </c>
      <c r="F2913" s="89" t="str">
        <v/>
      </c>
      <c r="G2913" s="89" t="str">
        <f ca="1"/>
        <v/>
      </c>
    </row>
    <row r="2914" spans="1:7" x14ac:dyDescent="0.3">
      <c r="A2914" s="89" t="str">
        <v/>
      </c>
      <c r="B2914" s="89" t="str">
        <v>Seguridad Quimica (Contratistas)</v>
      </c>
      <c r="C2914" s="90" t="str">
        <v/>
      </c>
      <c r="D2914" s="89" t="str">
        <v>Periódica</v>
      </c>
      <c r="E2914" s="89">
        <v>365</v>
      </c>
      <c r="F2914" s="89" t="str">
        <v/>
      </c>
      <c r="G2914" s="89" t="str">
        <f ca="1"/>
        <v/>
      </c>
    </row>
    <row r="2915" spans="1:7" x14ac:dyDescent="0.3">
      <c r="A2915" s="89" t="str">
        <v/>
      </c>
      <c r="B2915" s="89" t="str">
        <v>Seguridad para Trabajos en Caliente</v>
      </c>
      <c r="C2915" s="90" t="str">
        <v/>
      </c>
      <c r="D2915" s="89" t="str">
        <v>Periódica</v>
      </c>
      <c r="E2915" s="89">
        <v>365</v>
      </c>
      <c r="F2915" s="89" t="str">
        <v/>
      </c>
      <c r="G2915" s="89" t="str">
        <f ca="1"/>
        <v/>
      </c>
    </row>
    <row r="2916" spans="1:7" x14ac:dyDescent="0.3">
      <c r="A2916" s="89" t="str">
        <v/>
      </c>
      <c r="B2916" s="89" t="str">
        <v>Seguridad con la Radiacion</v>
      </c>
      <c r="C2916" s="90" t="str">
        <v/>
      </c>
      <c r="D2916" s="89" t="str">
        <v>Periódica</v>
      </c>
      <c r="E2916" s="89">
        <v>365</v>
      </c>
      <c r="F2916" s="89" t="str">
        <v/>
      </c>
      <c r="G2916" s="89" t="str">
        <f ca="1"/>
        <v/>
      </c>
    </row>
    <row r="2917" spans="1:7" x14ac:dyDescent="0.3">
      <c r="A2917" s="89" t="str">
        <v/>
      </c>
      <c r="B2917" s="89" t="str">
        <v>Equipo de Proteccion Personal (PPE)</v>
      </c>
      <c r="C2917" s="90" t="str">
        <v/>
      </c>
      <c r="D2917" s="89" t="str">
        <v>Periódica</v>
      </c>
      <c r="E2917" s="89">
        <v>365</v>
      </c>
      <c r="F2917" s="89" t="str">
        <v/>
      </c>
      <c r="G2917" s="89" t="str">
        <f ca="1"/>
        <v/>
      </c>
    </row>
    <row r="2918" spans="1:7" x14ac:dyDescent="0.3">
      <c r="A2918" s="89" t="str">
        <v/>
      </c>
      <c r="B2918" s="89" t="str">
        <v>Proteccion Respiratoria</v>
      </c>
      <c r="C2918" s="90" t="str">
        <v/>
      </c>
      <c r="D2918" s="89" t="str">
        <v>Periódica</v>
      </c>
      <c r="E2918" s="89">
        <v>365</v>
      </c>
      <c r="F2918" s="89" t="str">
        <v/>
      </c>
      <c r="G2918" s="89" t="str">
        <f ca="1"/>
        <v/>
      </c>
    </row>
    <row r="2919" spans="1:7" x14ac:dyDescent="0.3">
      <c r="A2919" s="89" t="str">
        <v/>
      </c>
      <c r="B2919" s="89" t="str">
        <v xml:space="preserve">Seguridad con Escaleras </v>
      </c>
      <c r="C2919" s="90" t="str">
        <v/>
      </c>
      <c r="D2919" s="89" t="str">
        <v>Periódica</v>
      </c>
      <c r="E2919" s="89">
        <v>365</v>
      </c>
      <c r="F2919" s="89" t="str">
        <v/>
      </c>
      <c r="G2919" s="89" t="str">
        <f ca="1"/>
        <v/>
      </c>
    </row>
    <row r="2920" spans="1:7" x14ac:dyDescent="0.3">
      <c r="A2920" s="89" t="str">
        <v/>
      </c>
      <c r="B2920" s="89" t="str">
        <v>Seguridad con Escaleras // Estantes de Almacenamiento</v>
      </c>
      <c r="C2920" s="90" t="str">
        <v/>
      </c>
      <c r="D2920" s="89" t="str">
        <v>Periódica</v>
      </c>
      <c r="E2920" s="89">
        <v>365</v>
      </c>
      <c r="F2920" s="89" t="str">
        <v/>
      </c>
      <c r="G2920" s="89" t="str">
        <f ca="1"/>
        <v/>
      </c>
    </row>
    <row r="2921" spans="1:7" x14ac:dyDescent="0.3">
      <c r="A2921" s="89" t="str">
        <v/>
      </c>
      <c r="B2921" s="89" t="str">
        <v>Responsabilidades del Supervisor</v>
      </c>
      <c r="C2921" s="90" t="str">
        <v/>
      </c>
      <c r="D2921" s="89" t="str">
        <v>Periódica</v>
      </c>
      <c r="E2921" s="89">
        <v>365</v>
      </c>
      <c r="F2921" s="89" t="str">
        <v/>
      </c>
      <c r="G2921" s="89" t="str">
        <f ca="1"/>
        <v/>
      </c>
    </row>
    <row r="2922" spans="1:7" x14ac:dyDescent="0.3">
      <c r="A2922" s="89" t="str">
        <v/>
      </c>
      <c r="B2922" s="89" t="str">
        <v>Espacios Confinados (Todos)</v>
      </c>
      <c r="C2922" s="90" t="str">
        <v/>
      </c>
      <c r="D2922" s="89" t="str">
        <v>Periódica</v>
      </c>
      <c r="E2922" s="89">
        <v>365</v>
      </c>
      <c r="F2922" s="89" t="str">
        <v/>
      </c>
      <c r="G2922" s="89" t="str">
        <f ca="1"/>
        <v/>
      </c>
    </row>
    <row r="2923" spans="1:7" x14ac:dyDescent="0.3">
      <c r="A2923" s="89" t="str">
        <v/>
      </c>
      <c r="B2923" s="89" t="str">
        <v>HSMS.017 / Espacios Confinados (Entrantes)</v>
      </c>
      <c r="C2923" s="90" t="str">
        <v/>
      </c>
      <c r="D2923" s="89" t="str">
        <v>Evento</v>
      </c>
      <c r="E2923" s="89">
        <v>0</v>
      </c>
      <c r="F2923" s="89" t="str">
        <v/>
      </c>
      <c r="G2923" s="89" t="str">
        <f ca="1"/>
        <v/>
      </c>
    </row>
    <row r="2924" spans="1:7" x14ac:dyDescent="0.3">
      <c r="A2924" s="89" t="str">
        <v/>
      </c>
      <c r="B2924" s="89" t="str">
        <v>Programa de Agua (Todos)</v>
      </c>
      <c r="C2924" s="90" t="str">
        <v/>
      </c>
      <c r="D2924" s="89" t="str">
        <v>Evento</v>
      </c>
      <c r="E2924" s="89">
        <v>0</v>
      </c>
      <c r="F2924" s="89" t="str">
        <v/>
      </c>
      <c r="G2924" s="89" t="str">
        <f ca="1"/>
        <v/>
      </c>
    </row>
    <row r="2925" spans="1:7" x14ac:dyDescent="0.3">
      <c r="A2925" s="89" t="str">
        <v/>
      </c>
      <c r="B2925" s="89" t="str">
        <v>Programa de Agua (HSE)</v>
      </c>
      <c r="C2925" s="90" t="str">
        <v/>
      </c>
      <c r="D2925" s="89" t="str">
        <v>Evento</v>
      </c>
      <c r="E2925" s="89">
        <v>0</v>
      </c>
      <c r="F2925" s="89" t="str">
        <v/>
      </c>
      <c r="G2925" s="89" t="str">
        <f ca="1"/>
        <v/>
      </c>
    </row>
    <row r="2926" spans="1:7" x14ac:dyDescent="0.3">
      <c r="A2926" s="89" t="str">
        <v/>
      </c>
      <c r="B2926" s="89" t="str">
        <v>HIV/SIDA y otras enfermedades de transmisión sexual (ETS)</v>
      </c>
      <c r="C2926" s="90" t="str">
        <v/>
      </c>
      <c r="D2926" s="89" t="str">
        <v>Periódica</v>
      </c>
      <c r="E2926" s="89">
        <v>365</v>
      </c>
      <c r="F2926" s="89" t="str">
        <v/>
      </c>
      <c r="G2926" s="89" t="str">
        <f ca="1"/>
        <v/>
      </c>
    </row>
    <row r="2927" spans="1:7" x14ac:dyDescent="0.3">
      <c r="A2927" s="89" t="str">
        <v/>
      </c>
      <c r="B2927" s="89" t="str">
        <v>Drogas de abuso (concientización y prevención)</v>
      </c>
      <c r="C2927" s="90" t="str">
        <v/>
      </c>
      <c r="D2927" s="89" t="str">
        <v>Periódica</v>
      </c>
      <c r="E2927" s="89">
        <v>365</v>
      </c>
      <c r="F2927" s="89" t="str">
        <v/>
      </c>
      <c r="G2927" s="89" t="str">
        <f ca="1"/>
        <v/>
      </c>
    </row>
    <row r="2928" spans="1:7" x14ac:dyDescent="0.3">
      <c r="A2928" s="89" t="str">
        <v/>
      </c>
      <c r="B2928" s="89" t="str">
        <v>Vida saludable (hábitos, autocuidado y bienestar)</v>
      </c>
      <c r="C2928" s="90" t="str">
        <v/>
      </c>
      <c r="D2928" s="89" t="str">
        <v>Periódica</v>
      </c>
      <c r="E2928" s="89">
        <v>365</v>
      </c>
      <c r="F2928" s="89" t="str">
        <v/>
      </c>
      <c r="G2928" s="89" t="str">
        <f ca="1"/>
        <v/>
      </c>
    </row>
    <row r="2929" spans="1:7" x14ac:dyDescent="0.3">
      <c r="A2929" s="89" t="str">
        <v/>
      </c>
      <c r="B2929" s="89" t="str">
        <v>Primeros auxilios y Reanimación Cardio Pulmonar (RCP)</v>
      </c>
      <c r="C2929" s="90" t="str">
        <v/>
      </c>
      <c r="D2929" s="89" t="str">
        <v>Periódica</v>
      </c>
      <c r="E2929" s="89">
        <v>365</v>
      </c>
      <c r="F2929" s="89" t="str">
        <v/>
      </c>
      <c r="G2929" s="89" t="str">
        <f ca="1"/>
        <v/>
      </c>
    </row>
    <row r="2930" spans="1:7" x14ac:dyDescent="0.3">
      <c r="A2930" s="89" t="str">
        <v/>
      </c>
      <c r="B2930" s="89" t="str">
        <v>Prevención cardiovascular (factores de riesgo y señales de alarma)</v>
      </c>
      <c r="C2930" s="90" t="str">
        <v/>
      </c>
      <c r="D2930" s="89" t="str">
        <v>Periódica</v>
      </c>
      <c r="E2930" s="89">
        <v>365</v>
      </c>
      <c r="F2930" s="89" t="str">
        <v/>
      </c>
      <c r="G2930" s="89" t="str">
        <f ca="1"/>
        <v/>
      </c>
    </row>
    <row r="2931" spans="1:7" x14ac:dyDescent="0.3">
      <c r="A2931" s="89" t="str">
        <v/>
      </c>
      <c r="B2931" s="89" t="str">
        <v>Efectos del tabaco sobre la salud</v>
      </c>
      <c r="C2931" s="90" t="str">
        <v/>
      </c>
      <c r="D2931" s="89" t="str">
        <v>Periódica</v>
      </c>
      <c r="E2931" s="89">
        <v>365</v>
      </c>
      <c r="F2931" s="89" t="str">
        <v/>
      </c>
      <c r="G2931" s="89" t="str">
        <f ca="1"/>
        <v/>
      </c>
    </row>
    <row r="2932" spans="1:7" x14ac:dyDescent="0.3">
      <c r="A2932" s="89" t="str">
        <v/>
      </c>
      <c r="B2932" s="89" t="str">
        <v>Cargadora (Op. Montacargas)</v>
      </c>
      <c r="C2932" s="90" t="str">
        <v/>
      </c>
      <c r="D2932" s="89" t="str">
        <v>Periódica</v>
      </c>
      <c r="E2932" s="89">
        <v>365</v>
      </c>
      <c r="F2932" s="89" t="str">
        <v/>
      </c>
      <c r="G2932" s="89" t="str">
        <f ca="1"/>
        <v/>
      </c>
    </row>
    <row r="2933" spans="1:7" x14ac:dyDescent="0.3">
      <c r="A2933" s="89" t="str">
        <v/>
      </c>
      <c r="B2933" s="89">
        <v>0</v>
      </c>
      <c r="C2933" s="90" t="str">
        <v/>
      </c>
      <c r="D2933" s="89" t="str">
        <v/>
      </c>
      <c r="E2933" s="89" t="str">
        <v/>
      </c>
      <c r="F2933" s="89" t="str">
        <v/>
      </c>
      <c r="G2933" s="89" t="str">
        <f ca="1"/>
        <v/>
      </c>
    </row>
    <row r="2934" spans="1:7" x14ac:dyDescent="0.3">
      <c r="A2934" s="89" t="str">
        <v/>
      </c>
      <c r="B2934" s="89">
        <v>0</v>
      </c>
      <c r="C2934" s="90" t="str">
        <v/>
      </c>
      <c r="D2934" s="89" t="str">
        <v/>
      </c>
      <c r="E2934" s="89" t="str">
        <v/>
      </c>
      <c r="F2934" s="89" t="str">
        <v/>
      </c>
      <c r="G2934" s="89" t="str">
        <f ca="1"/>
        <v/>
      </c>
    </row>
    <row r="2935" spans="1:7" x14ac:dyDescent="0.3">
      <c r="A2935" s="89" t="str">
        <v/>
      </c>
      <c r="B2935" s="89">
        <v>0</v>
      </c>
      <c r="C2935" s="90" t="str">
        <v/>
      </c>
      <c r="D2935" s="89" t="str">
        <v/>
      </c>
      <c r="E2935" s="89" t="str">
        <v/>
      </c>
      <c r="F2935" s="89" t="str">
        <v/>
      </c>
      <c r="G2935" s="89" t="str">
        <f ca="1"/>
        <v/>
      </c>
    </row>
    <row r="2936" spans="1:7" x14ac:dyDescent="0.3">
      <c r="A2936" s="89" t="str">
        <v/>
      </c>
      <c r="B2936" s="89">
        <v>0</v>
      </c>
      <c r="C2936" s="90" t="str">
        <v/>
      </c>
      <c r="D2936" s="89" t="str">
        <v/>
      </c>
      <c r="E2936" s="89" t="str">
        <v/>
      </c>
      <c r="F2936" s="89" t="str">
        <v/>
      </c>
      <c r="G2936" s="89" t="str">
        <f ca="1"/>
        <v/>
      </c>
    </row>
    <row r="2937" spans="1:7" x14ac:dyDescent="0.3">
      <c r="A2937" s="89" t="str">
        <v/>
      </c>
      <c r="B2937" s="89">
        <v>0</v>
      </c>
      <c r="C2937" s="90" t="str">
        <v/>
      </c>
      <c r="D2937" s="89" t="str">
        <v/>
      </c>
      <c r="E2937" s="89" t="str">
        <v/>
      </c>
      <c r="F2937" s="89" t="str">
        <v/>
      </c>
      <c r="G2937" s="89" t="str">
        <f ca="1"/>
        <v/>
      </c>
    </row>
    <row r="2938" spans="1:7" x14ac:dyDescent="0.3">
      <c r="A2938" s="89" t="str">
        <v/>
      </c>
      <c r="B2938" s="89">
        <v>0</v>
      </c>
      <c r="C2938" s="90" t="str">
        <v/>
      </c>
      <c r="D2938" s="89" t="str">
        <v/>
      </c>
      <c r="E2938" s="89" t="str">
        <v/>
      </c>
      <c r="F2938" s="89" t="str">
        <v/>
      </c>
      <c r="G2938" s="89" t="str">
        <f ca="1"/>
        <v/>
      </c>
    </row>
    <row r="2939" spans="1:7" x14ac:dyDescent="0.3">
      <c r="A2939" s="89" t="str">
        <v/>
      </c>
      <c r="B2939" s="89">
        <v>0</v>
      </c>
      <c r="C2939" s="90" t="str">
        <v/>
      </c>
      <c r="D2939" s="89" t="str">
        <v/>
      </c>
      <c r="E2939" s="89" t="str">
        <v/>
      </c>
      <c r="F2939" s="89" t="str">
        <v/>
      </c>
      <c r="G2939" s="89" t="str">
        <f ca="1"/>
        <v/>
      </c>
    </row>
    <row r="2940" spans="1:7" x14ac:dyDescent="0.3">
      <c r="A2940" s="89" t="str">
        <v/>
      </c>
      <c r="B2940" s="89">
        <v>0</v>
      </c>
      <c r="C2940" s="90" t="str">
        <v/>
      </c>
      <c r="D2940" s="89" t="str">
        <v/>
      </c>
      <c r="E2940" s="89" t="str">
        <v/>
      </c>
      <c r="F2940" s="89" t="str">
        <v/>
      </c>
      <c r="G2940" s="89" t="str">
        <f ca="1"/>
        <v/>
      </c>
    </row>
    <row r="2941" spans="1:7" x14ac:dyDescent="0.3">
      <c r="A2941" s="89" t="str">
        <v/>
      </c>
      <c r="B2941" s="89">
        <v>0</v>
      </c>
      <c r="C2941" s="90" t="str">
        <v/>
      </c>
      <c r="D2941" s="89" t="str">
        <v/>
      </c>
      <c r="E2941" s="89" t="str">
        <v/>
      </c>
      <c r="F2941" s="89" t="str">
        <v/>
      </c>
      <c r="G2941" s="89" t="str">
        <f ca="1"/>
        <v/>
      </c>
    </row>
    <row r="2942" spans="1:7" x14ac:dyDescent="0.3">
      <c r="A2942" s="89" t="str">
        <v/>
      </c>
      <c r="B2942" s="89" t="str">
        <v>Programa de Aire</v>
      </c>
      <c r="C2942" s="90" t="str">
        <v/>
      </c>
      <c r="D2942" s="89" t="str">
        <v>Evento</v>
      </c>
      <c r="E2942" s="89">
        <v>0</v>
      </c>
      <c r="F2942" s="89" t="str">
        <v/>
      </c>
      <c r="G2942" s="89" t="str">
        <f ca="1"/>
        <v/>
      </c>
    </row>
    <row r="2943" spans="1:7" x14ac:dyDescent="0.3">
      <c r="A2943" s="89" t="str">
        <v/>
      </c>
      <c r="B2943" s="89" t="str">
        <v>Conciencia Ambiental</v>
      </c>
      <c r="C2943" s="90" t="str">
        <v/>
      </c>
      <c r="D2943" s="89" t="str">
        <v>Periódica</v>
      </c>
      <c r="E2943" s="89">
        <v>365</v>
      </c>
      <c r="F2943" s="89" t="str">
        <v/>
      </c>
      <c r="G2943" s="89" t="str">
        <f ca="1"/>
        <v/>
      </c>
    </row>
    <row r="2944" spans="1:7" x14ac:dyDescent="0.3">
      <c r="A2944" s="89" t="str">
        <v/>
      </c>
      <c r="B2944" s="89" t="str">
        <v xml:space="preserve">Control de Documentos e Informacion de HSE </v>
      </c>
      <c r="C2944" s="90" t="str">
        <v/>
      </c>
      <c r="D2944" s="89" t="str">
        <v>Evento</v>
      </c>
      <c r="E2944" s="89">
        <v>0</v>
      </c>
      <c r="F2944" s="89" t="str">
        <v/>
      </c>
      <c r="G2944" s="89" t="str">
        <f ca="1"/>
        <v/>
      </c>
    </row>
    <row r="2945" spans="1:7" x14ac:dyDescent="0.3">
      <c r="A2945" s="89" t="str">
        <v/>
      </c>
      <c r="B2945" s="89" t="str">
        <v xml:space="preserve"> Acciones Correctivas y Preventivas (CAPA)</v>
      </c>
      <c r="C2945" s="90" t="str">
        <v/>
      </c>
      <c r="D2945" s="89" t="str">
        <v>Evento</v>
      </c>
      <c r="E2945" s="89">
        <v>0</v>
      </c>
      <c r="F2945" s="89" t="str">
        <v/>
      </c>
      <c r="G2945" s="89" t="str">
        <f ca="1"/>
        <v/>
      </c>
    </row>
    <row r="2946" spans="1:7" x14ac:dyDescent="0.3">
      <c r="A2946" s="89" t="str">
        <v/>
      </c>
      <c r="B2946" s="89" t="str">
        <v>Seguridad Basada en el Comportamiento (Observation Program) // HSMS.043 / Autoridad de Detener el Trabajo</v>
      </c>
      <c r="C2946" s="90" t="str">
        <v/>
      </c>
      <c r="D2946" s="89" t="str">
        <v>Periódica</v>
      </c>
      <c r="E2946" s="89">
        <v>365</v>
      </c>
      <c r="F2946" s="89" t="str">
        <v/>
      </c>
      <c r="G2946" s="89" t="str">
        <f ca="1"/>
        <v/>
      </c>
    </row>
    <row r="2947" spans="1:7" x14ac:dyDescent="0.3">
      <c r="A2947" s="89" t="str">
        <v/>
      </c>
      <c r="B2947" s="89" t="str">
        <v>Identificacion de Peligros y Evaluacion de Riesgos</v>
      </c>
      <c r="C2947" s="90" t="str">
        <v/>
      </c>
      <c r="D2947" s="89" t="str">
        <v>Evento</v>
      </c>
      <c r="E2947" s="89">
        <v>0</v>
      </c>
      <c r="F2947" s="89" t="str">
        <v/>
      </c>
      <c r="G2947" s="89" t="str">
        <f ca="1"/>
        <v/>
      </c>
    </row>
    <row r="2948" spans="1:7" x14ac:dyDescent="0.3">
      <c r="A2948" s="89" t="str">
        <v/>
      </c>
      <c r="B2948" s="89" t="str">
        <v xml:space="preserve"> Plan de Respuesta ante Eemergencias / HSMS.010 /Primeros Axulios &amp; RCP/DEA / HSMSWT-002 / Patogenos Trasnmitidos por la Sangre</v>
      </c>
      <c r="C2948" s="90" t="str">
        <v/>
      </c>
      <c r="D2948" s="89" t="str">
        <v>Periódica</v>
      </c>
      <c r="E2948" s="89">
        <v>365</v>
      </c>
      <c r="F2948" s="89" t="str">
        <v/>
      </c>
      <c r="G2948" s="89" t="str">
        <f ca="1"/>
        <v/>
      </c>
    </row>
    <row r="2949" spans="1:7" x14ac:dyDescent="0.3">
      <c r="A2949" s="89" t="str">
        <v/>
      </c>
      <c r="B2949" s="89" t="str">
        <v>Reporte y Gestion de Incidentes HSE (Todos)</v>
      </c>
      <c r="C2949" s="90" t="str">
        <v/>
      </c>
      <c r="D2949" s="89" t="str">
        <v>Periódica</v>
      </c>
      <c r="E2949" s="89">
        <v>365</v>
      </c>
      <c r="F2949" s="89" t="str">
        <v/>
      </c>
      <c r="G2949" s="89" t="str">
        <f ca="1"/>
        <v/>
      </c>
    </row>
    <row r="2950" spans="1:7" x14ac:dyDescent="0.3">
      <c r="A2950" s="89" t="str">
        <v/>
      </c>
      <c r="B2950" s="89" t="str">
        <v>Reporte, Gestion e Investigacion de Incidentes HSE (supervisores / investigadores (rol))</v>
      </c>
      <c r="C2950" s="90" t="str">
        <v/>
      </c>
      <c r="D2950" s="89" t="str">
        <v>Periódica</v>
      </c>
      <c r="E2950" s="89">
        <v>1095</v>
      </c>
      <c r="F2950" s="89" t="str">
        <v/>
      </c>
      <c r="G2950" s="89" t="str">
        <f ca="1"/>
        <v/>
      </c>
    </row>
    <row r="2951" spans="1:7" x14ac:dyDescent="0.3">
      <c r="A2951" s="89" t="str">
        <v/>
      </c>
      <c r="B2951" s="89" t="str">
        <v>Gruas y Equipos de Izaje (Todos)</v>
      </c>
      <c r="C2951" s="90" t="str">
        <v/>
      </c>
      <c r="D2951" s="89" t="str">
        <v>Periódica</v>
      </c>
      <c r="E2951" s="89">
        <v>365</v>
      </c>
      <c r="F2951" s="89" t="str">
        <v/>
      </c>
      <c r="G2951" s="89" t="str">
        <f ca="1"/>
        <v/>
      </c>
    </row>
    <row r="2952" spans="1:7" x14ac:dyDescent="0.3">
      <c r="A2952" s="89" t="str">
        <v/>
      </c>
      <c r="B2952" s="89" t="str">
        <v>HSMS.007 / Gruas y Equipos de Izaje (Operadores)</v>
      </c>
      <c r="C2952" s="90" t="str">
        <v/>
      </c>
      <c r="D2952" s="89" t="str">
        <v>Periódica</v>
      </c>
      <c r="E2952" s="89">
        <v>365</v>
      </c>
      <c r="F2952" s="89" t="str">
        <v/>
      </c>
      <c r="G2952" s="89" t="str">
        <f ca="1"/>
        <v/>
      </c>
    </row>
    <row r="2953" spans="1:7" x14ac:dyDescent="0.3">
      <c r="A2953" s="89" t="str">
        <v/>
      </c>
      <c r="B2953" s="89" t="str">
        <v>Proteccion Contra Incendios (Todos)</v>
      </c>
      <c r="C2953" s="90" t="str">
        <v/>
      </c>
      <c r="D2953" s="89" t="str">
        <v>Periódica</v>
      </c>
      <c r="E2953" s="89">
        <v>365</v>
      </c>
      <c r="F2953" s="89" t="str">
        <v/>
      </c>
      <c r="G2953" s="89" t="str">
        <f ca="1"/>
        <v/>
      </c>
    </row>
    <row r="2954" spans="1:7" x14ac:dyDescent="0.3">
      <c r="A2954" s="89" t="str">
        <v/>
      </c>
      <c r="B2954" s="89" t="str">
        <v>Proteccion Contra Incendios (Brigadistas)</v>
      </c>
      <c r="C2954" s="90" t="str">
        <v/>
      </c>
      <c r="D2954" s="89" t="str">
        <v>Periódica</v>
      </c>
      <c r="E2954" s="89">
        <v>365</v>
      </c>
      <c r="F2954" s="89" t="str">
        <v/>
      </c>
      <c r="G2954" s="89" t="str">
        <f ca="1"/>
        <v/>
      </c>
    </row>
    <row r="2955" spans="1:7" x14ac:dyDescent="0.3">
      <c r="A2955" s="89" t="str">
        <v/>
      </c>
      <c r="B2955" s="89" t="str">
        <v>Primeros Auxilios (Brigadistas)</v>
      </c>
      <c r="C2955" s="90" t="str">
        <v/>
      </c>
      <c r="D2955" s="89" t="str">
        <v>Periódica</v>
      </c>
      <c r="E2955" s="89">
        <v>365</v>
      </c>
      <c r="F2955" s="89" t="str">
        <v/>
      </c>
      <c r="G2955" s="89" t="str">
        <f ca="1"/>
        <v/>
      </c>
    </row>
    <row r="2956" spans="1:7" x14ac:dyDescent="0.3">
      <c r="A2956" s="89" t="str">
        <v/>
      </c>
      <c r="B2956" s="89" t="str">
        <v>Seguridad Electrica (Todos)</v>
      </c>
      <c r="C2956" s="90" t="str">
        <v/>
      </c>
      <c r="D2956" s="89" t="str">
        <v>Periódica</v>
      </c>
      <c r="E2956" s="89">
        <v>365</v>
      </c>
      <c r="F2956" s="89" t="str">
        <v/>
      </c>
      <c r="G2956" s="89" t="str">
        <f ca="1"/>
        <v/>
      </c>
    </row>
    <row r="2957" spans="1:7" x14ac:dyDescent="0.3">
      <c r="A2957" s="89" t="str">
        <v/>
      </c>
      <c r="B2957" s="89" t="str">
        <v>Seguridad Electrica (Personal Autorizado)</v>
      </c>
      <c r="C2957" s="90" t="str">
        <v/>
      </c>
      <c r="D2957" s="89" t="str">
        <v>Periódica</v>
      </c>
      <c r="E2957" s="89">
        <v>1095</v>
      </c>
      <c r="F2957" s="89" t="str">
        <v/>
      </c>
      <c r="G2957" s="89" t="str">
        <f ca="1"/>
        <v/>
      </c>
    </row>
    <row r="2958" spans="1:7" x14ac:dyDescent="0.3">
      <c r="A2958" s="89" t="str">
        <v/>
      </c>
      <c r="B2958" s="89" t="str">
        <v>Camiones Industriales Motorizados (PIT) (Todos)</v>
      </c>
      <c r="C2958" s="90" t="str">
        <v/>
      </c>
      <c r="D2958" s="89" t="str">
        <v>Periódica</v>
      </c>
      <c r="E2958" s="89">
        <v>365</v>
      </c>
      <c r="F2958" s="89" t="str">
        <v/>
      </c>
      <c r="G2958" s="89" t="str">
        <f ca="1"/>
        <v/>
      </c>
    </row>
    <row r="2959" spans="1:7" x14ac:dyDescent="0.3">
      <c r="A2959" s="89" t="str">
        <v/>
      </c>
      <c r="B2959" s="89" t="str">
        <v>Camiones Industriales Motorizados (PIT) (Op. Montacargas)</v>
      </c>
      <c r="C2959" s="90" t="str">
        <v/>
      </c>
      <c r="D2959" s="89" t="str">
        <v>Periódica</v>
      </c>
      <c r="E2959" s="89">
        <v>365</v>
      </c>
      <c r="F2959" s="89" t="str">
        <v/>
      </c>
      <c r="G2959" s="89" t="str">
        <f ca="1"/>
        <v/>
      </c>
    </row>
    <row r="2960" spans="1:7" x14ac:dyDescent="0.3">
      <c r="A2960" s="89" t="str">
        <v/>
      </c>
      <c r="B2960" s="89" t="str">
        <v>Control de Energias Peligrosas (LOTO) (Todos)</v>
      </c>
      <c r="C2960" s="90" t="str">
        <v/>
      </c>
      <c r="D2960" s="89" t="str">
        <v>Evento</v>
      </c>
      <c r="E2960" s="89">
        <v>0</v>
      </c>
      <c r="F2960" s="89" t="str">
        <v/>
      </c>
      <c r="G2960" s="89" t="str">
        <f ca="1"/>
        <v/>
      </c>
    </row>
    <row r="2961" spans="1:7" x14ac:dyDescent="0.3">
      <c r="A2961" s="89" t="str">
        <v/>
      </c>
      <c r="B2961" s="89" t="str">
        <v>Control de Energias Peligrosas (LOTO) (Empleados Autorizados)</v>
      </c>
      <c r="C2961" s="90" t="str">
        <v/>
      </c>
      <c r="D2961" s="89" t="str">
        <v>Periódica</v>
      </c>
      <c r="E2961" s="89">
        <v>365</v>
      </c>
      <c r="F2961" s="89" t="str">
        <v/>
      </c>
      <c r="G2961" s="89" t="str">
        <f ca="1"/>
        <v/>
      </c>
    </row>
    <row r="2962" spans="1:7" x14ac:dyDescent="0.3">
      <c r="A2962" s="89" t="str">
        <v/>
      </c>
      <c r="B2962" s="89" t="str">
        <v>Seguridad aplicada al Pozo &amp; Yacimiento</v>
      </c>
      <c r="C2962" s="90" t="str">
        <v/>
      </c>
      <c r="D2962" s="89" t="str">
        <v>Periódica</v>
      </c>
      <c r="E2962" s="89">
        <v>365</v>
      </c>
      <c r="F2962" s="89" t="str">
        <v/>
      </c>
      <c r="G2962" s="89" t="str">
        <f ca="1"/>
        <v/>
      </c>
    </row>
    <row r="2963" spans="1:7" x14ac:dyDescent="0.3">
      <c r="A2963" s="89" t="str">
        <v/>
      </c>
      <c r="B2963" s="89" t="str">
        <v>Las Reglas que Salvan Vidas</v>
      </c>
      <c r="C2963" s="90" t="str">
        <v/>
      </c>
      <c r="D2963" s="89" t="str">
        <v>Periódica</v>
      </c>
      <c r="E2963" s="89">
        <v>365</v>
      </c>
      <c r="F2963" s="89" t="str">
        <v/>
      </c>
      <c r="G2963" s="89" t="str">
        <f ca="1"/>
        <v/>
      </c>
    </row>
    <row r="2964" spans="1:7" x14ac:dyDescent="0.3">
      <c r="A2964" s="89" t="str">
        <v/>
      </c>
      <c r="B2964" s="89" t="str">
        <v xml:space="preserve">Resguardo de Maquinas &amp; Equipos </v>
      </c>
      <c r="C2964" s="90" t="str">
        <v/>
      </c>
      <c r="D2964" s="89" t="str">
        <v>Periódica</v>
      </c>
      <c r="E2964" s="89">
        <v>365</v>
      </c>
      <c r="F2964" s="89" t="str">
        <v/>
      </c>
      <c r="G2964" s="89" t="str">
        <f ca="1"/>
        <v/>
      </c>
    </row>
    <row r="2965" spans="1:7" x14ac:dyDescent="0.3">
      <c r="A2965" s="89" t="str">
        <v/>
      </c>
      <c r="B2965" s="89" t="str">
        <v>Conduccion y Gestion de Viajes (Todos)</v>
      </c>
      <c r="C2965" s="90" t="str">
        <v/>
      </c>
      <c r="D2965" s="89" t="str">
        <v>Periódica</v>
      </c>
      <c r="E2965" s="89">
        <v>730</v>
      </c>
      <c r="F2965" s="89" t="str">
        <v/>
      </c>
      <c r="G2965" s="89" t="str">
        <f ca="1"/>
        <v/>
      </c>
    </row>
    <row r="2966" spans="1:7" x14ac:dyDescent="0.3">
      <c r="A2966" s="89" t="str">
        <v/>
      </c>
      <c r="B2966" s="89" t="str">
        <v>Conduccion y Gestion de Viajes (Conductores)</v>
      </c>
      <c r="C2966" s="90" t="str">
        <v/>
      </c>
      <c r="D2966" s="89" t="str">
        <v>Periódica</v>
      </c>
      <c r="E2966" s="89">
        <v>1095</v>
      </c>
      <c r="F2966" s="89" t="str">
        <v/>
      </c>
      <c r="G2966" s="89" t="str">
        <f ca="1"/>
        <v/>
      </c>
    </row>
    <row r="2967" spans="1:7" x14ac:dyDescent="0.3">
      <c r="A2967" s="89" t="str">
        <v/>
      </c>
      <c r="B2967" s="89" t="str">
        <v>Patogenos Transmitidos por la Sangre</v>
      </c>
      <c r="C2967" s="90" t="str">
        <v/>
      </c>
      <c r="D2967" s="89" t="str">
        <v>Periódica</v>
      </c>
      <c r="E2967" s="89">
        <v>365</v>
      </c>
      <c r="F2967" s="89" t="str">
        <v/>
      </c>
      <c r="G2967" s="89" t="str">
        <f ca="1"/>
        <v/>
      </c>
    </row>
    <row r="2968" spans="1:7" x14ac:dyDescent="0.3">
      <c r="A2968" s="89" t="str">
        <v/>
      </c>
      <c r="B2968" s="89" t="str">
        <v>Conservacion Auditiva</v>
      </c>
      <c r="C2968" s="90" t="str">
        <v/>
      </c>
      <c r="D2968" s="89" t="str">
        <v>Periódica</v>
      </c>
      <c r="E2968" s="89">
        <v>365</v>
      </c>
      <c r="F2968" s="89" t="str">
        <v/>
      </c>
      <c r="G2968" s="89" t="str">
        <f ca="1"/>
        <v/>
      </c>
    </row>
    <row r="2969" spans="1:7" x14ac:dyDescent="0.3">
      <c r="A2969" s="89" t="str">
        <v/>
      </c>
      <c r="B2969" s="89" t="str">
        <v xml:space="preserve">Ergonomia //  / Levantamiento &amp; Seguridad en la Espalda </v>
      </c>
      <c r="C2969" s="90" t="str">
        <v/>
      </c>
      <c r="D2969" s="89" t="str">
        <v>Periódica</v>
      </c>
      <c r="E2969" s="89">
        <v>365</v>
      </c>
      <c r="F2969" s="89" t="str">
        <v/>
      </c>
      <c r="G2969" s="89" t="str">
        <f ca="1"/>
        <v/>
      </c>
    </row>
    <row r="2970" spans="1:7" x14ac:dyDescent="0.3">
      <c r="A2970" s="89" t="str">
        <v/>
      </c>
      <c r="B2970" s="89" t="str">
        <v>Superficies Elevadas (Todos)</v>
      </c>
      <c r="C2970" s="90" t="str">
        <v/>
      </c>
      <c r="D2970" s="89" t="str">
        <v>Periódica</v>
      </c>
      <c r="E2970" s="89">
        <v>365</v>
      </c>
      <c r="F2970" s="89" t="str">
        <v/>
      </c>
      <c r="G2970" s="89" t="str">
        <f ca="1"/>
        <v/>
      </c>
    </row>
    <row r="2971" spans="1:7" x14ac:dyDescent="0.3">
      <c r="A2971" s="89" t="str">
        <v/>
      </c>
      <c r="B2971" s="89" t="str">
        <v>Superficies Elevadas (Personal Habilitado)</v>
      </c>
      <c r="C2971" s="90" t="str">
        <v/>
      </c>
      <c r="D2971" s="89" t="str">
        <v>Periódica</v>
      </c>
      <c r="E2971" s="89">
        <v>365</v>
      </c>
      <c r="F2971" s="89" t="str">
        <v/>
      </c>
      <c r="G2971" s="89" t="str">
        <f ca="1"/>
        <v/>
      </c>
    </row>
    <row r="2972" spans="1:7" x14ac:dyDescent="0.3">
      <c r="A2972" s="89" t="str">
        <v/>
      </c>
      <c r="B2972" s="89" t="str">
        <v>Seguridad Quimica (Todos)</v>
      </c>
      <c r="C2972" s="90" t="str">
        <v/>
      </c>
      <c r="D2972" s="89" t="str">
        <v>Periódica</v>
      </c>
      <c r="E2972" s="89">
        <v>730</v>
      </c>
      <c r="F2972" s="89" t="str">
        <v/>
      </c>
      <c r="G2972" s="89" t="str">
        <f ca="1"/>
        <v/>
      </c>
    </row>
    <row r="2973" spans="1:7" x14ac:dyDescent="0.3">
      <c r="A2973" s="89" t="str">
        <v/>
      </c>
      <c r="B2973" s="89" t="str">
        <v>Seguridad Quimica (Mantenimiento)</v>
      </c>
      <c r="C2973" s="90" t="str">
        <v/>
      </c>
      <c r="D2973" s="89" t="str">
        <v>Periódica</v>
      </c>
      <c r="E2973" s="89">
        <v>365</v>
      </c>
      <c r="F2973" s="89" t="str">
        <v/>
      </c>
      <c r="G2973" s="89" t="str">
        <f ca="1"/>
        <v/>
      </c>
    </row>
    <row r="2974" spans="1:7" x14ac:dyDescent="0.3">
      <c r="A2974" s="89" t="str">
        <v/>
      </c>
      <c r="B2974" s="89" t="str">
        <v>Seguridad Quimica (Contratistas)</v>
      </c>
      <c r="C2974" s="90" t="str">
        <v/>
      </c>
      <c r="D2974" s="89" t="str">
        <v>Periódica</v>
      </c>
      <c r="E2974" s="89">
        <v>365</v>
      </c>
      <c r="F2974" s="89" t="str">
        <v/>
      </c>
      <c r="G2974" s="89" t="str">
        <f ca="1"/>
        <v/>
      </c>
    </row>
    <row r="2975" spans="1:7" x14ac:dyDescent="0.3">
      <c r="A2975" s="89" t="str">
        <v/>
      </c>
      <c r="B2975" s="89" t="str">
        <v>Seguridad para Trabajos en Caliente</v>
      </c>
      <c r="C2975" s="90" t="str">
        <v/>
      </c>
      <c r="D2975" s="89" t="str">
        <v>Periódica</v>
      </c>
      <c r="E2975" s="89">
        <v>365</v>
      </c>
      <c r="F2975" s="89" t="str">
        <v/>
      </c>
      <c r="G2975" s="89" t="str">
        <f ca="1"/>
        <v/>
      </c>
    </row>
    <row r="2976" spans="1:7" x14ac:dyDescent="0.3">
      <c r="A2976" s="89" t="str">
        <v/>
      </c>
      <c r="B2976" s="89" t="str">
        <v>Seguridad con la Radiacion</v>
      </c>
      <c r="C2976" s="90" t="str">
        <v/>
      </c>
      <c r="D2976" s="89" t="str">
        <v>Periódica</v>
      </c>
      <c r="E2976" s="89">
        <v>365</v>
      </c>
      <c r="F2976" s="89" t="str">
        <v/>
      </c>
      <c r="G2976" s="89" t="str">
        <f ca="1"/>
        <v/>
      </c>
    </row>
    <row r="2977" spans="1:7" x14ac:dyDescent="0.3">
      <c r="A2977" s="89" t="str">
        <v/>
      </c>
      <c r="B2977" s="89" t="str">
        <v>Equipo de Proteccion Personal (PPE)</v>
      </c>
      <c r="C2977" s="90" t="str">
        <v/>
      </c>
      <c r="D2977" s="89" t="str">
        <v>Periódica</v>
      </c>
      <c r="E2977" s="89">
        <v>365</v>
      </c>
      <c r="F2977" s="89" t="str">
        <v/>
      </c>
      <c r="G2977" s="89" t="str">
        <f ca="1"/>
        <v/>
      </c>
    </row>
    <row r="2978" spans="1:7" x14ac:dyDescent="0.3">
      <c r="A2978" s="89" t="str">
        <v/>
      </c>
      <c r="B2978" s="89" t="str">
        <v>Proteccion Respiratoria</v>
      </c>
      <c r="C2978" s="90" t="str">
        <v/>
      </c>
      <c r="D2978" s="89" t="str">
        <v>Periódica</v>
      </c>
      <c r="E2978" s="89">
        <v>365</v>
      </c>
      <c r="F2978" s="89" t="str">
        <v/>
      </c>
      <c r="G2978" s="89" t="str">
        <f ca="1"/>
        <v/>
      </c>
    </row>
    <row r="2979" spans="1:7" x14ac:dyDescent="0.3">
      <c r="A2979" s="89" t="str">
        <v/>
      </c>
      <c r="B2979" s="89" t="str">
        <v xml:space="preserve">Seguridad con Escaleras </v>
      </c>
      <c r="C2979" s="90" t="str">
        <v/>
      </c>
      <c r="D2979" s="89" t="str">
        <v>Periódica</v>
      </c>
      <c r="E2979" s="89">
        <v>365</v>
      </c>
      <c r="F2979" s="89" t="str">
        <v/>
      </c>
      <c r="G2979" s="89" t="str">
        <f ca="1"/>
        <v/>
      </c>
    </row>
    <row r="2980" spans="1:7" x14ac:dyDescent="0.3">
      <c r="A2980" s="89" t="str">
        <v/>
      </c>
      <c r="B2980" s="89" t="str">
        <v>Seguridad con Escaleras // Estantes de Almacenamiento</v>
      </c>
      <c r="C2980" s="90" t="str">
        <v/>
      </c>
      <c r="D2980" s="89" t="str">
        <v>Periódica</v>
      </c>
      <c r="E2980" s="89">
        <v>365</v>
      </c>
      <c r="F2980" s="89" t="str">
        <v/>
      </c>
      <c r="G2980" s="89" t="str">
        <f ca="1"/>
        <v/>
      </c>
    </row>
    <row r="2981" spans="1:7" x14ac:dyDescent="0.3">
      <c r="A2981" s="89" t="str">
        <v/>
      </c>
      <c r="B2981" s="89" t="str">
        <v>Responsabilidades del Supervisor</v>
      </c>
      <c r="C2981" s="90" t="str">
        <v/>
      </c>
      <c r="D2981" s="89" t="str">
        <v>Periódica</v>
      </c>
      <c r="E2981" s="89">
        <v>365</v>
      </c>
      <c r="F2981" s="89" t="str">
        <v/>
      </c>
      <c r="G2981" s="89" t="str">
        <f ca="1"/>
        <v/>
      </c>
    </row>
    <row r="2982" spans="1:7" x14ac:dyDescent="0.3">
      <c r="A2982" s="89" t="str">
        <v/>
      </c>
      <c r="B2982" s="89" t="str">
        <v>Espacios Confinados (Todos)</v>
      </c>
      <c r="C2982" s="90" t="str">
        <v/>
      </c>
      <c r="D2982" s="89" t="str">
        <v>Periódica</v>
      </c>
      <c r="E2982" s="89">
        <v>365</v>
      </c>
      <c r="F2982" s="89" t="str">
        <v/>
      </c>
      <c r="G2982" s="89" t="str">
        <f ca="1"/>
        <v/>
      </c>
    </row>
    <row r="2983" spans="1:7" x14ac:dyDescent="0.3">
      <c r="A2983" s="89" t="str">
        <v/>
      </c>
      <c r="B2983" s="89" t="str">
        <v>HSMS.017 / Espacios Confinados (Entrantes)</v>
      </c>
      <c r="C2983" s="90" t="str">
        <v/>
      </c>
      <c r="D2983" s="89" t="str">
        <v>Evento</v>
      </c>
      <c r="E2983" s="89">
        <v>0</v>
      </c>
      <c r="F2983" s="89" t="str">
        <v/>
      </c>
      <c r="G2983" s="89" t="str">
        <f ca="1"/>
        <v/>
      </c>
    </row>
    <row r="2984" spans="1:7" x14ac:dyDescent="0.3">
      <c r="A2984" s="89" t="str">
        <v/>
      </c>
      <c r="B2984" s="89" t="str">
        <v>Programa de Agua (Todos)</v>
      </c>
      <c r="C2984" s="90" t="str">
        <v/>
      </c>
      <c r="D2984" s="89" t="str">
        <v>Evento</v>
      </c>
      <c r="E2984" s="89">
        <v>0</v>
      </c>
      <c r="F2984" s="89" t="str">
        <v/>
      </c>
      <c r="G2984" s="89" t="str">
        <f ca="1"/>
        <v/>
      </c>
    </row>
    <row r="2985" spans="1:7" x14ac:dyDescent="0.3">
      <c r="A2985" s="89" t="str">
        <v/>
      </c>
      <c r="B2985" s="89" t="str">
        <v>Programa de Agua (HSE)</v>
      </c>
      <c r="C2985" s="90" t="str">
        <v/>
      </c>
      <c r="D2985" s="89" t="str">
        <v>Evento</v>
      </c>
      <c r="E2985" s="89">
        <v>0</v>
      </c>
      <c r="F2985" s="89" t="str">
        <v/>
      </c>
      <c r="G2985" s="89" t="str">
        <f ca="1"/>
        <v/>
      </c>
    </row>
    <row r="2986" spans="1:7" x14ac:dyDescent="0.3">
      <c r="A2986" s="89" t="str">
        <v/>
      </c>
      <c r="B2986" s="89" t="str">
        <v>HIV/SIDA y otras enfermedades de transmisión sexual (ETS)</v>
      </c>
      <c r="C2986" s="90" t="str">
        <v/>
      </c>
      <c r="D2986" s="89" t="str">
        <v>Periódica</v>
      </c>
      <c r="E2986" s="89">
        <v>365</v>
      </c>
      <c r="F2986" s="89" t="str">
        <v/>
      </c>
      <c r="G2986" s="89" t="str">
        <f ca="1"/>
        <v/>
      </c>
    </row>
    <row r="2987" spans="1:7" x14ac:dyDescent="0.3">
      <c r="A2987" s="89" t="str">
        <v/>
      </c>
      <c r="B2987" s="89" t="str">
        <v>Drogas de abuso (concientización y prevención)</v>
      </c>
      <c r="C2987" s="90" t="str">
        <v/>
      </c>
      <c r="D2987" s="89" t="str">
        <v>Periódica</v>
      </c>
      <c r="E2987" s="89">
        <v>365</v>
      </c>
      <c r="F2987" s="89" t="str">
        <v/>
      </c>
      <c r="G2987" s="89" t="str">
        <f ca="1"/>
        <v/>
      </c>
    </row>
    <row r="2988" spans="1:7" x14ac:dyDescent="0.3">
      <c r="A2988" s="89" t="str">
        <v/>
      </c>
      <c r="B2988" s="89" t="str">
        <v>Vida saludable (hábitos, autocuidado y bienestar)</v>
      </c>
      <c r="C2988" s="90" t="str">
        <v/>
      </c>
      <c r="D2988" s="89" t="str">
        <v>Periódica</v>
      </c>
      <c r="E2988" s="89">
        <v>365</v>
      </c>
      <c r="F2988" s="89" t="str">
        <v/>
      </c>
      <c r="G2988" s="89" t="str">
        <f ca="1"/>
        <v/>
      </c>
    </row>
    <row r="2989" spans="1:7" x14ac:dyDescent="0.3">
      <c r="A2989" s="89" t="str">
        <v/>
      </c>
      <c r="B2989" s="89" t="str">
        <v>Primeros auxilios y Reanimación Cardio Pulmonar (RCP)</v>
      </c>
      <c r="C2989" s="90" t="str">
        <v/>
      </c>
      <c r="D2989" s="89" t="str">
        <v>Periódica</v>
      </c>
      <c r="E2989" s="89">
        <v>365</v>
      </c>
      <c r="F2989" s="89" t="str">
        <v/>
      </c>
      <c r="G2989" s="89" t="str">
        <f ca="1"/>
        <v/>
      </c>
    </row>
    <row r="2990" spans="1:7" x14ac:dyDescent="0.3">
      <c r="A2990" s="89" t="str">
        <v/>
      </c>
      <c r="B2990" s="89" t="str">
        <v>Prevención cardiovascular (factores de riesgo y señales de alarma)</v>
      </c>
      <c r="C2990" s="90" t="str">
        <v/>
      </c>
      <c r="D2990" s="89" t="str">
        <v>Periódica</v>
      </c>
      <c r="E2990" s="89">
        <v>365</v>
      </c>
      <c r="F2990" s="89" t="str">
        <v/>
      </c>
      <c r="G2990" s="89" t="str">
        <f ca="1"/>
        <v/>
      </c>
    </row>
    <row r="2991" spans="1:7" x14ac:dyDescent="0.3">
      <c r="A2991" s="89" t="str">
        <v/>
      </c>
      <c r="B2991" s="89" t="str">
        <v>Efectos del tabaco sobre la salud</v>
      </c>
      <c r="C2991" s="90" t="str">
        <v/>
      </c>
      <c r="D2991" s="89" t="str">
        <v>Periódica</v>
      </c>
      <c r="E2991" s="89">
        <v>365</v>
      </c>
      <c r="F2991" s="89" t="str">
        <v/>
      </c>
      <c r="G2991" s="89" t="str">
        <f ca="1"/>
        <v/>
      </c>
    </row>
    <row r="2992" spans="1:7" x14ac:dyDescent="0.3">
      <c r="A2992" s="89" t="str">
        <v/>
      </c>
      <c r="B2992" s="89" t="str">
        <v>Cargadora (Op. Montacargas)</v>
      </c>
      <c r="C2992" s="90" t="str">
        <v/>
      </c>
      <c r="D2992" s="89" t="str">
        <v>Periódica</v>
      </c>
      <c r="E2992" s="89">
        <v>365</v>
      </c>
      <c r="F2992" s="89" t="str">
        <v/>
      </c>
      <c r="G2992" s="89" t="str">
        <f ca="1"/>
        <v/>
      </c>
    </row>
    <row r="2993" spans="1:7" x14ac:dyDescent="0.3">
      <c r="A2993" s="89" t="str">
        <v/>
      </c>
      <c r="B2993" s="89">
        <v>0</v>
      </c>
      <c r="C2993" s="90" t="str">
        <v/>
      </c>
      <c r="D2993" s="89" t="str">
        <v/>
      </c>
      <c r="E2993" s="89" t="str">
        <v/>
      </c>
      <c r="F2993" s="89" t="str">
        <v/>
      </c>
      <c r="G2993" s="89" t="str">
        <f ca="1"/>
        <v/>
      </c>
    </row>
    <row r="2994" spans="1:7" x14ac:dyDescent="0.3">
      <c r="A2994" s="89" t="str">
        <v/>
      </c>
      <c r="B2994" s="89">
        <v>0</v>
      </c>
      <c r="C2994" s="90" t="str">
        <v/>
      </c>
      <c r="D2994" s="89" t="str">
        <v/>
      </c>
      <c r="E2994" s="89" t="str">
        <v/>
      </c>
      <c r="F2994" s="89" t="str">
        <v/>
      </c>
      <c r="G2994" s="89" t="str">
        <f ca="1"/>
        <v/>
      </c>
    </row>
    <row r="2995" spans="1:7" x14ac:dyDescent="0.3">
      <c r="A2995" s="89" t="str">
        <v/>
      </c>
      <c r="B2995" s="89">
        <v>0</v>
      </c>
      <c r="C2995" s="90" t="str">
        <v/>
      </c>
      <c r="D2995" s="89" t="str">
        <v/>
      </c>
      <c r="E2995" s="89" t="str">
        <v/>
      </c>
      <c r="F2995" s="89" t="str">
        <v/>
      </c>
      <c r="G2995" s="89" t="str">
        <f ca="1"/>
        <v/>
      </c>
    </row>
    <row r="2996" spans="1:7" x14ac:dyDescent="0.3">
      <c r="A2996" s="89" t="str">
        <v/>
      </c>
      <c r="B2996" s="89">
        <v>0</v>
      </c>
      <c r="C2996" s="90" t="str">
        <v/>
      </c>
      <c r="D2996" s="89" t="str">
        <v/>
      </c>
      <c r="E2996" s="89" t="str">
        <v/>
      </c>
      <c r="F2996" s="89" t="str">
        <v/>
      </c>
      <c r="G2996" s="89" t="str">
        <f ca="1"/>
        <v/>
      </c>
    </row>
    <row r="2997" spans="1:7" x14ac:dyDescent="0.3">
      <c r="A2997" s="89" t="str">
        <v/>
      </c>
      <c r="B2997" s="89">
        <v>0</v>
      </c>
      <c r="C2997" s="90" t="str">
        <v/>
      </c>
      <c r="D2997" s="89" t="str">
        <v/>
      </c>
      <c r="E2997" s="89" t="str">
        <v/>
      </c>
      <c r="F2997" s="89" t="str">
        <v/>
      </c>
      <c r="G2997" s="89" t="str">
        <f ca="1"/>
        <v/>
      </c>
    </row>
    <row r="2998" spans="1:7" x14ac:dyDescent="0.3">
      <c r="A2998" s="89" t="str">
        <v/>
      </c>
      <c r="B2998" s="89">
        <v>0</v>
      </c>
      <c r="C2998" s="90" t="str">
        <v/>
      </c>
      <c r="D2998" s="89" t="str">
        <v/>
      </c>
      <c r="E2998" s="89" t="str">
        <v/>
      </c>
      <c r="F2998" s="89" t="str">
        <v/>
      </c>
      <c r="G2998" s="89" t="str">
        <f ca="1"/>
        <v/>
      </c>
    </row>
    <row r="2999" spans="1:7" x14ac:dyDescent="0.3">
      <c r="A2999" s="89" t="str">
        <v/>
      </c>
      <c r="B2999" s="89">
        <v>0</v>
      </c>
      <c r="C2999" s="90" t="str">
        <v/>
      </c>
      <c r="D2999" s="89" t="str">
        <v/>
      </c>
      <c r="E2999" s="89" t="str">
        <v/>
      </c>
      <c r="F2999" s="89" t="str">
        <v/>
      </c>
      <c r="G2999" s="89" t="str">
        <f ca="1"/>
        <v/>
      </c>
    </row>
    <row r="3000" spans="1:7" x14ac:dyDescent="0.3">
      <c r="A3000" s="89" t="str">
        <v/>
      </c>
      <c r="B3000" s="89">
        <v>0</v>
      </c>
      <c r="C3000" s="90" t="str">
        <v/>
      </c>
      <c r="D3000" s="89" t="str">
        <v/>
      </c>
      <c r="E3000" s="89" t="str">
        <v/>
      </c>
      <c r="F3000" s="89" t="str">
        <v/>
      </c>
      <c r="G3000" s="89" t="str">
        <f ca="1"/>
        <v/>
      </c>
    </row>
    <row r="3001" spans="1:7" x14ac:dyDescent="0.3">
      <c r="A3001" s="89" t="str">
        <v/>
      </c>
      <c r="B3001" s="89">
        <v>0</v>
      </c>
      <c r="C3001" s="90" t="str">
        <v/>
      </c>
      <c r="D3001" s="89" t="str">
        <v/>
      </c>
      <c r="E3001" s="89" t="str">
        <v/>
      </c>
      <c r="F3001" s="89" t="str">
        <v/>
      </c>
      <c r="G3001" s="89" t="str">
        <f ca="1"/>
        <v/>
      </c>
    </row>
    <row r="3002" spans="1:7" x14ac:dyDescent="0.3">
      <c r="A3002" s="89" t="str">
        <v/>
      </c>
      <c r="B3002" s="89" t="str">
        <v>Programa de Aire</v>
      </c>
      <c r="C3002" s="90" t="str">
        <v/>
      </c>
      <c r="D3002" s="89" t="str">
        <v>Evento</v>
      </c>
      <c r="E3002" s="89">
        <v>0</v>
      </c>
      <c r="F3002" s="89" t="str">
        <v/>
      </c>
      <c r="G3002" s="89" t="str">
        <f ca="1"/>
        <v/>
      </c>
    </row>
    <row r="3003" spans="1:7" x14ac:dyDescent="0.3">
      <c r="A3003" s="89" t="str">
        <v/>
      </c>
      <c r="B3003" s="89" t="str">
        <v>Conciencia Ambiental</v>
      </c>
      <c r="C3003" s="90" t="str">
        <v/>
      </c>
      <c r="D3003" s="89" t="str">
        <v>Periódica</v>
      </c>
      <c r="E3003" s="89">
        <v>365</v>
      </c>
      <c r="F3003" s="89" t="str">
        <v/>
      </c>
      <c r="G3003" s="89" t="str">
        <f ca="1"/>
        <v/>
      </c>
    </row>
    <row r="3004" spans="1:7" x14ac:dyDescent="0.3">
      <c r="A3004" s="89" t="str">
        <v/>
      </c>
      <c r="B3004" s="89" t="str">
        <v xml:space="preserve">Control de Documentos e Informacion de HSE </v>
      </c>
      <c r="C3004" s="90" t="str">
        <v/>
      </c>
      <c r="D3004" s="89" t="str">
        <v>Evento</v>
      </c>
      <c r="E3004" s="89">
        <v>0</v>
      </c>
      <c r="F3004" s="89" t="str">
        <v/>
      </c>
      <c r="G3004" s="89" t="str">
        <f ca="1"/>
        <v/>
      </c>
    </row>
    <row r="3005" spans="1:7" x14ac:dyDescent="0.3">
      <c r="A3005" s="89" t="str">
        <v/>
      </c>
      <c r="B3005" s="89" t="str">
        <v xml:space="preserve"> Acciones Correctivas y Preventivas (CAPA)</v>
      </c>
      <c r="C3005" s="90" t="str">
        <v/>
      </c>
      <c r="D3005" s="89" t="str">
        <v>Evento</v>
      </c>
      <c r="E3005" s="89">
        <v>0</v>
      </c>
      <c r="F3005" s="89" t="str">
        <v/>
      </c>
      <c r="G3005" s="89" t="str">
        <f ca="1"/>
        <v/>
      </c>
    </row>
    <row r="3006" spans="1:7" x14ac:dyDescent="0.3">
      <c r="A3006" s="89" t="str">
        <v/>
      </c>
      <c r="B3006" s="89" t="str">
        <v>Seguridad Basada en el Comportamiento (Observation Program) // HSMS.043 / Autoridad de Detener el Trabajo</v>
      </c>
      <c r="C3006" s="90" t="str">
        <v/>
      </c>
      <c r="D3006" s="89" t="str">
        <v>Periódica</v>
      </c>
      <c r="E3006" s="89">
        <v>365</v>
      </c>
      <c r="F3006" s="89" t="str">
        <v/>
      </c>
      <c r="G3006" s="89" t="str">
        <f ca="1"/>
        <v/>
      </c>
    </row>
    <row r="3007" spans="1:7" x14ac:dyDescent="0.3">
      <c r="A3007" s="89" t="str">
        <v/>
      </c>
      <c r="B3007" s="89" t="str">
        <v>Identificacion de Peligros y Evaluacion de Riesgos</v>
      </c>
      <c r="C3007" s="90" t="str">
        <v/>
      </c>
      <c r="D3007" s="89" t="str">
        <v>Evento</v>
      </c>
      <c r="E3007" s="89">
        <v>0</v>
      </c>
      <c r="F3007" s="89" t="str">
        <v/>
      </c>
      <c r="G3007" s="89" t="str">
        <f ca="1"/>
        <v/>
      </c>
    </row>
    <row r="3008" spans="1:7" x14ac:dyDescent="0.3">
      <c r="A3008" s="89" t="str">
        <v/>
      </c>
      <c r="B3008" s="89" t="str">
        <v xml:space="preserve"> Plan de Respuesta ante Eemergencias / HSMS.010 /Primeros Axulios &amp; RCP/DEA / HSMSWT-002 / Patogenos Trasnmitidos por la Sangre</v>
      </c>
      <c r="C3008" s="90" t="str">
        <v/>
      </c>
      <c r="D3008" s="89" t="str">
        <v>Periódica</v>
      </c>
      <c r="E3008" s="89">
        <v>365</v>
      </c>
      <c r="F3008" s="89" t="str">
        <v/>
      </c>
      <c r="G3008" s="89" t="str">
        <f ca="1"/>
        <v/>
      </c>
    </row>
    <row r="3009" spans="1:7" x14ac:dyDescent="0.3">
      <c r="A3009" s="89" t="str">
        <v/>
      </c>
      <c r="B3009" s="89" t="str">
        <v>Reporte y Gestion de Incidentes HSE (Todos)</v>
      </c>
      <c r="C3009" s="90" t="str">
        <v/>
      </c>
      <c r="D3009" s="89" t="str">
        <v>Periódica</v>
      </c>
      <c r="E3009" s="89">
        <v>365</v>
      </c>
      <c r="F3009" s="89" t="str">
        <v/>
      </c>
      <c r="G3009" s="89" t="str">
        <f ca="1"/>
        <v/>
      </c>
    </row>
    <row r="3010" spans="1:7" x14ac:dyDescent="0.3">
      <c r="A3010" s="89" t="str">
        <v/>
      </c>
      <c r="B3010" s="89" t="str">
        <v>Reporte, Gestion e Investigacion de Incidentes HSE (supervisores / investigadores (rol))</v>
      </c>
      <c r="C3010" s="90" t="str">
        <v/>
      </c>
      <c r="D3010" s="89" t="str">
        <v>Periódica</v>
      </c>
      <c r="E3010" s="89">
        <v>1095</v>
      </c>
      <c r="F3010" s="89" t="str">
        <v/>
      </c>
      <c r="G3010" s="89" t="str">
        <f ca="1"/>
        <v/>
      </c>
    </row>
    <row r="3011" spans="1:7" x14ac:dyDescent="0.3">
      <c r="A3011" s="89" t="str">
        <v/>
      </c>
      <c r="B3011" s="89" t="str">
        <v>Gruas y Equipos de Izaje (Todos)</v>
      </c>
      <c r="C3011" s="90" t="str">
        <v/>
      </c>
      <c r="D3011" s="89" t="str">
        <v>Periódica</v>
      </c>
      <c r="E3011" s="89">
        <v>365</v>
      </c>
      <c r="F3011" s="89" t="str">
        <v/>
      </c>
      <c r="G3011" s="89" t="str">
        <f ca="1"/>
        <v/>
      </c>
    </row>
    <row r="3012" spans="1:7" x14ac:dyDescent="0.3">
      <c r="A3012" s="89" t="str">
        <v/>
      </c>
      <c r="B3012" s="89" t="str">
        <v>HSMS.007 / Gruas y Equipos de Izaje (Operadores)</v>
      </c>
      <c r="C3012" s="90" t="str">
        <v/>
      </c>
      <c r="D3012" s="89" t="str">
        <v>Periódica</v>
      </c>
      <c r="E3012" s="89">
        <v>365</v>
      </c>
      <c r="F3012" s="89" t="str">
        <v/>
      </c>
      <c r="G3012" s="89" t="str">
        <f ca="1"/>
        <v/>
      </c>
    </row>
    <row r="3013" spans="1:7" x14ac:dyDescent="0.3">
      <c r="A3013" s="89" t="str">
        <v/>
      </c>
      <c r="B3013" s="89" t="str">
        <v>Proteccion Contra Incendios (Todos)</v>
      </c>
      <c r="C3013" s="90" t="str">
        <v/>
      </c>
      <c r="D3013" s="89" t="str">
        <v>Periódica</v>
      </c>
      <c r="E3013" s="89">
        <v>365</v>
      </c>
      <c r="F3013" s="89" t="str">
        <v/>
      </c>
      <c r="G3013" s="89" t="str">
        <f ca="1"/>
        <v/>
      </c>
    </row>
    <row r="3014" spans="1:7" x14ac:dyDescent="0.3">
      <c r="A3014" s="89" t="str">
        <v/>
      </c>
      <c r="B3014" s="89" t="str">
        <v>Proteccion Contra Incendios (Brigadistas)</v>
      </c>
      <c r="C3014" s="90" t="str">
        <v/>
      </c>
      <c r="D3014" s="89" t="str">
        <v>Periódica</v>
      </c>
      <c r="E3014" s="89">
        <v>365</v>
      </c>
      <c r="F3014" s="89" t="str">
        <v/>
      </c>
      <c r="G3014" s="89" t="str">
        <f ca="1"/>
        <v/>
      </c>
    </row>
    <row r="3015" spans="1:7" x14ac:dyDescent="0.3">
      <c r="A3015" s="89" t="str">
        <v/>
      </c>
      <c r="B3015" s="89" t="str">
        <v>Primeros Auxilios (Brigadistas)</v>
      </c>
      <c r="C3015" s="90" t="str">
        <v/>
      </c>
      <c r="D3015" s="89" t="str">
        <v>Periódica</v>
      </c>
      <c r="E3015" s="89">
        <v>365</v>
      </c>
      <c r="F3015" s="89" t="str">
        <v/>
      </c>
      <c r="G3015" s="89" t="str">
        <f ca="1"/>
        <v/>
      </c>
    </row>
    <row r="3016" spans="1:7" x14ac:dyDescent="0.3">
      <c r="A3016" s="89" t="str">
        <v/>
      </c>
      <c r="B3016" s="89" t="str">
        <v>Seguridad Electrica (Todos)</v>
      </c>
      <c r="C3016" s="90" t="str">
        <v/>
      </c>
      <c r="D3016" s="89" t="str">
        <v>Periódica</v>
      </c>
      <c r="E3016" s="89">
        <v>365</v>
      </c>
      <c r="F3016" s="89" t="str">
        <v/>
      </c>
      <c r="G3016" s="89" t="str">
        <f ca="1"/>
        <v/>
      </c>
    </row>
    <row r="3017" spans="1:7" x14ac:dyDescent="0.3">
      <c r="A3017" s="89" t="str">
        <v/>
      </c>
      <c r="B3017" s="89" t="str">
        <v>Seguridad Electrica (Personal Autorizado)</v>
      </c>
      <c r="C3017" s="90" t="str">
        <v/>
      </c>
      <c r="D3017" s="89" t="str">
        <v>Periódica</v>
      </c>
      <c r="E3017" s="89">
        <v>1095</v>
      </c>
      <c r="F3017" s="89" t="str">
        <v/>
      </c>
      <c r="G3017" s="89" t="str">
        <f ca="1"/>
        <v/>
      </c>
    </row>
    <row r="3018" spans="1:7" x14ac:dyDescent="0.3">
      <c r="A3018" s="89" t="str">
        <v/>
      </c>
      <c r="B3018" s="89" t="str">
        <v>Camiones Industriales Motorizados (PIT) (Todos)</v>
      </c>
      <c r="C3018" s="90" t="str">
        <v/>
      </c>
      <c r="D3018" s="89" t="str">
        <v>Periódica</v>
      </c>
      <c r="E3018" s="89">
        <v>365</v>
      </c>
      <c r="F3018" s="89" t="str">
        <v/>
      </c>
      <c r="G3018" s="89" t="str">
        <f ca="1"/>
        <v/>
      </c>
    </row>
    <row r="3019" spans="1:7" x14ac:dyDescent="0.3">
      <c r="A3019" s="89" t="str">
        <v/>
      </c>
      <c r="B3019" s="89" t="str">
        <v>Camiones Industriales Motorizados (PIT) (Op. Montacargas)</v>
      </c>
      <c r="C3019" s="90" t="str">
        <v/>
      </c>
      <c r="D3019" s="89" t="str">
        <v>Periódica</v>
      </c>
      <c r="E3019" s="89">
        <v>365</v>
      </c>
      <c r="F3019" s="89" t="str">
        <v/>
      </c>
      <c r="G3019" s="89" t="str">
        <f ca="1"/>
        <v/>
      </c>
    </row>
    <row r="3020" spans="1:7" x14ac:dyDescent="0.3">
      <c r="A3020" s="89" t="str">
        <v/>
      </c>
      <c r="B3020" s="89" t="str">
        <v>Control de Energias Peligrosas (LOTO) (Todos)</v>
      </c>
      <c r="C3020" s="90" t="str">
        <v/>
      </c>
      <c r="D3020" s="89" t="str">
        <v>Evento</v>
      </c>
      <c r="E3020" s="89">
        <v>0</v>
      </c>
      <c r="F3020" s="89" t="str">
        <v/>
      </c>
      <c r="G3020" s="89" t="str">
        <f ca="1"/>
        <v/>
      </c>
    </row>
    <row r="3021" spans="1:7" x14ac:dyDescent="0.3">
      <c r="A3021" s="89" t="str">
        <v/>
      </c>
      <c r="B3021" s="89" t="str">
        <v>Control de Energias Peligrosas (LOTO) (Empleados Autorizados)</v>
      </c>
      <c r="C3021" s="90" t="str">
        <v/>
      </c>
      <c r="D3021" s="89" t="str">
        <v>Periódica</v>
      </c>
      <c r="E3021" s="89">
        <v>365</v>
      </c>
      <c r="F3021" s="89" t="str">
        <v/>
      </c>
      <c r="G3021" s="89" t="str">
        <f ca="1"/>
        <v/>
      </c>
    </row>
    <row r="3022" spans="1:7" x14ac:dyDescent="0.3">
      <c r="A3022" s="89" t="str">
        <v/>
      </c>
      <c r="B3022" s="89" t="str">
        <v>Seguridad aplicada al Pozo &amp; Yacimiento</v>
      </c>
      <c r="C3022" s="90" t="str">
        <v/>
      </c>
      <c r="D3022" s="89" t="str">
        <v>Periódica</v>
      </c>
      <c r="E3022" s="89">
        <v>365</v>
      </c>
      <c r="F3022" s="89" t="str">
        <v/>
      </c>
      <c r="G3022" s="89" t="str">
        <f ca="1"/>
        <v/>
      </c>
    </row>
    <row r="3023" spans="1:7" x14ac:dyDescent="0.3">
      <c r="A3023" s="89" t="str">
        <v/>
      </c>
      <c r="B3023" s="89" t="str">
        <v>Las Reglas que Salvan Vidas</v>
      </c>
      <c r="C3023" s="90" t="str">
        <v/>
      </c>
      <c r="D3023" s="89" t="str">
        <v>Periódica</v>
      </c>
      <c r="E3023" s="89">
        <v>365</v>
      </c>
      <c r="F3023" s="89" t="str">
        <v/>
      </c>
      <c r="G3023" s="89" t="str">
        <f ca="1"/>
        <v/>
      </c>
    </row>
    <row r="3024" spans="1:7" x14ac:dyDescent="0.3">
      <c r="A3024" s="89" t="str">
        <v/>
      </c>
      <c r="B3024" s="89" t="str">
        <v xml:space="preserve">Resguardo de Maquinas &amp; Equipos </v>
      </c>
      <c r="C3024" s="90" t="str">
        <v/>
      </c>
      <c r="D3024" s="89" t="str">
        <v>Periódica</v>
      </c>
      <c r="E3024" s="89">
        <v>365</v>
      </c>
      <c r="F3024" s="89" t="str">
        <v/>
      </c>
      <c r="G3024" s="89" t="str">
        <f ca="1"/>
        <v/>
      </c>
    </row>
    <row r="3025" spans="1:7" x14ac:dyDescent="0.3">
      <c r="A3025" s="89" t="str">
        <v/>
      </c>
      <c r="B3025" s="89" t="str">
        <v>Conduccion y Gestion de Viajes (Todos)</v>
      </c>
      <c r="C3025" s="90" t="str">
        <v/>
      </c>
      <c r="D3025" s="89" t="str">
        <v>Periódica</v>
      </c>
      <c r="E3025" s="89">
        <v>730</v>
      </c>
      <c r="F3025" s="89" t="str">
        <v/>
      </c>
      <c r="G3025" s="89" t="str">
        <f ca="1"/>
        <v/>
      </c>
    </row>
    <row r="3026" spans="1:7" x14ac:dyDescent="0.3">
      <c r="A3026" s="89" t="str">
        <v/>
      </c>
      <c r="B3026" s="89" t="str">
        <v>Conduccion y Gestion de Viajes (Conductores)</v>
      </c>
      <c r="C3026" s="90" t="str">
        <v/>
      </c>
      <c r="D3026" s="89" t="str">
        <v>Periódica</v>
      </c>
      <c r="E3026" s="89">
        <v>1095</v>
      </c>
      <c r="F3026" s="89" t="str">
        <v/>
      </c>
      <c r="G3026" s="89" t="str">
        <f ca="1"/>
        <v/>
      </c>
    </row>
    <row r="3027" spans="1:7" x14ac:dyDescent="0.3">
      <c r="A3027" s="89" t="str">
        <v/>
      </c>
      <c r="B3027" s="89" t="str">
        <v>Patogenos Transmitidos por la Sangre</v>
      </c>
      <c r="C3027" s="90" t="str">
        <v/>
      </c>
      <c r="D3027" s="89" t="str">
        <v>Periódica</v>
      </c>
      <c r="E3027" s="89">
        <v>365</v>
      </c>
      <c r="F3027" s="89" t="str">
        <v/>
      </c>
      <c r="G3027" s="89" t="str">
        <f ca="1"/>
        <v/>
      </c>
    </row>
    <row r="3028" spans="1:7" x14ac:dyDescent="0.3">
      <c r="A3028" s="89" t="str">
        <v/>
      </c>
      <c r="B3028" s="89" t="str">
        <v>Conservacion Auditiva</v>
      </c>
      <c r="C3028" s="90" t="str">
        <v/>
      </c>
      <c r="D3028" s="89" t="str">
        <v>Periódica</v>
      </c>
      <c r="E3028" s="89">
        <v>365</v>
      </c>
      <c r="F3028" s="89" t="str">
        <v/>
      </c>
      <c r="G3028" s="89" t="str">
        <f ca="1"/>
        <v/>
      </c>
    </row>
    <row r="3029" spans="1:7" x14ac:dyDescent="0.3">
      <c r="A3029" s="89" t="str">
        <v/>
      </c>
      <c r="B3029" s="89" t="str">
        <v xml:space="preserve">Ergonomia //  / Levantamiento &amp; Seguridad en la Espalda </v>
      </c>
      <c r="C3029" s="90" t="str">
        <v/>
      </c>
      <c r="D3029" s="89" t="str">
        <v>Periódica</v>
      </c>
      <c r="E3029" s="89">
        <v>365</v>
      </c>
      <c r="F3029" s="89" t="str">
        <v/>
      </c>
      <c r="G3029" s="89" t="str">
        <f ca="1"/>
        <v/>
      </c>
    </row>
    <row r="3030" spans="1:7" x14ac:dyDescent="0.3">
      <c r="A3030" s="89" t="str">
        <v/>
      </c>
      <c r="B3030" s="89" t="str">
        <v>Superficies Elevadas (Todos)</v>
      </c>
      <c r="C3030" s="90" t="str">
        <v/>
      </c>
      <c r="D3030" s="89" t="str">
        <v>Periódica</v>
      </c>
      <c r="E3030" s="89">
        <v>365</v>
      </c>
      <c r="F3030" s="89" t="str">
        <v/>
      </c>
      <c r="G3030" s="89" t="str">
        <f ca="1"/>
        <v/>
      </c>
    </row>
    <row r="3031" spans="1:7" x14ac:dyDescent="0.3">
      <c r="A3031" s="89" t="str">
        <v/>
      </c>
      <c r="B3031" s="89" t="str">
        <v>Superficies Elevadas (Personal Habilitado)</v>
      </c>
      <c r="C3031" s="90" t="str">
        <v/>
      </c>
      <c r="D3031" s="89" t="str">
        <v>Periódica</v>
      </c>
      <c r="E3031" s="89">
        <v>365</v>
      </c>
      <c r="F3031" s="89" t="str">
        <v/>
      </c>
      <c r="G3031" s="89" t="str">
        <f ca="1"/>
        <v/>
      </c>
    </row>
    <row r="3032" spans="1:7" x14ac:dyDescent="0.3">
      <c r="A3032" s="89" t="str">
        <v/>
      </c>
      <c r="B3032" s="89" t="str">
        <v>Seguridad Quimica (Todos)</v>
      </c>
      <c r="C3032" s="90" t="str">
        <v/>
      </c>
      <c r="D3032" s="89" t="str">
        <v>Periódica</v>
      </c>
      <c r="E3032" s="89">
        <v>730</v>
      </c>
      <c r="F3032" s="89" t="str">
        <v/>
      </c>
      <c r="G3032" s="89" t="str">
        <f ca="1"/>
        <v/>
      </c>
    </row>
    <row r="3033" spans="1:7" x14ac:dyDescent="0.3">
      <c r="A3033" s="89" t="str">
        <v/>
      </c>
      <c r="B3033" s="89" t="str">
        <v>Seguridad Quimica (Mantenimiento)</v>
      </c>
      <c r="C3033" s="90" t="str">
        <v/>
      </c>
      <c r="D3033" s="89" t="str">
        <v>Periódica</v>
      </c>
      <c r="E3033" s="89">
        <v>365</v>
      </c>
      <c r="F3033" s="89" t="str">
        <v/>
      </c>
      <c r="G3033" s="89" t="str">
        <f ca="1"/>
        <v/>
      </c>
    </row>
    <row r="3034" spans="1:7" x14ac:dyDescent="0.3">
      <c r="A3034" s="89" t="str">
        <v/>
      </c>
      <c r="B3034" s="89" t="str">
        <v>Seguridad Quimica (Contratistas)</v>
      </c>
      <c r="C3034" s="90" t="str">
        <v/>
      </c>
      <c r="D3034" s="89" t="str">
        <v>Periódica</v>
      </c>
      <c r="E3034" s="89">
        <v>365</v>
      </c>
      <c r="F3034" s="89" t="str">
        <v/>
      </c>
      <c r="G3034" s="89" t="str">
        <f ca="1"/>
        <v/>
      </c>
    </row>
    <row r="3035" spans="1:7" x14ac:dyDescent="0.3">
      <c r="A3035" s="89" t="str">
        <v/>
      </c>
      <c r="B3035" s="89" t="str">
        <v>Seguridad para Trabajos en Caliente</v>
      </c>
      <c r="C3035" s="90" t="str">
        <v/>
      </c>
      <c r="D3035" s="89" t="str">
        <v>Periódica</v>
      </c>
      <c r="E3035" s="89">
        <v>365</v>
      </c>
      <c r="F3035" s="89" t="str">
        <v/>
      </c>
      <c r="G3035" s="89" t="str">
        <f ca="1"/>
        <v/>
      </c>
    </row>
    <row r="3036" spans="1:7" x14ac:dyDescent="0.3">
      <c r="A3036" s="89" t="str">
        <v/>
      </c>
      <c r="B3036" s="89" t="str">
        <v>Seguridad con la Radiacion</v>
      </c>
      <c r="C3036" s="90" t="str">
        <v/>
      </c>
      <c r="D3036" s="89" t="str">
        <v>Periódica</v>
      </c>
      <c r="E3036" s="89">
        <v>365</v>
      </c>
      <c r="F3036" s="89" t="str">
        <v/>
      </c>
      <c r="G3036" s="89" t="str">
        <f ca="1"/>
        <v/>
      </c>
    </row>
    <row r="3037" spans="1:7" x14ac:dyDescent="0.3">
      <c r="A3037" s="89" t="str">
        <v/>
      </c>
      <c r="B3037" s="89" t="str">
        <v>Equipo de Proteccion Personal (PPE)</v>
      </c>
      <c r="C3037" s="90" t="str">
        <v/>
      </c>
      <c r="D3037" s="89" t="str">
        <v>Periódica</v>
      </c>
      <c r="E3037" s="89">
        <v>365</v>
      </c>
      <c r="F3037" s="89" t="str">
        <v/>
      </c>
      <c r="G3037" s="89" t="str">
        <f ca="1"/>
        <v/>
      </c>
    </row>
    <row r="3038" spans="1:7" x14ac:dyDescent="0.3">
      <c r="A3038" s="89" t="str">
        <v/>
      </c>
      <c r="B3038" s="89" t="str">
        <v>Proteccion Respiratoria</v>
      </c>
      <c r="C3038" s="90" t="str">
        <v/>
      </c>
      <c r="D3038" s="89" t="str">
        <v>Periódica</v>
      </c>
      <c r="E3038" s="89">
        <v>365</v>
      </c>
      <c r="F3038" s="89" t="str">
        <v/>
      </c>
      <c r="G3038" s="89" t="str">
        <f ca="1"/>
        <v/>
      </c>
    </row>
    <row r="3039" spans="1:7" x14ac:dyDescent="0.3">
      <c r="A3039" s="89" t="str">
        <v/>
      </c>
      <c r="B3039" s="89" t="str">
        <v xml:space="preserve">Seguridad con Escaleras </v>
      </c>
      <c r="C3039" s="90" t="str">
        <v/>
      </c>
      <c r="D3039" s="89" t="str">
        <v>Periódica</v>
      </c>
      <c r="E3039" s="89">
        <v>365</v>
      </c>
      <c r="F3039" s="89" t="str">
        <v/>
      </c>
      <c r="G3039" s="89" t="str">
        <f ca="1"/>
        <v/>
      </c>
    </row>
    <row r="3040" spans="1:7" x14ac:dyDescent="0.3">
      <c r="A3040" s="89" t="str">
        <v/>
      </c>
      <c r="B3040" s="89" t="str">
        <v>Seguridad con Escaleras // Estantes de Almacenamiento</v>
      </c>
      <c r="C3040" s="90" t="str">
        <v/>
      </c>
      <c r="D3040" s="89" t="str">
        <v>Periódica</v>
      </c>
      <c r="E3040" s="89">
        <v>365</v>
      </c>
      <c r="F3040" s="89" t="str">
        <v/>
      </c>
      <c r="G3040" s="89" t="str">
        <f ca="1"/>
        <v/>
      </c>
    </row>
    <row r="3041" spans="1:7" x14ac:dyDescent="0.3">
      <c r="A3041" s="89" t="str">
        <v/>
      </c>
      <c r="B3041" s="89" t="str">
        <v>Responsabilidades del Supervisor</v>
      </c>
      <c r="C3041" s="90" t="str">
        <v/>
      </c>
      <c r="D3041" s="89" t="str">
        <v>Periódica</v>
      </c>
      <c r="E3041" s="89">
        <v>365</v>
      </c>
      <c r="F3041" s="89" t="str">
        <v/>
      </c>
      <c r="G3041" s="89" t="str">
        <f ca="1"/>
        <v/>
      </c>
    </row>
    <row r="3042" spans="1:7" x14ac:dyDescent="0.3">
      <c r="A3042" s="89" t="str">
        <v/>
      </c>
      <c r="B3042" s="89" t="str">
        <v>Espacios Confinados (Todos)</v>
      </c>
      <c r="C3042" s="90" t="str">
        <v/>
      </c>
      <c r="D3042" s="89" t="str">
        <v>Periódica</v>
      </c>
      <c r="E3042" s="89">
        <v>365</v>
      </c>
      <c r="F3042" s="89" t="str">
        <v/>
      </c>
      <c r="G3042" s="89" t="str">
        <f ca="1"/>
        <v/>
      </c>
    </row>
    <row r="3043" spans="1:7" x14ac:dyDescent="0.3">
      <c r="A3043" s="89" t="str">
        <v/>
      </c>
      <c r="B3043" s="89" t="str">
        <v>HSMS.017 / Espacios Confinados (Entrantes)</v>
      </c>
      <c r="C3043" s="90" t="str">
        <v/>
      </c>
      <c r="D3043" s="89" t="str">
        <v>Evento</v>
      </c>
      <c r="E3043" s="89">
        <v>0</v>
      </c>
      <c r="F3043" s="89" t="str">
        <v/>
      </c>
      <c r="G3043" s="89" t="str">
        <f ca="1"/>
        <v/>
      </c>
    </row>
    <row r="3044" spans="1:7" x14ac:dyDescent="0.3">
      <c r="A3044" s="89" t="str">
        <v/>
      </c>
      <c r="B3044" s="89" t="str">
        <v>Programa de Agua (Todos)</v>
      </c>
      <c r="C3044" s="90" t="str">
        <v/>
      </c>
      <c r="D3044" s="89" t="str">
        <v>Evento</v>
      </c>
      <c r="E3044" s="89">
        <v>0</v>
      </c>
      <c r="F3044" s="89" t="str">
        <v/>
      </c>
      <c r="G3044" s="89" t="str">
        <f ca="1"/>
        <v/>
      </c>
    </row>
    <row r="3045" spans="1:7" x14ac:dyDescent="0.3">
      <c r="A3045" s="89" t="str">
        <v/>
      </c>
      <c r="B3045" s="89" t="str">
        <v>Programa de Agua (HSE)</v>
      </c>
      <c r="C3045" s="90" t="str">
        <v/>
      </c>
      <c r="D3045" s="89" t="str">
        <v>Evento</v>
      </c>
      <c r="E3045" s="89">
        <v>0</v>
      </c>
      <c r="F3045" s="89" t="str">
        <v/>
      </c>
      <c r="G3045" s="89" t="str">
        <f ca="1"/>
        <v/>
      </c>
    </row>
    <row r="3046" spans="1:7" x14ac:dyDescent="0.3">
      <c r="A3046" s="89" t="str">
        <v/>
      </c>
      <c r="B3046" s="89" t="str">
        <v>HIV/SIDA y otras enfermedades de transmisión sexual (ETS)</v>
      </c>
      <c r="C3046" s="90" t="str">
        <v/>
      </c>
      <c r="D3046" s="89" t="str">
        <v>Periódica</v>
      </c>
      <c r="E3046" s="89">
        <v>365</v>
      </c>
      <c r="F3046" s="89" t="str">
        <v/>
      </c>
      <c r="G3046" s="89" t="str">
        <f ca="1"/>
        <v/>
      </c>
    </row>
    <row r="3047" spans="1:7" x14ac:dyDescent="0.3">
      <c r="A3047" s="89" t="str">
        <v/>
      </c>
      <c r="B3047" s="89" t="str">
        <v>Drogas de abuso (concientización y prevención)</v>
      </c>
      <c r="C3047" s="90" t="str">
        <v/>
      </c>
      <c r="D3047" s="89" t="str">
        <v>Periódica</v>
      </c>
      <c r="E3047" s="89">
        <v>365</v>
      </c>
      <c r="F3047" s="89" t="str">
        <v/>
      </c>
      <c r="G3047" s="89" t="str">
        <f ca="1"/>
        <v/>
      </c>
    </row>
    <row r="3048" spans="1:7" x14ac:dyDescent="0.3">
      <c r="A3048" s="89" t="str">
        <v/>
      </c>
      <c r="B3048" s="89" t="str">
        <v>Vida saludable (hábitos, autocuidado y bienestar)</v>
      </c>
      <c r="C3048" s="90" t="str">
        <v/>
      </c>
      <c r="D3048" s="89" t="str">
        <v>Periódica</v>
      </c>
      <c r="E3048" s="89">
        <v>365</v>
      </c>
      <c r="F3048" s="89" t="str">
        <v/>
      </c>
      <c r="G3048" s="89" t="str">
        <f ca="1"/>
        <v/>
      </c>
    </row>
    <row r="3049" spans="1:7" x14ac:dyDescent="0.3">
      <c r="A3049" s="89" t="str">
        <v/>
      </c>
      <c r="B3049" s="89" t="str">
        <v>Primeros auxilios y Reanimación Cardio Pulmonar (RCP)</v>
      </c>
      <c r="C3049" s="90" t="str">
        <v/>
      </c>
      <c r="D3049" s="89" t="str">
        <v>Periódica</v>
      </c>
      <c r="E3049" s="89">
        <v>365</v>
      </c>
      <c r="F3049" s="89" t="str">
        <v/>
      </c>
      <c r="G3049" s="89" t="str">
        <f ca="1"/>
        <v/>
      </c>
    </row>
    <row r="3050" spans="1:7" x14ac:dyDescent="0.3">
      <c r="A3050" s="89" t="str">
        <v/>
      </c>
      <c r="B3050" s="89" t="str">
        <v>Prevención cardiovascular (factores de riesgo y señales de alarma)</v>
      </c>
      <c r="C3050" s="90" t="str">
        <v/>
      </c>
      <c r="D3050" s="89" t="str">
        <v>Periódica</v>
      </c>
      <c r="E3050" s="89">
        <v>365</v>
      </c>
      <c r="F3050" s="89" t="str">
        <v/>
      </c>
      <c r="G3050" s="89" t="str">
        <f ca="1"/>
        <v/>
      </c>
    </row>
    <row r="3051" spans="1:7" x14ac:dyDescent="0.3">
      <c r="A3051" s="89" t="str">
        <v/>
      </c>
      <c r="B3051" s="89" t="str">
        <v>Efectos del tabaco sobre la salud</v>
      </c>
      <c r="C3051" s="90" t="str">
        <v/>
      </c>
      <c r="D3051" s="89" t="str">
        <v>Periódica</v>
      </c>
      <c r="E3051" s="89">
        <v>365</v>
      </c>
      <c r="F3051" s="89" t="str">
        <v/>
      </c>
      <c r="G3051" s="89" t="str">
        <f ca="1"/>
        <v/>
      </c>
    </row>
    <row r="3052" spans="1:7" x14ac:dyDescent="0.3">
      <c r="A3052" s="89" t="str">
        <v/>
      </c>
      <c r="B3052" s="89" t="str">
        <v>Cargadora (Op. Montacargas)</v>
      </c>
      <c r="C3052" s="90" t="str">
        <v/>
      </c>
      <c r="D3052" s="89" t="str">
        <v>Periódica</v>
      </c>
      <c r="E3052" s="89">
        <v>365</v>
      </c>
      <c r="F3052" s="89" t="str">
        <v/>
      </c>
      <c r="G3052" s="89" t="str">
        <f ca="1"/>
        <v/>
      </c>
    </row>
    <row r="3053" spans="1:7" x14ac:dyDescent="0.3">
      <c r="A3053" s="89" t="str">
        <v/>
      </c>
      <c r="B3053" s="89">
        <v>0</v>
      </c>
      <c r="C3053" s="90" t="str">
        <v/>
      </c>
      <c r="D3053" s="89" t="str">
        <v/>
      </c>
      <c r="E3053" s="89" t="str">
        <v/>
      </c>
      <c r="F3053" s="89" t="str">
        <v/>
      </c>
      <c r="G3053" s="89" t="str">
        <f ca="1"/>
        <v/>
      </c>
    </row>
    <row r="3054" spans="1:7" x14ac:dyDescent="0.3">
      <c r="A3054" s="89" t="str">
        <v/>
      </c>
      <c r="B3054" s="89">
        <v>0</v>
      </c>
      <c r="C3054" s="90" t="str">
        <v/>
      </c>
      <c r="D3054" s="89" t="str">
        <v/>
      </c>
      <c r="E3054" s="89" t="str">
        <v/>
      </c>
      <c r="F3054" s="89" t="str">
        <v/>
      </c>
      <c r="G3054" s="89" t="str">
        <f ca="1"/>
        <v/>
      </c>
    </row>
    <row r="3055" spans="1:7" x14ac:dyDescent="0.3">
      <c r="A3055" s="89" t="str">
        <v/>
      </c>
      <c r="B3055" s="89">
        <v>0</v>
      </c>
      <c r="C3055" s="90" t="str">
        <v/>
      </c>
      <c r="D3055" s="89" t="str">
        <v/>
      </c>
      <c r="E3055" s="89" t="str">
        <v/>
      </c>
      <c r="F3055" s="89" t="str">
        <v/>
      </c>
      <c r="G3055" s="89" t="str">
        <f ca="1"/>
        <v/>
      </c>
    </row>
    <row r="3056" spans="1:7" x14ac:dyDescent="0.3">
      <c r="A3056" s="89" t="str">
        <v/>
      </c>
      <c r="B3056" s="89">
        <v>0</v>
      </c>
      <c r="C3056" s="90" t="str">
        <v/>
      </c>
      <c r="D3056" s="89" t="str">
        <v/>
      </c>
      <c r="E3056" s="89" t="str">
        <v/>
      </c>
      <c r="F3056" s="89" t="str">
        <v/>
      </c>
      <c r="G3056" s="89" t="str">
        <f ca="1"/>
        <v/>
      </c>
    </row>
    <row r="3057" spans="1:7" x14ac:dyDescent="0.3">
      <c r="A3057" s="89" t="str">
        <v/>
      </c>
      <c r="B3057" s="89">
        <v>0</v>
      </c>
      <c r="C3057" s="90" t="str">
        <v/>
      </c>
      <c r="D3057" s="89" t="str">
        <v/>
      </c>
      <c r="E3057" s="89" t="str">
        <v/>
      </c>
      <c r="F3057" s="89" t="str">
        <v/>
      </c>
      <c r="G3057" s="89" t="str">
        <f ca="1"/>
        <v/>
      </c>
    </row>
    <row r="3058" spans="1:7" x14ac:dyDescent="0.3">
      <c r="A3058" s="89" t="str">
        <v/>
      </c>
      <c r="B3058" s="89">
        <v>0</v>
      </c>
      <c r="C3058" s="90" t="str">
        <v/>
      </c>
      <c r="D3058" s="89" t="str">
        <v/>
      </c>
      <c r="E3058" s="89" t="str">
        <v/>
      </c>
      <c r="F3058" s="89" t="str">
        <v/>
      </c>
      <c r="G3058" s="89" t="str">
        <f ca="1"/>
        <v/>
      </c>
    </row>
    <row r="3059" spans="1:7" x14ac:dyDescent="0.3">
      <c r="A3059" s="89" t="str">
        <v/>
      </c>
      <c r="B3059" s="89">
        <v>0</v>
      </c>
      <c r="C3059" s="90" t="str">
        <v/>
      </c>
      <c r="D3059" s="89" t="str">
        <v/>
      </c>
      <c r="E3059" s="89" t="str">
        <v/>
      </c>
      <c r="F3059" s="89" t="str">
        <v/>
      </c>
      <c r="G3059" s="89" t="str">
        <f ca="1"/>
        <v/>
      </c>
    </row>
    <row r="3060" spans="1:7" x14ac:dyDescent="0.3">
      <c r="A3060" s="89" t="str">
        <v/>
      </c>
      <c r="B3060" s="89">
        <v>0</v>
      </c>
      <c r="C3060" s="90" t="str">
        <v/>
      </c>
      <c r="D3060" s="89" t="str">
        <v/>
      </c>
      <c r="E3060" s="89" t="str">
        <v/>
      </c>
      <c r="F3060" s="89" t="str">
        <v/>
      </c>
      <c r="G3060" s="89" t="str">
        <f ca="1"/>
        <v/>
      </c>
    </row>
    <row r="3061" spans="1:7" x14ac:dyDescent="0.3">
      <c r="A3061" s="89" t="str">
        <v/>
      </c>
      <c r="B3061" s="89">
        <v>0</v>
      </c>
      <c r="C3061" s="90" t="str">
        <v/>
      </c>
      <c r="D3061" s="89" t="str">
        <v/>
      </c>
      <c r="E3061" s="89" t="str">
        <v/>
      </c>
      <c r="F3061" s="89" t="str">
        <v/>
      </c>
      <c r="G3061" s="89" t="str">
        <f ca="1"/>
        <v/>
      </c>
    </row>
    <row r="3062" spans="1:7" x14ac:dyDescent="0.3">
      <c r="A3062" s="89" t="str">
        <v/>
      </c>
      <c r="B3062" s="89" t="str">
        <v>Programa de Aire</v>
      </c>
      <c r="C3062" s="90" t="str">
        <v/>
      </c>
      <c r="D3062" s="89" t="str">
        <v>Evento</v>
      </c>
      <c r="E3062" s="89">
        <v>0</v>
      </c>
      <c r="F3062" s="89" t="str">
        <v/>
      </c>
      <c r="G3062" s="89" t="str">
        <f ca="1"/>
        <v/>
      </c>
    </row>
    <row r="3063" spans="1:7" x14ac:dyDescent="0.3">
      <c r="A3063" s="89" t="str">
        <v/>
      </c>
      <c r="B3063" s="89" t="str">
        <v>Conciencia Ambiental</v>
      </c>
      <c r="C3063" s="90" t="str">
        <v/>
      </c>
      <c r="D3063" s="89" t="str">
        <v>Periódica</v>
      </c>
      <c r="E3063" s="89">
        <v>365</v>
      </c>
      <c r="F3063" s="89" t="str">
        <v/>
      </c>
      <c r="G3063" s="89" t="str">
        <f ca="1"/>
        <v/>
      </c>
    </row>
    <row r="3064" spans="1:7" x14ac:dyDescent="0.3">
      <c r="A3064" s="89" t="str">
        <v/>
      </c>
      <c r="B3064" s="89" t="str">
        <v xml:space="preserve">Control de Documentos e Informacion de HSE </v>
      </c>
      <c r="C3064" s="90" t="str">
        <v/>
      </c>
      <c r="D3064" s="89" t="str">
        <v>Evento</v>
      </c>
      <c r="E3064" s="89">
        <v>0</v>
      </c>
      <c r="F3064" s="89" t="str">
        <v/>
      </c>
      <c r="G3064" s="89" t="str">
        <f ca="1"/>
        <v/>
      </c>
    </row>
    <row r="3065" spans="1:7" x14ac:dyDescent="0.3">
      <c r="A3065" s="89" t="str">
        <v/>
      </c>
      <c r="B3065" s="89" t="str">
        <v xml:space="preserve"> Acciones Correctivas y Preventivas (CAPA)</v>
      </c>
      <c r="C3065" s="90" t="str">
        <v/>
      </c>
      <c r="D3065" s="89" t="str">
        <v>Evento</v>
      </c>
      <c r="E3065" s="89">
        <v>0</v>
      </c>
      <c r="F3065" s="89" t="str">
        <v/>
      </c>
      <c r="G3065" s="89" t="str">
        <f ca="1"/>
        <v/>
      </c>
    </row>
    <row r="3066" spans="1:7" x14ac:dyDescent="0.3">
      <c r="A3066" s="89" t="str">
        <v/>
      </c>
      <c r="B3066" s="89" t="str">
        <v>Seguridad Basada en el Comportamiento (Observation Program) // HSMS.043 / Autoridad de Detener el Trabajo</v>
      </c>
      <c r="C3066" s="90" t="str">
        <v/>
      </c>
      <c r="D3066" s="89" t="str">
        <v>Periódica</v>
      </c>
      <c r="E3066" s="89">
        <v>365</v>
      </c>
      <c r="F3066" s="89" t="str">
        <v/>
      </c>
      <c r="G3066" s="89" t="str">
        <f ca="1"/>
        <v/>
      </c>
    </row>
    <row r="3067" spans="1:7" x14ac:dyDescent="0.3">
      <c r="A3067" s="89" t="str">
        <v/>
      </c>
      <c r="B3067" s="89" t="str">
        <v>Identificacion de Peligros y Evaluacion de Riesgos</v>
      </c>
      <c r="C3067" s="90" t="str">
        <v/>
      </c>
      <c r="D3067" s="89" t="str">
        <v>Evento</v>
      </c>
      <c r="E3067" s="89">
        <v>0</v>
      </c>
      <c r="F3067" s="89" t="str">
        <v/>
      </c>
      <c r="G3067" s="89" t="str">
        <f ca="1"/>
        <v/>
      </c>
    </row>
    <row r="3068" spans="1:7" x14ac:dyDescent="0.3">
      <c r="A3068" s="89" t="str">
        <v/>
      </c>
      <c r="B3068" s="89" t="str">
        <v xml:space="preserve"> Plan de Respuesta ante Eemergencias / HSMS.010 /Primeros Axulios &amp; RCP/DEA / HSMSWT-002 / Patogenos Trasnmitidos por la Sangre</v>
      </c>
      <c r="C3068" s="90" t="str">
        <v/>
      </c>
      <c r="D3068" s="89" t="str">
        <v>Periódica</v>
      </c>
      <c r="E3068" s="89">
        <v>365</v>
      </c>
      <c r="F3068" s="89" t="str">
        <v/>
      </c>
      <c r="G3068" s="89" t="str">
        <f ca="1"/>
        <v/>
      </c>
    </row>
    <row r="3069" spans="1:7" x14ac:dyDescent="0.3">
      <c r="A3069" s="89" t="str">
        <v/>
      </c>
      <c r="B3069" s="89" t="str">
        <v>Reporte y Gestion de Incidentes HSE (Todos)</v>
      </c>
      <c r="C3069" s="90" t="str">
        <v/>
      </c>
      <c r="D3069" s="89" t="str">
        <v>Periódica</v>
      </c>
      <c r="E3069" s="89">
        <v>365</v>
      </c>
      <c r="F3069" s="89" t="str">
        <v/>
      </c>
      <c r="G3069" s="89" t="str">
        <f ca="1"/>
        <v/>
      </c>
    </row>
    <row r="3070" spans="1:7" x14ac:dyDescent="0.3">
      <c r="A3070" s="89" t="str">
        <v/>
      </c>
      <c r="B3070" s="89" t="str">
        <v>Reporte, Gestion e Investigacion de Incidentes HSE (supervisores / investigadores (rol))</v>
      </c>
      <c r="C3070" s="90" t="str">
        <v/>
      </c>
      <c r="D3070" s="89" t="str">
        <v>Periódica</v>
      </c>
      <c r="E3070" s="89">
        <v>1095</v>
      </c>
      <c r="F3070" s="89" t="str">
        <v/>
      </c>
      <c r="G3070" s="89" t="str">
        <f ca="1"/>
        <v/>
      </c>
    </row>
    <row r="3071" spans="1:7" x14ac:dyDescent="0.3">
      <c r="A3071" s="89" t="str">
        <v/>
      </c>
      <c r="B3071" s="89" t="str">
        <v>Gruas y Equipos de Izaje (Todos)</v>
      </c>
      <c r="C3071" s="90" t="str">
        <v/>
      </c>
      <c r="D3071" s="89" t="str">
        <v>Periódica</v>
      </c>
      <c r="E3071" s="89">
        <v>365</v>
      </c>
      <c r="F3071" s="89" t="str">
        <v/>
      </c>
      <c r="G3071" s="89" t="str">
        <f ca="1"/>
        <v/>
      </c>
    </row>
    <row r="3072" spans="1:7" x14ac:dyDescent="0.3">
      <c r="A3072" s="89" t="str">
        <v/>
      </c>
      <c r="B3072" s="89" t="str">
        <v>HSMS.007 / Gruas y Equipos de Izaje (Operadores)</v>
      </c>
      <c r="C3072" s="90" t="str">
        <v/>
      </c>
      <c r="D3072" s="89" t="str">
        <v>Periódica</v>
      </c>
      <c r="E3072" s="89">
        <v>365</v>
      </c>
      <c r="F3072" s="89" t="str">
        <v/>
      </c>
      <c r="G3072" s="89" t="str">
        <f ca="1"/>
        <v/>
      </c>
    </row>
    <row r="3073" spans="1:7" x14ac:dyDescent="0.3">
      <c r="A3073" s="89" t="str">
        <v/>
      </c>
      <c r="B3073" s="89" t="str">
        <v>Proteccion Contra Incendios (Todos)</v>
      </c>
      <c r="C3073" s="90" t="str">
        <v/>
      </c>
      <c r="D3073" s="89" t="str">
        <v>Periódica</v>
      </c>
      <c r="E3073" s="89">
        <v>365</v>
      </c>
      <c r="F3073" s="89" t="str">
        <v/>
      </c>
      <c r="G3073" s="89" t="str">
        <f ca="1"/>
        <v/>
      </c>
    </row>
    <row r="3074" spans="1:7" x14ac:dyDescent="0.3">
      <c r="A3074" s="89" t="str">
        <v/>
      </c>
      <c r="B3074" s="89" t="str">
        <v>Proteccion Contra Incendios (Brigadistas)</v>
      </c>
      <c r="C3074" s="90" t="str">
        <v/>
      </c>
      <c r="D3074" s="89" t="str">
        <v>Periódica</v>
      </c>
      <c r="E3074" s="89">
        <v>365</v>
      </c>
      <c r="F3074" s="89" t="str">
        <v/>
      </c>
      <c r="G3074" s="89" t="str">
        <f ca="1"/>
        <v/>
      </c>
    </row>
    <row r="3075" spans="1:7" x14ac:dyDescent="0.3">
      <c r="A3075" s="89" t="str">
        <v/>
      </c>
      <c r="B3075" s="89" t="str">
        <v>Primeros Auxilios (Brigadistas)</v>
      </c>
      <c r="C3075" s="90" t="str">
        <v/>
      </c>
      <c r="D3075" s="89" t="str">
        <v>Periódica</v>
      </c>
      <c r="E3075" s="89">
        <v>365</v>
      </c>
      <c r="F3075" s="89" t="str">
        <v/>
      </c>
      <c r="G3075" s="89" t="str">
        <f ca="1"/>
        <v/>
      </c>
    </row>
    <row r="3076" spans="1:7" x14ac:dyDescent="0.3">
      <c r="A3076" s="89" t="str">
        <v/>
      </c>
      <c r="B3076" s="89" t="str">
        <v>Seguridad Electrica (Todos)</v>
      </c>
      <c r="C3076" s="90" t="str">
        <v/>
      </c>
      <c r="D3076" s="89" t="str">
        <v>Periódica</v>
      </c>
      <c r="E3076" s="89">
        <v>365</v>
      </c>
      <c r="F3076" s="89" t="str">
        <v/>
      </c>
      <c r="G3076" s="89" t="str">
        <f ca="1"/>
        <v/>
      </c>
    </row>
    <row r="3077" spans="1:7" x14ac:dyDescent="0.3">
      <c r="A3077" s="89" t="str">
        <v/>
      </c>
      <c r="B3077" s="89" t="str">
        <v>Seguridad Electrica (Personal Autorizado)</v>
      </c>
      <c r="C3077" s="90" t="str">
        <v/>
      </c>
      <c r="D3077" s="89" t="str">
        <v>Periódica</v>
      </c>
      <c r="E3077" s="89">
        <v>1095</v>
      </c>
      <c r="F3077" s="89" t="str">
        <v/>
      </c>
      <c r="G3077" s="89" t="str">
        <f ca="1"/>
        <v/>
      </c>
    </row>
    <row r="3078" spans="1:7" x14ac:dyDescent="0.3">
      <c r="A3078" s="89" t="str">
        <v/>
      </c>
      <c r="B3078" s="89" t="str">
        <v>Camiones Industriales Motorizados (PIT) (Todos)</v>
      </c>
      <c r="C3078" s="90" t="str">
        <v/>
      </c>
      <c r="D3078" s="89" t="str">
        <v>Periódica</v>
      </c>
      <c r="E3078" s="89">
        <v>365</v>
      </c>
      <c r="F3078" s="89" t="str">
        <v/>
      </c>
      <c r="G3078" s="89" t="str">
        <f ca="1"/>
        <v/>
      </c>
    </row>
    <row r="3079" spans="1:7" x14ac:dyDescent="0.3">
      <c r="A3079" s="89" t="str">
        <v/>
      </c>
      <c r="B3079" s="89" t="str">
        <v>Camiones Industriales Motorizados (PIT) (Op. Montacargas)</v>
      </c>
      <c r="C3079" s="90" t="str">
        <v/>
      </c>
      <c r="D3079" s="89" t="str">
        <v>Periódica</v>
      </c>
      <c r="E3079" s="89">
        <v>365</v>
      </c>
      <c r="F3079" s="89" t="str">
        <v/>
      </c>
      <c r="G3079" s="89" t="str">
        <f ca="1"/>
        <v/>
      </c>
    </row>
    <row r="3080" spans="1:7" x14ac:dyDescent="0.3">
      <c r="A3080" s="89" t="str">
        <v/>
      </c>
      <c r="B3080" s="89" t="str">
        <v>Control de Energias Peligrosas (LOTO) (Todos)</v>
      </c>
      <c r="C3080" s="90" t="str">
        <v/>
      </c>
      <c r="D3080" s="89" t="str">
        <v>Evento</v>
      </c>
      <c r="E3080" s="89">
        <v>0</v>
      </c>
      <c r="F3080" s="89" t="str">
        <v/>
      </c>
      <c r="G3080" s="89" t="str">
        <f ca="1"/>
        <v/>
      </c>
    </row>
    <row r="3081" spans="1:7" x14ac:dyDescent="0.3">
      <c r="A3081" s="89" t="str">
        <v/>
      </c>
      <c r="B3081" s="89" t="str">
        <v>Control de Energias Peligrosas (LOTO) (Empleados Autorizados)</v>
      </c>
      <c r="C3081" s="90" t="str">
        <v/>
      </c>
      <c r="D3081" s="89" t="str">
        <v>Periódica</v>
      </c>
      <c r="E3081" s="89">
        <v>365</v>
      </c>
      <c r="F3081" s="89" t="str">
        <v/>
      </c>
      <c r="G3081" s="89" t="str">
        <f ca="1"/>
        <v/>
      </c>
    </row>
    <row r="3082" spans="1:7" x14ac:dyDescent="0.3">
      <c r="A3082" s="89" t="str">
        <v/>
      </c>
      <c r="B3082" s="89" t="str">
        <v>Seguridad aplicada al Pozo &amp; Yacimiento</v>
      </c>
      <c r="C3082" s="90" t="str">
        <v/>
      </c>
      <c r="D3082" s="89" t="str">
        <v>Periódica</v>
      </c>
      <c r="E3082" s="89">
        <v>365</v>
      </c>
      <c r="F3082" s="89" t="str">
        <v/>
      </c>
      <c r="G3082" s="89" t="str">
        <f ca="1"/>
        <v/>
      </c>
    </row>
    <row r="3083" spans="1:7" x14ac:dyDescent="0.3">
      <c r="A3083" s="89" t="str">
        <v/>
      </c>
      <c r="B3083" s="89" t="str">
        <v>Las Reglas que Salvan Vidas</v>
      </c>
      <c r="C3083" s="90" t="str">
        <v/>
      </c>
      <c r="D3083" s="89" t="str">
        <v>Periódica</v>
      </c>
      <c r="E3083" s="89">
        <v>365</v>
      </c>
      <c r="F3083" s="89" t="str">
        <v/>
      </c>
      <c r="G3083" s="89" t="str">
        <f ca="1"/>
        <v/>
      </c>
    </row>
    <row r="3084" spans="1:7" x14ac:dyDescent="0.3">
      <c r="A3084" s="89" t="str">
        <v/>
      </c>
      <c r="B3084" s="89" t="str">
        <v xml:space="preserve">Resguardo de Maquinas &amp; Equipos </v>
      </c>
      <c r="C3084" s="90" t="str">
        <v/>
      </c>
      <c r="D3084" s="89" t="str">
        <v>Periódica</v>
      </c>
      <c r="E3084" s="89">
        <v>365</v>
      </c>
      <c r="F3084" s="89" t="str">
        <v/>
      </c>
      <c r="G3084" s="89" t="str">
        <f ca="1"/>
        <v/>
      </c>
    </row>
    <row r="3085" spans="1:7" x14ac:dyDescent="0.3">
      <c r="A3085" s="89" t="str">
        <v/>
      </c>
      <c r="B3085" s="89" t="str">
        <v>Conduccion y Gestion de Viajes (Todos)</v>
      </c>
      <c r="C3085" s="90" t="str">
        <v/>
      </c>
      <c r="D3085" s="89" t="str">
        <v>Periódica</v>
      </c>
      <c r="E3085" s="89">
        <v>730</v>
      </c>
      <c r="F3085" s="89" t="str">
        <v/>
      </c>
      <c r="G3085" s="89" t="str">
        <f ca="1"/>
        <v/>
      </c>
    </row>
    <row r="3086" spans="1:7" x14ac:dyDescent="0.3">
      <c r="A3086" s="89" t="str">
        <v/>
      </c>
      <c r="B3086" s="89" t="str">
        <v>Conduccion y Gestion de Viajes (Conductores)</v>
      </c>
      <c r="C3086" s="90" t="str">
        <v/>
      </c>
      <c r="D3086" s="89" t="str">
        <v>Periódica</v>
      </c>
      <c r="E3086" s="89">
        <v>1095</v>
      </c>
      <c r="F3086" s="89" t="str">
        <v/>
      </c>
      <c r="G3086" s="89" t="str">
        <f ca="1"/>
        <v/>
      </c>
    </row>
    <row r="3087" spans="1:7" x14ac:dyDescent="0.3">
      <c r="A3087" s="89" t="str">
        <v/>
      </c>
      <c r="B3087" s="89" t="str">
        <v>Patogenos Transmitidos por la Sangre</v>
      </c>
      <c r="C3087" s="90" t="str">
        <v/>
      </c>
      <c r="D3087" s="89" t="str">
        <v>Periódica</v>
      </c>
      <c r="E3087" s="89">
        <v>365</v>
      </c>
      <c r="F3087" s="89" t="str">
        <v/>
      </c>
      <c r="G3087" s="89" t="str">
        <f ca="1"/>
        <v/>
      </c>
    </row>
    <row r="3088" spans="1:7" x14ac:dyDescent="0.3">
      <c r="A3088" s="89" t="str">
        <v/>
      </c>
      <c r="B3088" s="89" t="str">
        <v>Conservacion Auditiva</v>
      </c>
      <c r="C3088" s="90" t="str">
        <v/>
      </c>
      <c r="D3088" s="89" t="str">
        <v>Periódica</v>
      </c>
      <c r="E3088" s="89">
        <v>365</v>
      </c>
      <c r="F3088" s="89" t="str">
        <v/>
      </c>
      <c r="G3088" s="89" t="str">
        <f ca="1"/>
        <v/>
      </c>
    </row>
    <row r="3089" spans="1:7" x14ac:dyDescent="0.3">
      <c r="A3089" s="89" t="str">
        <v/>
      </c>
      <c r="B3089" s="89" t="str">
        <v xml:space="preserve">Ergonomia //  / Levantamiento &amp; Seguridad en la Espalda </v>
      </c>
      <c r="C3089" s="90" t="str">
        <v/>
      </c>
      <c r="D3089" s="89" t="str">
        <v>Periódica</v>
      </c>
      <c r="E3089" s="89">
        <v>365</v>
      </c>
      <c r="F3089" s="89" t="str">
        <v/>
      </c>
      <c r="G3089" s="89" t="str">
        <f ca="1"/>
        <v/>
      </c>
    </row>
    <row r="3090" spans="1:7" x14ac:dyDescent="0.3">
      <c r="A3090" s="89" t="str">
        <v/>
      </c>
      <c r="B3090" s="89" t="str">
        <v>Superficies Elevadas (Todos)</v>
      </c>
      <c r="C3090" s="90" t="str">
        <v/>
      </c>
      <c r="D3090" s="89" t="str">
        <v>Periódica</v>
      </c>
      <c r="E3090" s="89">
        <v>365</v>
      </c>
      <c r="F3090" s="89" t="str">
        <v/>
      </c>
      <c r="G3090" s="89" t="str">
        <f ca="1"/>
        <v/>
      </c>
    </row>
    <row r="3091" spans="1:7" x14ac:dyDescent="0.3">
      <c r="A3091" s="89" t="str">
        <v/>
      </c>
      <c r="B3091" s="89" t="str">
        <v>Superficies Elevadas (Personal Habilitado)</v>
      </c>
      <c r="C3091" s="90" t="str">
        <v/>
      </c>
      <c r="D3091" s="89" t="str">
        <v>Periódica</v>
      </c>
      <c r="E3091" s="89">
        <v>365</v>
      </c>
      <c r="F3091" s="89" t="str">
        <v/>
      </c>
      <c r="G3091" s="89" t="str">
        <f ca="1"/>
        <v/>
      </c>
    </row>
    <row r="3092" spans="1:7" x14ac:dyDescent="0.3">
      <c r="A3092" s="89" t="str">
        <v/>
      </c>
      <c r="B3092" s="89" t="str">
        <v>Seguridad Quimica (Todos)</v>
      </c>
      <c r="C3092" s="90" t="str">
        <v/>
      </c>
      <c r="D3092" s="89" t="str">
        <v>Periódica</v>
      </c>
      <c r="E3092" s="89">
        <v>730</v>
      </c>
      <c r="F3092" s="89" t="str">
        <v/>
      </c>
      <c r="G3092" s="89" t="str">
        <f ca="1"/>
        <v/>
      </c>
    </row>
    <row r="3093" spans="1:7" x14ac:dyDescent="0.3">
      <c r="A3093" s="89" t="str">
        <v/>
      </c>
      <c r="B3093" s="89" t="str">
        <v>Seguridad Quimica (Mantenimiento)</v>
      </c>
      <c r="C3093" s="90" t="str">
        <v/>
      </c>
      <c r="D3093" s="89" t="str">
        <v>Periódica</v>
      </c>
      <c r="E3093" s="89">
        <v>365</v>
      </c>
      <c r="F3093" s="89" t="str">
        <v/>
      </c>
      <c r="G3093" s="89" t="str">
        <f ca="1"/>
        <v/>
      </c>
    </row>
    <row r="3094" spans="1:7" x14ac:dyDescent="0.3">
      <c r="A3094" s="89" t="str">
        <v/>
      </c>
      <c r="B3094" s="89" t="str">
        <v>Seguridad Quimica (Contratistas)</v>
      </c>
      <c r="C3094" s="90" t="str">
        <v/>
      </c>
      <c r="D3094" s="89" t="str">
        <v>Periódica</v>
      </c>
      <c r="E3094" s="89">
        <v>365</v>
      </c>
      <c r="F3094" s="89" t="str">
        <v/>
      </c>
      <c r="G3094" s="89" t="str">
        <f ca="1"/>
        <v/>
      </c>
    </row>
    <row r="3095" spans="1:7" x14ac:dyDescent="0.3">
      <c r="A3095" s="89" t="str">
        <v/>
      </c>
      <c r="B3095" s="89" t="str">
        <v>Seguridad para Trabajos en Caliente</v>
      </c>
      <c r="C3095" s="90" t="str">
        <v/>
      </c>
      <c r="D3095" s="89" t="str">
        <v>Periódica</v>
      </c>
      <c r="E3095" s="89">
        <v>365</v>
      </c>
      <c r="F3095" s="89" t="str">
        <v/>
      </c>
      <c r="G3095" s="89" t="str">
        <f ca="1"/>
        <v/>
      </c>
    </row>
    <row r="3096" spans="1:7" x14ac:dyDescent="0.3">
      <c r="A3096" s="89" t="str">
        <v/>
      </c>
      <c r="B3096" s="89" t="str">
        <v>Seguridad con la Radiacion</v>
      </c>
      <c r="C3096" s="90" t="str">
        <v/>
      </c>
      <c r="D3096" s="89" t="str">
        <v>Periódica</v>
      </c>
      <c r="E3096" s="89">
        <v>365</v>
      </c>
      <c r="F3096" s="89" t="str">
        <v/>
      </c>
      <c r="G3096" s="89" t="str">
        <f ca="1"/>
        <v/>
      </c>
    </row>
    <row r="3097" spans="1:7" x14ac:dyDescent="0.3">
      <c r="A3097" s="89" t="str">
        <v/>
      </c>
      <c r="B3097" s="89" t="str">
        <v>Equipo de Proteccion Personal (PPE)</v>
      </c>
      <c r="C3097" s="90" t="str">
        <v/>
      </c>
      <c r="D3097" s="89" t="str">
        <v>Periódica</v>
      </c>
      <c r="E3097" s="89">
        <v>365</v>
      </c>
      <c r="F3097" s="89" t="str">
        <v/>
      </c>
      <c r="G3097" s="89" t="str">
        <f ca="1"/>
        <v/>
      </c>
    </row>
    <row r="3098" spans="1:7" x14ac:dyDescent="0.3">
      <c r="A3098" s="89" t="str">
        <v/>
      </c>
      <c r="B3098" s="89" t="str">
        <v>Proteccion Respiratoria</v>
      </c>
      <c r="C3098" s="90" t="str">
        <v/>
      </c>
      <c r="D3098" s="89" t="str">
        <v>Periódica</v>
      </c>
      <c r="E3098" s="89">
        <v>365</v>
      </c>
      <c r="F3098" s="89" t="str">
        <v/>
      </c>
      <c r="G3098" s="89" t="str">
        <f ca="1"/>
        <v/>
      </c>
    </row>
    <row r="3099" spans="1:7" x14ac:dyDescent="0.3">
      <c r="A3099" s="89" t="str">
        <v/>
      </c>
      <c r="B3099" s="89" t="str">
        <v xml:space="preserve">Seguridad con Escaleras </v>
      </c>
      <c r="C3099" s="90" t="str">
        <v/>
      </c>
      <c r="D3099" s="89" t="str">
        <v>Periódica</v>
      </c>
      <c r="E3099" s="89">
        <v>365</v>
      </c>
      <c r="F3099" s="89" t="str">
        <v/>
      </c>
      <c r="G3099" s="89" t="str">
        <f ca="1"/>
        <v/>
      </c>
    </row>
    <row r="3100" spans="1:7" x14ac:dyDescent="0.3">
      <c r="A3100" s="89" t="str">
        <v/>
      </c>
      <c r="B3100" s="89" t="str">
        <v>Seguridad con Escaleras // Estantes de Almacenamiento</v>
      </c>
      <c r="C3100" s="90" t="str">
        <v/>
      </c>
      <c r="D3100" s="89" t="str">
        <v>Periódica</v>
      </c>
      <c r="E3100" s="89">
        <v>365</v>
      </c>
      <c r="F3100" s="89" t="str">
        <v/>
      </c>
      <c r="G3100" s="89" t="str">
        <f ca="1"/>
        <v/>
      </c>
    </row>
    <row r="3101" spans="1:7" x14ac:dyDescent="0.3">
      <c r="A3101" s="89" t="str">
        <v/>
      </c>
      <c r="B3101" s="89" t="str">
        <v>Responsabilidades del Supervisor</v>
      </c>
      <c r="C3101" s="90" t="str">
        <v/>
      </c>
      <c r="D3101" s="89" t="str">
        <v>Periódica</v>
      </c>
      <c r="E3101" s="89">
        <v>365</v>
      </c>
      <c r="F3101" s="89" t="str">
        <v/>
      </c>
      <c r="G3101" s="89" t="str">
        <f ca="1"/>
        <v/>
      </c>
    </row>
    <row r="3102" spans="1:7" x14ac:dyDescent="0.3">
      <c r="A3102" s="89" t="str">
        <v/>
      </c>
      <c r="B3102" s="89" t="str">
        <v>Espacios Confinados (Todos)</v>
      </c>
      <c r="C3102" s="90" t="str">
        <v/>
      </c>
      <c r="D3102" s="89" t="str">
        <v>Periódica</v>
      </c>
      <c r="E3102" s="89">
        <v>365</v>
      </c>
      <c r="F3102" s="89" t="str">
        <v/>
      </c>
      <c r="G3102" s="89" t="str">
        <f ca="1"/>
        <v/>
      </c>
    </row>
    <row r="3103" spans="1:7" x14ac:dyDescent="0.3">
      <c r="A3103" s="89" t="str">
        <v/>
      </c>
      <c r="B3103" s="89" t="str">
        <v>HSMS.017 / Espacios Confinados (Entrantes)</v>
      </c>
      <c r="C3103" s="90" t="str">
        <v/>
      </c>
      <c r="D3103" s="89" t="str">
        <v>Evento</v>
      </c>
      <c r="E3103" s="89">
        <v>0</v>
      </c>
      <c r="F3103" s="89" t="str">
        <v/>
      </c>
      <c r="G3103" s="89" t="str">
        <f ca="1"/>
        <v/>
      </c>
    </row>
    <row r="3104" spans="1:7" x14ac:dyDescent="0.3">
      <c r="A3104" s="89" t="str">
        <v/>
      </c>
      <c r="B3104" s="89" t="str">
        <v>Programa de Agua (Todos)</v>
      </c>
      <c r="C3104" s="90" t="str">
        <v/>
      </c>
      <c r="D3104" s="89" t="str">
        <v>Evento</v>
      </c>
      <c r="E3104" s="89">
        <v>0</v>
      </c>
      <c r="F3104" s="89" t="str">
        <v/>
      </c>
      <c r="G3104" s="89" t="str">
        <f ca="1"/>
        <v/>
      </c>
    </row>
    <row r="3105" spans="1:7" x14ac:dyDescent="0.3">
      <c r="A3105" s="89" t="str">
        <v/>
      </c>
      <c r="B3105" s="89" t="str">
        <v>Programa de Agua (HSE)</v>
      </c>
      <c r="C3105" s="90" t="str">
        <v/>
      </c>
      <c r="D3105" s="89" t="str">
        <v>Evento</v>
      </c>
      <c r="E3105" s="89">
        <v>0</v>
      </c>
      <c r="F3105" s="89" t="str">
        <v/>
      </c>
      <c r="G3105" s="89" t="str">
        <f ca="1"/>
        <v/>
      </c>
    </row>
    <row r="3106" spans="1:7" x14ac:dyDescent="0.3">
      <c r="A3106" s="89" t="str">
        <v/>
      </c>
      <c r="B3106" s="89" t="str">
        <v>HIV/SIDA y otras enfermedades de transmisión sexual (ETS)</v>
      </c>
      <c r="C3106" s="90" t="str">
        <v/>
      </c>
      <c r="D3106" s="89" t="str">
        <v>Periódica</v>
      </c>
      <c r="E3106" s="89">
        <v>365</v>
      </c>
      <c r="F3106" s="89" t="str">
        <v/>
      </c>
      <c r="G3106" s="89" t="str">
        <f ca="1"/>
        <v/>
      </c>
    </row>
    <row r="3107" spans="1:7" x14ac:dyDescent="0.3">
      <c r="A3107" s="89" t="str">
        <v/>
      </c>
      <c r="B3107" s="89" t="str">
        <v>Drogas de abuso (concientización y prevención)</v>
      </c>
      <c r="C3107" s="90" t="str">
        <v/>
      </c>
      <c r="D3107" s="89" t="str">
        <v>Periódica</v>
      </c>
      <c r="E3107" s="89">
        <v>365</v>
      </c>
      <c r="F3107" s="89" t="str">
        <v/>
      </c>
      <c r="G3107" s="89" t="str">
        <f ca="1"/>
        <v/>
      </c>
    </row>
    <row r="3108" spans="1:7" x14ac:dyDescent="0.3">
      <c r="A3108" s="89" t="str">
        <v/>
      </c>
      <c r="B3108" s="89" t="str">
        <v>Vida saludable (hábitos, autocuidado y bienestar)</v>
      </c>
      <c r="C3108" s="90" t="str">
        <v/>
      </c>
      <c r="D3108" s="89" t="str">
        <v>Periódica</v>
      </c>
      <c r="E3108" s="89">
        <v>365</v>
      </c>
      <c r="F3108" s="89" t="str">
        <v/>
      </c>
      <c r="G3108" s="89" t="str">
        <f ca="1"/>
        <v/>
      </c>
    </row>
    <row r="3109" spans="1:7" x14ac:dyDescent="0.3">
      <c r="A3109" s="89" t="str">
        <v/>
      </c>
      <c r="B3109" s="89" t="str">
        <v>Primeros auxilios y Reanimación Cardio Pulmonar (RCP)</v>
      </c>
      <c r="C3109" s="90" t="str">
        <v/>
      </c>
      <c r="D3109" s="89" t="str">
        <v>Periódica</v>
      </c>
      <c r="E3109" s="89">
        <v>365</v>
      </c>
      <c r="F3109" s="89" t="str">
        <v/>
      </c>
      <c r="G3109" s="89" t="str">
        <f ca="1"/>
        <v/>
      </c>
    </row>
    <row r="3110" spans="1:7" x14ac:dyDescent="0.3">
      <c r="A3110" s="89" t="str">
        <v/>
      </c>
      <c r="B3110" s="89" t="str">
        <v>Prevención cardiovascular (factores de riesgo y señales de alarma)</v>
      </c>
      <c r="C3110" s="90" t="str">
        <v/>
      </c>
      <c r="D3110" s="89" t="str">
        <v>Periódica</v>
      </c>
      <c r="E3110" s="89">
        <v>365</v>
      </c>
      <c r="F3110" s="89" t="str">
        <v/>
      </c>
      <c r="G3110" s="89" t="str">
        <f ca="1"/>
        <v/>
      </c>
    </row>
    <row r="3111" spans="1:7" x14ac:dyDescent="0.3">
      <c r="A3111" s="89" t="str">
        <v/>
      </c>
      <c r="B3111" s="89" t="str">
        <v>Efectos del tabaco sobre la salud</v>
      </c>
      <c r="C3111" s="90" t="str">
        <v/>
      </c>
      <c r="D3111" s="89" t="str">
        <v>Periódica</v>
      </c>
      <c r="E3111" s="89">
        <v>365</v>
      </c>
      <c r="F3111" s="89" t="str">
        <v/>
      </c>
      <c r="G3111" s="89" t="str">
        <f ca="1"/>
        <v/>
      </c>
    </row>
    <row r="3112" spans="1:7" x14ac:dyDescent="0.3">
      <c r="A3112" s="89" t="str">
        <v/>
      </c>
      <c r="B3112" s="89" t="str">
        <v>Cargadora (Op. Montacargas)</v>
      </c>
      <c r="C3112" s="90" t="str">
        <v/>
      </c>
      <c r="D3112" s="89" t="str">
        <v>Periódica</v>
      </c>
      <c r="E3112" s="89">
        <v>365</v>
      </c>
      <c r="F3112" s="89" t="str">
        <v/>
      </c>
      <c r="G3112" s="89" t="str">
        <f ca="1"/>
        <v/>
      </c>
    </row>
    <row r="3113" spans="1:7" x14ac:dyDescent="0.3">
      <c r="A3113" s="89" t="str">
        <v/>
      </c>
      <c r="B3113" s="89">
        <v>0</v>
      </c>
      <c r="C3113" s="90" t="str">
        <v/>
      </c>
      <c r="D3113" s="89" t="str">
        <v/>
      </c>
      <c r="E3113" s="89" t="str">
        <v/>
      </c>
      <c r="F3113" s="89" t="str">
        <v/>
      </c>
      <c r="G3113" s="89" t="str">
        <f ca="1"/>
        <v/>
      </c>
    </row>
    <row r="3114" spans="1:7" x14ac:dyDescent="0.3">
      <c r="A3114" s="89" t="str">
        <v/>
      </c>
      <c r="B3114" s="89">
        <v>0</v>
      </c>
      <c r="C3114" s="90" t="str">
        <v/>
      </c>
      <c r="D3114" s="89" t="str">
        <v/>
      </c>
      <c r="E3114" s="89" t="str">
        <v/>
      </c>
      <c r="F3114" s="89" t="str">
        <v/>
      </c>
      <c r="G3114" s="89" t="str">
        <f ca="1"/>
        <v/>
      </c>
    </row>
    <row r="3115" spans="1:7" x14ac:dyDescent="0.3">
      <c r="A3115" s="89" t="str">
        <v/>
      </c>
      <c r="B3115" s="89">
        <v>0</v>
      </c>
      <c r="C3115" s="90" t="str">
        <v/>
      </c>
      <c r="D3115" s="89" t="str">
        <v/>
      </c>
      <c r="E3115" s="89" t="str">
        <v/>
      </c>
      <c r="F3115" s="89" t="str">
        <v/>
      </c>
      <c r="G3115" s="89" t="str">
        <f ca="1"/>
        <v/>
      </c>
    </row>
    <row r="3116" spans="1:7" x14ac:dyDescent="0.3">
      <c r="A3116" s="89" t="str">
        <v/>
      </c>
      <c r="B3116" s="89">
        <v>0</v>
      </c>
      <c r="C3116" s="90" t="str">
        <v/>
      </c>
      <c r="D3116" s="89" t="str">
        <v/>
      </c>
      <c r="E3116" s="89" t="str">
        <v/>
      </c>
      <c r="F3116" s="89" t="str">
        <v/>
      </c>
      <c r="G3116" s="89" t="str">
        <f ca="1"/>
        <v/>
      </c>
    </row>
    <row r="3117" spans="1:7" x14ac:dyDescent="0.3">
      <c r="A3117" s="89" t="str">
        <v/>
      </c>
      <c r="B3117" s="89">
        <v>0</v>
      </c>
      <c r="C3117" s="90" t="str">
        <v/>
      </c>
      <c r="D3117" s="89" t="str">
        <v/>
      </c>
      <c r="E3117" s="89" t="str">
        <v/>
      </c>
      <c r="F3117" s="89" t="str">
        <v/>
      </c>
      <c r="G3117" s="89" t="str">
        <f ca="1"/>
        <v/>
      </c>
    </row>
    <row r="3118" spans="1:7" x14ac:dyDescent="0.3">
      <c r="A3118" s="89" t="str">
        <v/>
      </c>
      <c r="B3118" s="89">
        <v>0</v>
      </c>
      <c r="C3118" s="90" t="str">
        <v/>
      </c>
      <c r="D3118" s="89" t="str">
        <v/>
      </c>
      <c r="E3118" s="89" t="str">
        <v/>
      </c>
      <c r="F3118" s="89" t="str">
        <v/>
      </c>
      <c r="G3118" s="89" t="str">
        <f ca="1"/>
        <v/>
      </c>
    </row>
    <row r="3119" spans="1:7" x14ac:dyDescent="0.3">
      <c r="A3119" s="89" t="str">
        <v/>
      </c>
      <c r="B3119" s="89">
        <v>0</v>
      </c>
      <c r="C3119" s="90" t="str">
        <v/>
      </c>
      <c r="D3119" s="89" t="str">
        <v/>
      </c>
      <c r="E3119" s="89" t="str">
        <v/>
      </c>
      <c r="F3119" s="89" t="str">
        <v/>
      </c>
      <c r="G3119" s="89" t="str">
        <f ca="1"/>
        <v/>
      </c>
    </row>
    <row r="3120" spans="1:7" x14ac:dyDescent="0.3">
      <c r="A3120" s="89" t="str">
        <v/>
      </c>
      <c r="B3120" s="89">
        <v>0</v>
      </c>
      <c r="C3120" s="90" t="str">
        <v/>
      </c>
      <c r="D3120" s="89" t="str">
        <v/>
      </c>
      <c r="E3120" s="89" t="str">
        <v/>
      </c>
      <c r="F3120" s="89" t="str">
        <v/>
      </c>
      <c r="G3120" s="89" t="str">
        <f ca="1"/>
        <v/>
      </c>
    </row>
    <row r="3121" spans="1:7" x14ac:dyDescent="0.3">
      <c r="A3121" s="89" t="str">
        <v/>
      </c>
      <c r="B3121" s="89">
        <v>0</v>
      </c>
      <c r="C3121" s="90" t="str">
        <v/>
      </c>
      <c r="D3121" s="89" t="str">
        <v/>
      </c>
      <c r="E3121" s="89" t="str">
        <v/>
      </c>
      <c r="F3121" s="89" t="str">
        <v/>
      </c>
      <c r="G3121" s="89" t="str">
        <f ca="1"/>
        <v/>
      </c>
    </row>
    <row r="3122" spans="1:7" x14ac:dyDescent="0.3">
      <c r="A3122" s="89" t="str">
        <v/>
      </c>
      <c r="B3122" s="89" t="str">
        <v>Programa de Aire</v>
      </c>
      <c r="C3122" s="90" t="str">
        <v/>
      </c>
      <c r="D3122" s="89" t="str">
        <v>Evento</v>
      </c>
      <c r="E3122" s="89">
        <v>0</v>
      </c>
      <c r="F3122" s="89" t="str">
        <v/>
      </c>
      <c r="G3122" s="89" t="str">
        <f ca="1"/>
        <v/>
      </c>
    </row>
    <row r="3123" spans="1:7" x14ac:dyDescent="0.3">
      <c r="A3123" s="89" t="str">
        <v/>
      </c>
      <c r="B3123" s="89" t="str">
        <v>Conciencia Ambiental</v>
      </c>
      <c r="C3123" s="90" t="str">
        <v/>
      </c>
      <c r="D3123" s="89" t="str">
        <v>Periódica</v>
      </c>
      <c r="E3123" s="89">
        <v>365</v>
      </c>
      <c r="F3123" s="89" t="str">
        <v/>
      </c>
      <c r="G3123" s="89" t="str">
        <f ca="1"/>
        <v/>
      </c>
    </row>
    <row r="3124" spans="1:7" x14ac:dyDescent="0.3">
      <c r="A3124" s="89" t="str">
        <v/>
      </c>
      <c r="B3124" s="89" t="str">
        <v xml:space="preserve">Control de Documentos e Informacion de HSE </v>
      </c>
      <c r="C3124" s="90" t="str">
        <v/>
      </c>
      <c r="D3124" s="89" t="str">
        <v>Evento</v>
      </c>
      <c r="E3124" s="89">
        <v>0</v>
      </c>
      <c r="F3124" s="89" t="str">
        <v/>
      </c>
      <c r="G3124" s="89" t="str">
        <f ca="1"/>
        <v/>
      </c>
    </row>
    <row r="3125" spans="1:7" x14ac:dyDescent="0.3">
      <c r="A3125" s="89" t="str">
        <v/>
      </c>
      <c r="B3125" s="89" t="str">
        <v xml:space="preserve"> Acciones Correctivas y Preventivas (CAPA)</v>
      </c>
      <c r="C3125" s="90" t="str">
        <v/>
      </c>
      <c r="D3125" s="89" t="str">
        <v>Evento</v>
      </c>
      <c r="E3125" s="89">
        <v>0</v>
      </c>
      <c r="F3125" s="89" t="str">
        <v/>
      </c>
      <c r="G3125" s="89" t="str">
        <f ca="1"/>
        <v/>
      </c>
    </row>
    <row r="3126" spans="1:7" x14ac:dyDescent="0.3">
      <c r="A3126" s="89" t="str">
        <v/>
      </c>
      <c r="B3126" s="89" t="str">
        <v>Seguridad Basada en el Comportamiento (Observation Program) // HSMS.043 / Autoridad de Detener el Trabajo</v>
      </c>
      <c r="C3126" s="90" t="str">
        <v/>
      </c>
      <c r="D3126" s="89" t="str">
        <v>Periódica</v>
      </c>
      <c r="E3126" s="89">
        <v>365</v>
      </c>
      <c r="F3126" s="89" t="str">
        <v/>
      </c>
      <c r="G3126" s="89" t="str">
        <f ca="1"/>
        <v/>
      </c>
    </row>
    <row r="3127" spans="1:7" x14ac:dyDescent="0.3">
      <c r="A3127" s="89" t="str">
        <v/>
      </c>
      <c r="B3127" s="89" t="str">
        <v>Identificacion de Peligros y Evaluacion de Riesgos</v>
      </c>
      <c r="C3127" s="90" t="str">
        <v/>
      </c>
      <c r="D3127" s="89" t="str">
        <v>Evento</v>
      </c>
      <c r="E3127" s="89">
        <v>0</v>
      </c>
      <c r="F3127" s="89" t="str">
        <v/>
      </c>
      <c r="G3127" s="89" t="str">
        <f ca="1"/>
        <v/>
      </c>
    </row>
    <row r="3128" spans="1:7" x14ac:dyDescent="0.3">
      <c r="A3128" s="89" t="str">
        <v/>
      </c>
      <c r="B3128" s="89" t="str">
        <v xml:space="preserve"> Plan de Respuesta ante Eemergencias / HSMS.010 /Primeros Axulios &amp; RCP/DEA / HSMSWT-002 / Patogenos Trasnmitidos por la Sangre</v>
      </c>
      <c r="C3128" s="90" t="str">
        <v/>
      </c>
      <c r="D3128" s="89" t="str">
        <v>Periódica</v>
      </c>
      <c r="E3128" s="89">
        <v>365</v>
      </c>
      <c r="F3128" s="89" t="str">
        <v/>
      </c>
      <c r="G3128" s="89" t="str">
        <f ca="1"/>
        <v/>
      </c>
    </row>
    <row r="3129" spans="1:7" x14ac:dyDescent="0.3">
      <c r="A3129" s="89" t="str">
        <v/>
      </c>
      <c r="B3129" s="89" t="str">
        <v>Reporte y Gestion de Incidentes HSE (Todos)</v>
      </c>
      <c r="C3129" s="90" t="str">
        <v/>
      </c>
      <c r="D3129" s="89" t="str">
        <v>Periódica</v>
      </c>
      <c r="E3129" s="89">
        <v>365</v>
      </c>
      <c r="F3129" s="89" t="str">
        <v/>
      </c>
      <c r="G3129" s="89" t="str">
        <f ca="1"/>
        <v/>
      </c>
    </row>
    <row r="3130" spans="1:7" x14ac:dyDescent="0.3">
      <c r="A3130" s="89" t="str">
        <v/>
      </c>
      <c r="B3130" s="89" t="str">
        <v>Reporte, Gestion e Investigacion de Incidentes HSE (supervisores / investigadores (rol))</v>
      </c>
      <c r="C3130" s="90" t="str">
        <v/>
      </c>
      <c r="D3130" s="89" t="str">
        <v>Periódica</v>
      </c>
      <c r="E3130" s="89">
        <v>1095</v>
      </c>
      <c r="F3130" s="89" t="str">
        <v/>
      </c>
      <c r="G3130" s="89" t="str">
        <f ca="1"/>
        <v/>
      </c>
    </row>
    <row r="3131" spans="1:7" x14ac:dyDescent="0.3">
      <c r="A3131" s="89" t="str">
        <v/>
      </c>
      <c r="B3131" s="89" t="str">
        <v>Gruas y Equipos de Izaje (Todos)</v>
      </c>
      <c r="C3131" s="90" t="str">
        <v/>
      </c>
      <c r="D3131" s="89" t="str">
        <v>Periódica</v>
      </c>
      <c r="E3131" s="89">
        <v>365</v>
      </c>
      <c r="F3131" s="89" t="str">
        <v/>
      </c>
      <c r="G3131" s="89" t="str">
        <f ca="1"/>
        <v/>
      </c>
    </row>
    <row r="3132" spans="1:7" x14ac:dyDescent="0.3">
      <c r="A3132" s="89" t="str">
        <v/>
      </c>
      <c r="B3132" s="89" t="str">
        <v>HSMS.007 / Gruas y Equipos de Izaje (Operadores)</v>
      </c>
      <c r="C3132" s="90" t="str">
        <v/>
      </c>
      <c r="D3132" s="89" t="str">
        <v>Periódica</v>
      </c>
      <c r="E3132" s="89">
        <v>365</v>
      </c>
      <c r="F3132" s="89" t="str">
        <v/>
      </c>
      <c r="G3132" s="89" t="str">
        <f ca="1"/>
        <v/>
      </c>
    </row>
    <row r="3133" spans="1:7" x14ac:dyDescent="0.3">
      <c r="A3133" s="89" t="str">
        <v/>
      </c>
      <c r="B3133" s="89" t="str">
        <v>Proteccion Contra Incendios (Todos)</v>
      </c>
      <c r="C3133" s="90" t="str">
        <v/>
      </c>
      <c r="D3133" s="89" t="str">
        <v>Periódica</v>
      </c>
      <c r="E3133" s="89">
        <v>365</v>
      </c>
      <c r="F3133" s="89" t="str">
        <v/>
      </c>
      <c r="G3133" s="89" t="str">
        <f ca="1"/>
        <v/>
      </c>
    </row>
    <row r="3134" spans="1:7" x14ac:dyDescent="0.3">
      <c r="A3134" s="89" t="str">
        <v/>
      </c>
      <c r="B3134" s="89" t="str">
        <v>Proteccion Contra Incendios (Brigadistas)</v>
      </c>
      <c r="C3134" s="90" t="str">
        <v/>
      </c>
      <c r="D3134" s="89" t="str">
        <v>Periódica</v>
      </c>
      <c r="E3134" s="89">
        <v>365</v>
      </c>
      <c r="F3134" s="89" t="str">
        <v/>
      </c>
      <c r="G3134" s="89" t="str">
        <f ca="1"/>
        <v/>
      </c>
    </row>
    <row r="3135" spans="1:7" x14ac:dyDescent="0.3">
      <c r="A3135" s="89" t="str">
        <v/>
      </c>
      <c r="B3135" s="89" t="str">
        <v>Primeros Auxilios (Brigadistas)</v>
      </c>
      <c r="C3135" s="90" t="str">
        <v/>
      </c>
      <c r="D3135" s="89" t="str">
        <v>Periódica</v>
      </c>
      <c r="E3135" s="89">
        <v>365</v>
      </c>
      <c r="F3135" s="89" t="str">
        <v/>
      </c>
      <c r="G3135" s="89" t="str">
        <f ca="1"/>
        <v/>
      </c>
    </row>
    <row r="3136" spans="1:7" x14ac:dyDescent="0.3">
      <c r="A3136" s="89" t="str">
        <v/>
      </c>
      <c r="B3136" s="89" t="str">
        <v>Seguridad Electrica (Todos)</v>
      </c>
      <c r="C3136" s="90" t="str">
        <v/>
      </c>
      <c r="D3136" s="89" t="str">
        <v>Periódica</v>
      </c>
      <c r="E3136" s="89">
        <v>365</v>
      </c>
      <c r="F3136" s="89" t="str">
        <v/>
      </c>
      <c r="G3136" s="89" t="str">
        <f ca="1"/>
        <v/>
      </c>
    </row>
    <row r="3137" spans="1:7" x14ac:dyDescent="0.3">
      <c r="A3137" s="89" t="str">
        <v/>
      </c>
      <c r="B3137" s="89" t="str">
        <v>Seguridad Electrica (Personal Autorizado)</v>
      </c>
      <c r="C3137" s="90" t="str">
        <v/>
      </c>
      <c r="D3137" s="89" t="str">
        <v>Periódica</v>
      </c>
      <c r="E3137" s="89">
        <v>1095</v>
      </c>
      <c r="F3137" s="89" t="str">
        <v/>
      </c>
      <c r="G3137" s="89" t="str">
        <f ca="1"/>
        <v/>
      </c>
    </row>
    <row r="3138" spans="1:7" x14ac:dyDescent="0.3">
      <c r="A3138" s="89" t="str">
        <v/>
      </c>
      <c r="B3138" s="89" t="str">
        <v>Camiones Industriales Motorizados (PIT) (Todos)</v>
      </c>
      <c r="C3138" s="90" t="str">
        <v/>
      </c>
      <c r="D3138" s="89" t="str">
        <v>Periódica</v>
      </c>
      <c r="E3138" s="89">
        <v>365</v>
      </c>
      <c r="F3138" s="89" t="str">
        <v/>
      </c>
      <c r="G3138" s="89" t="str">
        <f ca="1"/>
        <v/>
      </c>
    </row>
    <row r="3139" spans="1:7" x14ac:dyDescent="0.3">
      <c r="A3139" s="89" t="str">
        <v/>
      </c>
      <c r="B3139" s="89" t="str">
        <v>Camiones Industriales Motorizados (PIT) (Op. Montacargas)</v>
      </c>
      <c r="C3139" s="90" t="str">
        <v/>
      </c>
      <c r="D3139" s="89" t="str">
        <v>Periódica</v>
      </c>
      <c r="E3139" s="89">
        <v>365</v>
      </c>
      <c r="F3139" s="89" t="str">
        <v/>
      </c>
      <c r="G3139" s="89" t="str">
        <f ca="1"/>
        <v/>
      </c>
    </row>
    <row r="3140" spans="1:7" x14ac:dyDescent="0.3">
      <c r="A3140" s="89" t="str">
        <v/>
      </c>
      <c r="B3140" s="89" t="str">
        <v>Control de Energias Peligrosas (LOTO) (Todos)</v>
      </c>
      <c r="C3140" s="90" t="str">
        <v/>
      </c>
      <c r="D3140" s="89" t="str">
        <v>Evento</v>
      </c>
      <c r="E3140" s="89">
        <v>0</v>
      </c>
      <c r="F3140" s="89" t="str">
        <v/>
      </c>
      <c r="G3140" s="89" t="str">
        <f ca="1"/>
        <v/>
      </c>
    </row>
    <row r="3141" spans="1:7" x14ac:dyDescent="0.3">
      <c r="A3141" s="89" t="str">
        <v/>
      </c>
      <c r="B3141" s="89" t="str">
        <v>Control de Energias Peligrosas (LOTO) (Empleados Autorizados)</v>
      </c>
      <c r="C3141" s="90" t="str">
        <v/>
      </c>
      <c r="D3141" s="89" t="str">
        <v>Periódica</v>
      </c>
      <c r="E3141" s="89">
        <v>365</v>
      </c>
      <c r="F3141" s="89" t="str">
        <v/>
      </c>
      <c r="G3141" s="89" t="str">
        <f ca="1"/>
        <v/>
      </c>
    </row>
    <row r="3142" spans="1:7" x14ac:dyDescent="0.3">
      <c r="A3142" s="89" t="str">
        <v/>
      </c>
      <c r="B3142" s="89" t="str">
        <v>Seguridad aplicada al Pozo &amp; Yacimiento</v>
      </c>
      <c r="C3142" s="90" t="str">
        <v/>
      </c>
      <c r="D3142" s="89" t="str">
        <v>Periódica</v>
      </c>
      <c r="E3142" s="89">
        <v>365</v>
      </c>
      <c r="F3142" s="89" t="str">
        <v/>
      </c>
      <c r="G3142" s="89" t="str">
        <f ca="1"/>
        <v/>
      </c>
    </row>
    <row r="3143" spans="1:7" x14ac:dyDescent="0.3">
      <c r="A3143" s="89" t="str">
        <v/>
      </c>
      <c r="B3143" s="89" t="str">
        <v>Las Reglas que Salvan Vidas</v>
      </c>
      <c r="C3143" s="90" t="str">
        <v/>
      </c>
      <c r="D3143" s="89" t="str">
        <v>Periódica</v>
      </c>
      <c r="E3143" s="89">
        <v>365</v>
      </c>
      <c r="F3143" s="89" t="str">
        <v/>
      </c>
      <c r="G3143" s="89" t="str">
        <f ca="1"/>
        <v/>
      </c>
    </row>
    <row r="3144" spans="1:7" x14ac:dyDescent="0.3">
      <c r="A3144" s="89" t="str">
        <v/>
      </c>
      <c r="B3144" s="89" t="str">
        <v xml:space="preserve">Resguardo de Maquinas &amp; Equipos </v>
      </c>
      <c r="C3144" s="90" t="str">
        <v/>
      </c>
      <c r="D3144" s="89" t="str">
        <v>Periódica</v>
      </c>
      <c r="E3144" s="89">
        <v>365</v>
      </c>
      <c r="F3144" s="89" t="str">
        <v/>
      </c>
      <c r="G3144" s="89" t="str">
        <f ca="1"/>
        <v/>
      </c>
    </row>
    <row r="3145" spans="1:7" x14ac:dyDescent="0.3">
      <c r="A3145" s="89" t="str">
        <v/>
      </c>
      <c r="B3145" s="89" t="str">
        <v>Conduccion y Gestion de Viajes (Todos)</v>
      </c>
      <c r="C3145" s="90" t="str">
        <v/>
      </c>
      <c r="D3145" s="89" t="str">
        <v>Periódica</v>
      </c>
      <c r="E3145" s="89">
        <v>730</v>
      </c>
      <c r="F3145" s="89" t="str">
        <v/>
      </c>
      <c r="G3145" s="89" t="str">
        <f ca="1"/>
        <v/>
      </c>
    </row>
    <row r="3146" spans="1:7" x14ac:dyDescent="0.3">
      <c r="A3146" s="89" t="str">
        <v/>
      </c>
      <c r="B3146" s="89" t="str">
        <v>Conduccion y Gestion de Viajes (Conductores)</v>
      </c>
      <c r="C3146" s="90" t="str">
        <v/>
      </c>
      <c r="D3146" s="89" t="str">
        <v>Periódica</v>
      </c>
      <c r="E3146" s="89">
        <v>1095</v>
      </c>
      <c r="F3146" s="89" t="str">
        <v/>
      </c>
      <c r="G3146" s="89" t="str">
        <f ca="1"/>
        <v/>
      </c>
    </row>
    <row r="3147" spans="1:7" x14ac:dyDescent="0.3">
      <c r="A3147" s="89" t="str">
        <v/>
      </c>
      <c r="B3147" s="89" t="str">
        <v>Patogenos Transmitidos por la Sangre</v>
      </c>
      <c r="C3147" s="90" t="str">
        <v/>
      </c>
      <c r="D3147" s="89" t="str">
        <v>Periódica</v>
      </c>
      <c r="E3147" s="89">
        <v>365</v>
      </c>
      <c r="F3147" s="89" t="str">
        <v/>
      </c>
      <c r="G3147" s="89" t="str">
        <f ca="1"/>
        <v/>
      </c>
    </row>
    <row r="3148" spans="1:7" x14ac:dyDescent="0.3">
      <c r="A3148" s="89" t="str">
        <v/>
      </c>
      <c r="B3148" s="89" t="str">
        <v>Conservacion Auditiva</v>
      </c>
      <c r="C3148" s="90" t="str">
        <v/>
      </c>
      <c r="D3148" s="89" t="str">
        <v>Periódica</v>
      </c>
      <c r="E3148" s="89">
        <v>365</v>
      </c>
      <c r="F3148" s="89" t="str">
        <v/>
      </c>
      <c r="G3148" s="89" t="str">
        <f ca="1"/>
        <v/>
      </c>
    </row>
    <row r="3149" spans="1:7" x14ac:dyDescent="0.3">
      <c r="A3149" s="89" t="str">
        <v/>
      </c>
      <c r="B3149" s="89" t="str">
        <v xml:space="preserve">Ergonomia //  / Levantamiento &amp; Seguridad en la Espalda </v>
      </c>
      <c r="C3149" s="90" t="str">
        <v/>
      </c>
      <c r="D3149" s="89" t="str">
        <v>Periódica</v>
      </c>
      <c r="E3149" s="89">
        <v>365</v>
      </c>
      <c r="F3149" s="89" t="str">
        <v/>
      </c>
      <c r="G3149" s="89" t="str">
        <f ca="1"/>
        <v/>
      </c>
    </row>
    <row r="3150" spans="1:7" x14ac:dyDescent="0.3">
      <c r="A3150" s="89" t="str">
        <v/>
      </c>
      <c r="B3150" s="89" t="str">
        <v>Superficies Elevadas (Todos)</v>
      </c>
      <c r="C3150" s="90" t="str">
        <v/>
      </c>
      <c r="D3150" s="89" t="str">
        <v>Periódica</v>
      </c>
      <c r="E3150" s="89">
        <v>365</v>
      </c>
      <c r="F3150" s="89" t="str">
        <v/>
      </c>
      <c r="G3150" s="89" t="str">
        <f ca="1"/>
        <v/>
      </c>
    </row>
    <row r="3151" spans="1:7" x14ac:dyDescent="0.3">
      <c r="A3151" s="89" t="str">
        <v/>
      </c>
      <c r="B3151" s="89" t="str">
        <v>Superficies Elevadas (Personal Habilitado)</v>
      </c>
      <c r="C3151" s="90" t="str">
        <v/>
      </c>
      <c r="D3151" s="89" t="str">
        <v>Periódica</v>
      </c>
      <c r="E3151" s="89">
        <v>365</v>
      </c>
      <c r="F3151" s="89" t="str">
        <v/>
      </c>
      <c r="G3151" s="89" t="str">
        <f ca="1"/>
        <v/>
      </c>
    </row>
    <row r="3152" spans="1:7" x14ac:dyDescent="0.3">
      <c r="A3152" s="89" t="str">
        <v/>
      </c>
      <c r="B3152" s="89" t="str">
        <v>Seguridad Quimica (Todos)</v>
      </c>
      <c r="C3152" s="90" t="str">
        <v/>
      </c>
      <c r="D3152" s="89" t="str">
        <v>Periódica</v>
      </c>
      <c r="E3152" s="89">
        <v>730</v>
      </c>
      <c r="F3152" s="89" t="str">
        <v/>
      </c>
      <c r="G3152" s="89" t="str">
        <f ca="1"/>
        <v/>
      </c>
    </row>
    <row r="3153" spans="1:7" x14ac:dyDescent="0.3">
      <c r="A3153" s="89" t="str">
        <v/>
      </c>
      <c r="B3153" s="89" t="str">
        <v>Seguridad Quimica (Mantenimiento)</v>
      </c>
      <c r="C3153" s="90" t="str">
        <v/>
      </c>
      <c r="D3153" s="89" t="str">
        <v>Periódica</v>
      </c>
      <c r="E3153" s="89">
        <v>365</v>
      </c>
      <c r="F3153" s="89" t="str">
        <v/>
      </c>
      <c r="G3153" s="89" t="str">
        <f ca="1"/>
        <v/>
      </c>
    </row>
    <row r="3154" spans="1:7" x14ac:dyDescent="0.3">
      <c r="A3154" s="89" t="str">
        <v/>
      </c>
      <c r="B3154" s="89" t="str">
        <v>Seguridad Quimica (Contratistas)</v>
      </c>
      <c r="C3154" s="90" t="str">
        <v/>
      </c>
      <c r="D3154" s="89" t="str">
        <v>Periódica</v>
      </c>
      <c r="E3154" s="89">
        <v>365</v>
      </c>
      <c r="F3154" s="89" t="str">
        <v/>
      </c>
      <c r="G3154" s="89" t="str">
        <f ca="1"/>
        <v/>
      </c>
    </row>
    <row r="3155" spans="1:7" x14ac:dyDescent="0.3">
      <c r="A3155" s="89" t="str">
        <v/>
      </c>
      <c r="B3155" s="89" t="str">
        <v>Seguridad para Trabajos en Caliente</v>
      </c>
      <c r="C3155" s="90" t="str">
        <v/>
      </c>
      <c r="D3155" s="89" t="str">
        <v>Periódica</v>
      </c>
      <c r="E3155" s="89">
        <v>365</v>
      </c>
      <c r="F3155" s="89" t="str">
        <v/>
      </c>
      <c r="G3155" s="89" t="str">
        <f ca="1"/>
        <v/>
      </c>
    </row>
    <row r="3156" spans="1:7" x14ac:dyDescent="0.3">
      <c r="A3156" s="89" t="str">
        <v/>
      </c>
      <c r="B3156" s="89" t="str">
        <v>Seguridad con la Radiacion</v>
      </c>
      <c r="C3156" s="90" t="str">
        <v/>
      </c>
      <c r="D3156" s="89" t="str">
        <v>Periódica</v>
      </c>
      <c r="E3156" s="89">
        <v>365</v>
      </c>
      <c r="F3156" s="89" t="str">
        <v/>
      </c>
      <c r="G3156" s="89" t="str">
        <f ca="1"/>
        <v/>
      </c>
    </row>
    <row r="3157" spans="1:7" x14ac:dyDescent="0.3">
      <c r="A3157" s="89" t="str">
        <v/>
      </c>
      <c r="B3157" s="89" t="str">
        <v>Equipo de Proteccion Personal (PPE)</v>
      </c>
      <c r="C3157" s="90" t="str">
        <v/>
      </c>
      <c r="D3157" s="89" t="str">
        <v>Periódica</v>
      </c>
      <c r="E3157" s="89">
        <v>365</v>
      </c>
      <c r="F3157" s="89" t="str">
        <v/>
      </c>
      <c r="G3157" s="89" t="str">
        <f ca="1"/>
        <v/>
      </c>
    </row>
    <row r="3158" spans="1:7" x14ac:dyDescent="0.3">
      <c r="A3158" s="89" t="str">
        <v/>
      </c>
      <c r="B3158" s="89" t="str">
        <v>Proteccion Respiratoria</v>
      </c>
      <c r="C3158" s="90" t="str">
        <v/>
      </c>
      <c r="D3158" s="89" t="str">
        <v>Periódica</v>
      </c>
      <c r="E3158" s="89">
        <v>365</v>
      </c>
      <c r="F3158" s="89" t="str">
        <v/>
      </c>
      <c r="G3158" s="89" t="str">
        <f ca="1"/>
        <v/>
      </c>
    </row>
    <row r="3159" spans="1:7" x14ac:dyDescent="0.3">
      <c r="A3159" s="89" t="str">
        <v/>
      </c>
      <c r="B3159" s="89" t="str">
        <v xml:space="preserve">Seguridad con Escaleras </v>
      </c>
      <c r="C3159" s="90" t="str">
        <v/>
      </c>
      <c r="D3159" s="89" t="str">
        <v>Periódica</v>
      </c>
      <c r="E3159" s="89">
        <v>365</v>
      </c>
      <c r="F3159" s="89" t="str">
        <v/>
      </c>
      <c r="G3159" s="89" t="str">
        <f ca="1"/>
        <v/>
      </c>
    </row>
    <row r="3160" spans="1:7" x14ac:dyDescent="0.3">
      <c r="A3160" s="89" t="str">
        <v/>
      </c>
      <c r="B3160" s="89" t="str">
        <v>Seguridad con Escaleras // Estantes de Almacenamiento</v>
      </c>
      <c r="C3160" s="90" t="str">
        <v/>
      </c>
      <c r="D3160" s="89" t="str">
        <v>Periódica</v>
      </c>
      <c r="E3160" s="89">
        <v>365</v>
      </c>
      <c r="F3160" s="89" t="str">
        <v/>
      </c>
      <c r="G3160" s="89" t="str">
        <f ca="1"/>
        <v/>
      </c>
    </row>
    <row r="3161" spans="1:7" x14ac:dyDescent="0.3">
      <c r="A3161" s="89" t="str">
        <v/>
      </c>
      <c r="B3161" s="89" t="str">
        <v>Responsabilidades del Supervisor</v>
      </c>
      <c r="C3161" s="90" t="str">
        <v/>
      </c>
      <c r="D3161" s="89" t="str">
        <v>Periódica</v>
      </c>
      <c r="E3161" s="89">
        <v>365</v>
      </c>
      <c r="F3161" s="89" t="str">
        <v/>
      </c>
      <c r="G3161" s="89" t="str">
        <f ca="1"/>
        <v/>
      </c>
    </row>
    <row r="3162" spans="1:7" x14ac:dyDescent="0.3">
      <c r="A3162" s="89" t="str">
        <v/>
      </c>
      <c r="B3162" s="89" t="str">
        <v>Espacios Confinados (Todos)</v>
      </c>
      <c r="C3162" s="90" t="str">
        <v/>
      </c>
      <c r="D3162" s="89" t="str">
        <v>Periódica</v>
      </c>
      <c r="E3162" s="89">
        <v>365</v>
      </c>
      <c r="F3162" s="89" t="str">
        <v/>
      </c>
      <c r="G3162" s="89" t="str">
        <f ca="1"/>
        <v/>
      </c>
    </row>
    <row r="3163" spans="1:7" x14ac:dyDescent="0.3">
      <c r="A3163" s="89" t="str">
        <v/>
      </c>
      <c r="B3163" s="89" t="str">
        <v>HSMS.017 / Espacios Confinados (Entrantes)</v>
      </c>
      <c r="C3163" s="90" t="str">
        <v/>
      </c>
      <c r="D3163" s="89" t="str">
        <v>Evento</v>
      </c>
      <c r="E3163" s="89">
        <v>0</v>
      </c>
      <c r="F3163" s="89" t="str">
        <v/>
      </c>
      <c r="G3163" s="89" t="str">
        <f ca="1"/>
        <v/>
      </c>
    </row>
    <row r="3164" spans="1:7" x14ac:dyDescent="0.3">
      <c r="A3164" s="89" t="str">
        <v/>
      </c>
      <c r="B3164" s="89" t="str">
        <v>Programa de Agua (Todos)</v>
      </c>
      <c r="C3164" s="90" t="str">
        <v/>
      </c>
      <c r="D3164" s="89" t="str">
        <v>Evento</v>
      </c>
      <c r="E3164" s="89">
        <v>0</v>
      </c>
      <c r="F3164" s="89" t="str">
        <v/>
      </c>
      <c r="G3164" s="89" t="str">
        <f ca="1"/>
        <v/>
      </c>
    </row>
    <row r="3165" spans="1:7" x14ac:dyDescent="0.3">
      <c r="A3165" s="89" t="str">
        <v/>
      </c>
      <c r="B3165" s="89" t="str">
        <v>Programa de Agua (HSE)</v>
      </c>
      <c r="C3165" s="90" t="str">
        <v/>
      </c>
      <c r="D3165" s="89" t="str">
        <v>Evento</v>
      </c>
      <c r="E3165" s="89">
        <v>0</v>
      </c>
      <c r="F3165" s="89" t="str">
        <v/>
      </c>
      <c r="G3165" s="89" t="str">
        <f ca="1"/>
        <v/>
      </c>
    </row>
    <row r="3166" spans="1:7" x14ac:dyDescent="0.3">
      <c r="A3166" s="89" t="str">
        <v/>
      </c>
      <c r="B3166" s="89" t="str">
        <v>HIV/SIDA y otras enfermedades de transmisión sexual (ETS)</v>
      </c>
      <c r="C3166" s="90" t="str">
        <v/>
      </c>
      <c r="D3166" s="89" t="str">
        <v>Periódica</v>
      </c>
      <c r="E3166" s="89">
        <v>365</v>
      </c>
      <c r="F3166" s="89" t="str">
        <v/>
      </c>
      <c r="G3166" s="89" t="str">
        <f ca="1"/>
        <v/>
      </c>
    </row>
    <row r="3167" spans="1:7" x14ac:dyDescent="0.3">
      <c r="A3167" s="89" t="str">
        <v/>
      </c>
      <c r="B3167" s="89" t="str">
        <v>Drogas de abuso (concientización y prevención)</v>
      </c>
      <c r="C3167" s="90" t="str">
        <v/>
      </c>
      <c r="D3167" s="89" t="str">
        <v>Periódica</v>
      </c>
      <c r="E3167" s="89">
        <v>365</v>
      </c>
      <c r="F3167" s="89" t="str">
        <v/>
      </c>
      <c r="G3167" s="89" t="str">
        <f ca="1"/>
        <v/>
      </c>
    </row>
    <row r="3168" spans="1:7" x14ac:dyDescent="0.3">
      <c r="A3168" s="89" t="str">
        <v/>
      </c>
      <c r="B3168" s="89" t="str">
        <v>Vida saludable (hábitos, autocuidado y bienestar)</v>
      </c>
      <c r="C3168" s="90" t="str">
        <v/>
      </c>
      <c r="D3168" s="89" t="str">
        <v>Periódica</v>
      </c>
      <c r="E3168" s="89">
        <v>365</v>
      </c>
      <c r="F3168" s="89" t="str">
        <v/>
      </c>
      <c r="G3168" s="89" t="str">
        <f ca="1"/>
        <v/>
      </c>
    </row>
    <row r="3169" spans="1:7" x14ac:dyDescent="0.3">
      <c r="A3169" s="89" t="str">
        <v/>
      </c>
      <c r="B3169" s="89" t="str">
        <v>Primeros auxilios y Reanimación Cardio Pulmonar (RCP)</v>
      </c>
      <c r="C3169" s="90" t="str">
        <v/>
      </c>
      <c r="D3169" s="89" t="str">
        <v>Periódica</v>
      </c>
      <c r="E3169" s="89">
        <v>365</v>
      </c>
      <c r="F3169" s="89" t="str">
        <v/>
      </c>
      <c r="G3169" s="89" t="str">
        <f ca="1"/>
        <v/>
      </c>
    </row>
    <row r="3170" spans="1:7" x14ac:dyDescent="0.3">
      <c r="A3170" s="89" t="str">
        <v/>
      </c>
      <c r="B3170" s="89" t="str">
        <v>Prevención cardiovascular (factores de riesgo y señales de alarma)</v>
      </c>
      <c r="C3170" s="90" t="str">
        <v/>
      </c>
      <c r="D3170" s="89" t="str">
        <v>Periódica</v>
      </c>
      <c r="E3170" s="89">
        <v>365</v>
      </c>
      <c r="F3170" s="89" t="str">
        <v/>
      </c>
      <c r="G3170" s="89" t="str">
        <f ca="1"/>
        <v/>
      </c>
    </row>
    <row r="3171" spans="1:7" x14ac:dyDescent="0.3">
      <c r="A3171" s="89" t="str">
        <v/>
      </c>
      <c r="B3171" s="89" t="str">
        <v>Efectos del tabaco sobre la salud</v>
      </c>
      <c r="C3171" s="90" t="str">
        <v/>
      </c>
      <c r="D3171" s="89" t="str">
        <v>Periódica</v>
      </c>
      <c r="E3171" s="89">
        <v>365</v>
      </c>
      <c r="F3171" s="89" t="str">
        <v/>
      </c>
      <c r="G3171" s="89" t="str">
        <f ca="1"/>
        <v/>
      </c>
    </row>
    <row r="3172" spans="1:7" x14ac:dyDescent="0.3">
      <c r="A3172" s="89" t="str">
        <v/>
      </c>
      <c r="B3172" s="89" t="str">
        <v>Cargadora (Op. Montacargas)</v>
      </c>
      <c r="C3172" s="90" t="str">
        <v/>
      </c>
      <c r="D3172" s="89" t="str">
        <v>Periódica</v>
      </c>
      <c r="E3172" s="89">
        <v>365</v>
      </c>
      <c r="F3172" s="89" t="str">
        <v/>
      </c>
      <c r="G3172" s="89" t="str">
        <f ca="1"/>
        <v/>
      </c>
    </row>
    <row r="3173" spans="1:7" x14ac:dyDescent="0.3">
      <c r="A3173" s="89" t="str">
        <v/>
      </c>
      <c r="B3173" s="89">
        <v>0</v>
      </c>
      <c r="C3173" s="90" t="str">
        <v/>
      </c>
      <c r="D3173" s="89" t="str">
        <v/>
      </c>
      <c r="E3173" s="89" t="str">
        <v/>
      </c>
      <c r="F3173" s="89" t="str">
        <v/>
      </c>
      <c r="G3173" s="89" t="str">
        <f ca="1"/>
        <v/>
      </c>
    </row>
    <row r="3174" spans="1:7" x14ac:dyDescent="0.3">
      <c r="A3174" s="89" t="str">
        <v/>
      </c>
      <c r="B3174" s="89">
        <v>0</v>
      </c>
      <c r="C3174" s="90" t="str">
        <v/>
      </c>
      <c r="D3174" s="89" t="str">
        <v/>
      </c>
      <c r="E3174" s="89" t="str">
        <v/>
      </c>
      <c r="F3174" s="89" t="str">
        <v/>
      </c>
      <c r="G3174" s="89" t="str">
        <f ca="1"/>
        <v/>
      </c>
    </row>
    <row r="3175" spans="1:7" x14ac:dyDescent="0.3">
      <c r="A3175" s="89" t="str">
        <v/>
      </c>
      <c r="B3175" s="89">
        <v>0</v>
      </c>
      <c r="C3175" s="90" t="str">
        <v/>
      </c>
      <c r="D3175" s="89" t="str">
        <v/>
      </c>
      <c r="E3175" s="89" t="str">
        <v/>
      </c>
      <c r="F3175" s="89" t="str">
        <v/>
      </c>
      <c r="G3175" s="89" t="str">
        <f ca="1"/>
        <v/>
      </c>
    </row>
    <row r="3176" spans="1:7" x14ac:dyDescent="0.3">
      <c r="A3176" s="89" t="str">
        <v/>
      </c>
      <c r="B3176" s="89">
        <v>0</v>
      </c>
      <c r="C3176" s="90" t="str">
        <v/>
      </c>
      <c r="D3176" s="89" t="str">
        <v/>
      </c>
      <c r="E3176" s="89" t="str">
        <v/>
      </c>
      <c r="F3176" s="89" t="str">
        <v/>
      </c>
      <c r="G3176" s="89" t="str">
        <f ca="1"/>
        <v/>
      </c>
    </row>
    <row r="3177" spans="1:7" x14ac:dyDescent="0.3">
      <c r="A3177" s="89" t="str">
        <v/>
      </c>
      <c r="B3177" s="89">
        <v>0</v>
      </c>
      <c r="C3177" s="90" t="str">
        <v/>
      </c>
      <c r="D3177" s="89" t="str">
        <v/>
      </c>
      <c r="E3177" s="89" t="str">
        <v/>
      </c>
      <c r="F3177" s="89" t="str">
        <v/>
      </c>
      <c r="G3177" s="89" t="str">
        <f ca="1"/>
        <v/>
      </c>
    </row>
    <row r="3178" spans="1:7" x14ac:dyDescent="0.3">
      <c r="A3178" s="89" t="str">
        <v/>
      </c>
      <c r="B3178" s="89">
        <v>0</v>
      </c>
      <c r="C3178" s="90" t="str">
        <v/>
      </c>
      <c r="D3178" s="89" t="str">
        <v/>
      </c>
      <c r="E3178" s="89" t="str">
        <v/>
      </c>
      <c r="F3178" s="89" t="str">
        <v/>
      </c>
      <c r="G3178" s="89" t="str">
        <f ca="1"/>
        <v/>
      </c>
    </row>
    <row r="3179" spans="1:7" x14ac:dyDescent="0.3">
      <c r="A3179" s="89" t="str">
        <v/>
      </c>
      <c r="B3179" s="89">
        <v>0</v>
      </c>
      <c r="C3179" s="90" t="str">
        <v/>
      </c>
      <c r="D3179" s="89" t="str">
        <v/>
      </c>
      <c r="E3179" s="89" t="str">
        <v/>
      </c>
      <c r="F3179" s="89" t="str">
        <v/>
      </c>
      <c r="G3179" s="89" t="str">
        <f ca="1"/>
        <v/>
      </c>
    </row>
    <row r="3180" spans="1:7" x14ac:dyDescent="0.3">
      <c r="A3180" s="89" t="str">
        <v/>
      </c>
      <c r="B3180" s="89">
        <v>0</v>
      </c>
      <c r="C3180" s="90" t="str">
        <v/>
      </c>
      <c r="D3180" s="89" t="str">
        <v/>
      </c>
      <c r="E3180" s="89" t="str">
        <v/>
      </c>
      <c r="F3180" s="89" t="str">
        <v/>
      </c>
      <c r="G3180" s="89" t="str">
        <f ca="1"/>
        <v/>
      </c>
    </row>
    <row r="3181" spans="1:7" x14ac:dyDescent="0.3">
      <c r="A3181" s="89" t="str">
        <v/>
      </c>
      <c r="B3181" s="89">
        <v>0</v>
      </c>
      <c r="C3181" s="90" t="str">
        <v/>
      </c>
      <c r="D3181" s="89" t="str">
        <v/>
      </c>
      <c r="E3181" s="89" t="str">
        <v/>
      </c>
      <c r="F3181" s="89" t="str">
        <v/>
      </c>
      <c r="G3181" s="89" t="str">
        <f ca="1"/>
        <v/>
      </c>
    </row>
    <row r="3182" spans="1:7" x14ac:dyDescent="0.3">
      <c r="A3182" s="89" t="str">
        <v/>
      </c>
      <c r="B3182" s="89" t="str">
        <v>Programa de Aire</v>
      </c>
      <c r="C3182" s="90" t="str">
        <v/>
      </c>
      <c r="D3182" s="89" t="str">
        <v>Evento</v>
      </c>
      <c r="E3182" s="89">
        <v>0</v>
      </c>
      <c r="F3182" s="89" t="str">
        <v/>
      </c>
      <c r="G3182" s="89" t="str">
        <f ca="1"/>
        <v/>
      </c>
    </row>
    <row r="3183" spans="1:7" x14ac:dyDescent="0.3">
      <c r="A3183" s="89" t="str">
        <v/>
      </c>
      <c r="B3183" s="89" t="str">
        <v>Conciencia Ambiental</v>
      </c>
      <c r="C3183" s="90" t="str">
        <v/>
      </c>
      <c r="D3183" s="89" t="str">
        <v>Periódica</v>
      </c>
      <c r="E3183" s="89">
        <v>365</v>
      </c>
      <c r="F3183" s="89" t="str">
        <v/>
      </c>
      <c r="G3183" s="89" t="str">
        <f ca="1"/>
        <v/>
      </c>
    </row>
    <row r="3184" spans="1:7" x14ac:dyDescent="0.3">
      <c r="A3184" s="89" t="str">
        <v/>
      </c>
      <c r="B3184" s="89" t="str">
        <v xml:space="preserve">Control de Documentos e Informacion de HSE </v>
      </c>
      <c r="C3184" s="90" t="str">
        <v/>
      </c>
      <c r="D3184" s="89" t="str">
        <v>Evento</v>
      </c>
      <c r="E3184" s="89">
        <v>0</v>
      </c>
      <c r="F3184" s="89" t="str">
        <v/>
      </c>
      <c r="G3184" s="89" t="str">
        <f ca="1"/>
        <v/>
      </c>
    </row>
    <row r="3185" spans="1:7" x14ac:dyDescent="0.3">
      <c r="A3185" s="89" t="str">
        <v/>
      </c>
      <c r="B3185" s="89" t="str">
        <v xml:space="preserve"> Acciones Correctivas y Preventivas (CAPA)</v>
      </c>
      <c r="C3185" s="90" t="str">
        <v/>
      </c>
      <c r="D3185" s="89" t="str">
        <v>Evento</v>
      </c>
      <c r="E3185" s="89">
        <v>0</v>
      </c>
      <c r="F3185" s="89" t="str">
        <v/>
      </c>
      <c r="G3185" s="89" t="str">
        <f ca="1"/>
        <v/>
      </c>
    </row>
    <row r="3186" spans="1:7" x14ac:dyDescent="0.3">
      <c r="A3186" s="89" t="str">
        <v/>
      </c>
      <c r="B3186" s="89" t="str">
        <v>Seguridad Basada en el Comportamiento (Observation Program) // HSMS.043 / Autoridad de Detener el Trabajo</v>
      </c>
      <c r="C3186" s="90" t="str">
        <v/>
      </c>
      <c r="D3186" s="89" t="str">
        <v>Periódica</v>
      </c>
      <c r="E3186" s="89">
        <v>365</v>
      </c>
      <c r="F3186" s="89" t="str">
        <v/>
      </c>
      <c r="G3186" s="89" t="str">
        <f ca="1"/>
        <v/>
      </c>
    </row>
    <row r="3187" spans="1:7" x14ac:dyDescent="0.3">
      <c r="A3187" s="89" t="str">
        <v/>
      </c>
      <c r="B3187" s="89" t="str">
        <v>Identificacion de Peligros y Evaluacion de Riesgos</v>
      </c>
      <c r="C3187" s="90" t="str">
        <v/>
      </c>
      <c r="D3187" s="89" t="str">
        <v>Evento</v>
      </c>
      <c r="E3187" s="89">
        <v>0</v>
      </c>
      <c r="F3187" s="89" t="str">
        <v/>
      </c>
      <c r="G3187" s="89" t="str">
        <f ca="1"/>
        <v/>
      </c>
    </row>
    <row r="3188" spans="1:7" x14ac:dyDescent="0.3">
      <c r="A3188" s="89" t="str">
        <v/>
      </c>
      <c r="B3188" s="89" t="str">
        <v xml:space="preserve"> Plan de Respuesta ante Eemergencias / HSMS.010 /Primeros Axulios &amp; RCP/DEA / HSMSWT-002 / Patogenos Trasnmitidos por la Sangre</v>
      </c>
      <c r="C3188" s="90" t="str">
        <v/>
      </c>
      <c r="D3188" s="89" t="str">
        <v>Periódica</v>
      </c>
      <c r="E3188" s="89">
        <v>365</v>
      </c>
      <c r="F3188" s="89" t="str">
        <v/>
      </c>
      <c r="G3188" s="89" t="str">
        <f ca="1"/>
        <v/>
      </c>
    </row>
    <row r="3189" spans="1:7" x14ac:dyDescent="0.3">
      <c r="A3189" s="89" t="str">
        <v/>
      </c>
      <c r="B3189" s="89" t="str">
        <v>Reporte y Gestion de Incidentes HSE (Todos)</v>
      </c>
      <c r="C3189" s="90" t="str">
        <v/>
      </c>
      <c r="D3189" s="89" t="str">
        <v>Periódica</v>
      </c>
      <c r="E3189" s="89">
        <v>365</v>
      </c>
      <c r="F3189" s="89" t="str">
        <v/>
      </c>
      <c r="G3189" s="89" t="str">
        <f ca="1"/>
        <v/>
      </c>
    </row>
    <row r="3190" spans="1:7" x14ac:dyDescent="0.3">
      <c r="A3190" s="89" t="str">
        <v/>
      </c>
      <c r="B3190" s="89" t="str">
        <v>Reporte, Gestion e Investigacion de Incidentes HSE (supervisores / investigadores (rol))</v>
      </c>
      <c r="C3190" s="90" t="str">
        <v/>
      </c>
      <c r="D3190" s="89" t="str">
        <v>Periódica</v>
      </c>
      <c r="E3190" s="89">
        <v>1095</v>
      </c>
      <c r="F3190" s="89" t="str">
        <v/>
      </c>
      <c r="G3190" s="89" t="str">
        <f ca="1"/>
        <v/>
      </c>
    </row>
    <row r="3191" spans="1:7" x14ac:dyDescent="0.3">
      <c r="A3191" s="89" t="str">
        <v/>
      </c>
      <c r="B3191" s="89" t="str">
        <v>Gruas y Equipos de Izaje (Todos)</v>
      </c>
      <c r="C3191" s="90" t="str">
        <v/>
      </c>
      <c r="D3191" s="89" t="str">
        <v>Periódica</v>
      </c>
      <c r="E3191" s="89">
        <v>365</v>
      </c>
      <c r="F3191" s="89" t="str">
        <v/>
      </c>
      <c r="G3191" s="89" t="str">
        <f ca="1"/>
        <v/>
      </c>
    </row>
    <row r="3192" spans="1:7" x14ac:dyDescent="0.3">
      <c r="A3192" s="89" t="str">
        <v/>
      </c>
      <c r="B3192" s="89" t="str">
        <v>HSMS.007 / Gruas y Equipos de Izaje (Operadores)</v>
      </c>
      <c r="C3192" s="90" t="str">
        <v/>
      </c>
      <c r="D3192" s="89" t="str">
        <v>Periódica</v>
      </c>
      <c r="E3192" s="89">
        <v>365</v>
      </c>
      <c r="F3192" s="89" t="str">
        <v/>
      </c>
      <c r="G3192" s="89" t="str">
        <f ca="1"/>
        <v/>
      </c>
    </row>
    <row r="3193" spans="1:7" x14ac:dyDescent="0.3">
      <c r="A3193" s="89" t="str">
        <v/>
      </c>
      <c r="B3193" s="89" t="str">
        <v>Proteccion Contra Incendios (Todos)</v>
      </c>
      <c r="C3193" s="90" t="str">
        <v/>
      </c>
      <c r="D3193" s="89" t="str">
        <v>Periódica</v>
      </c>
      <c r="E3193" s="89">
        <v>365</v>
      </c>
      <c r="F3193" s="89" t="str">
        <v/>
      </c>
      <c r="G3193" s="89" t="str">
        <f ca="1"/>
        <v/>
      </c>
    </row>
    <row r="3194" spans="1:7" x14ac:dyDescent="0.3">
      <c r="A3194" s="89" t="str">
        <v/>
      </c>
      <c r="B3194" s="89" t="str">
        <v>Proteccion Contra Incendios (Brigadistas)</v>
      </c>
      <c r="C3194" s="90" t="str">
        <v/>
      </c>
      <c r="D3194" s="89" t="str">
        <v>Periódica</v>
      </c>
      <c r="E3194" s="89">
        <v>365</v>
      </c>
      <c r="F3194" s="89" t="str">
        <v/>
      </c>
      <c r="G3194" s="89" t="str">
        <f ca="1"/>
        <v/>
      </c>
    </row>
    <row r="3195" spans="1:7" x14ac:dyDescent="0.3">
      <c r="A3195" s="89" t="str">
        <v/>
      </c>
      <c r="B3195" s="89" t="str">
        <v>Primeros Auxilios (Brigadistas)</v>
      </c>
      <c r="C3195" s="90" t="str">
        <v/>
      </c>
      <c r="D3195" s="89" t="str">
        <v>Periódica</v>
      </c>
      <c r="E3195" s="89">
        <v>365</v>
      </c>
      <c r="F3195" s="89" t="str">
        <v/>
      </c>
      <c r="G3195" s="89" t="str">
        <f ca="1"/>
        <v/>
      </c>
    </row>
    <row r="3196" spans="1:7" x14ac:dyDescent="0.3">
      <c r="A3196" s="89" t="str">
        <v/>
      </c>
      <c r="B3196" s="89" t="str">
        <v>Seguridad Electrica (Todos)</v>
      </c>
      <c r="C3196" s="90" t="str">
        <v/>
      </c>
      <c r="D3196" s="89" t="str">
        <v>Periódica</v>
      </c>
      <c r="E3196" s="89">
        <v>365</v>
      </c>
      <c r="F3196" s="89" t="str">
        <v/>
      </c>
      <c r="G3196" s="89" t="str">
        <f ca="1"/>
        <v/>
      </c>
    </row>
    <row r="3197" spans="1:7" x14ac:dyDescent="0.3">
      <c r="A3197" s="89" t="str">
        <v/>
      </c>
      <c r="B3197" s="89" t="str">
        <v>Seguridad Electrica (Personal Autorizado)</v>
      </c>
      <c r="C3197" s="90" t="str">
        <v/>
      </c>
      <c r="D3197" s="89" t="str">
        <v>Periódica</v>
      </c>
      <c r="E3197" s="89">
        <v>1095</v>
      </c>
      <c r="F3197" s="89" t="str">
        <v/>
      </c>
      <c r="G3197" s="89" t="str">
        <f ca="1"/>
        <v/>
      </c>
    </row>
    <row r="3198" spans="1:7" x14ac:dyDescent="0.3">
      <c r="A3198" s="89" t="str">
        <v/>
      </c>
      <c r="B3198" s="89" t="str">
        <v>Camiones Industriales Motorizados (PIT) (Todos)</v>
      </c>
      <c r="C3198" s="90" t="str">
        <v/>
      </c>
      <c r="D3198" s="89" t="str">
        <v>Periódica</v>
      </c>
      <c r="E3198" s="89">
        <v>365</v>
      </c>
      <c r="F3198" s="89" t="str">
        <v/>
      </c>
      <c r="G3198" s="89" t="str">
        <f ca="1"/>
        <v/>
      </c>
    </row>
    <row r="3199" spans="1:7" x14ac:dyDescent="0.3">
      <c r="A3199" s="89" t="str">
        <v/>
      </c>
      <c r="B3199" s="89" t="str">
        <v>Camiones Industriales Motorizados (PIT) (Op. Montacargas)</v>
      </c>
      <c r="C3199" s="90" t="str">
        <v/>
      </c>
      <c r="D3199" s="89" t="str">
        <v>Periódica</v>
      </c>
      <c r="E3199" s="89">
        <v>365</v>
      </c>
      <c r="F3199" s="89" t="str">
        <v/>
      </c>
      <c r="G3199" s="89" t="str">
        <f ca="1"/>
        <v/>
      </c>
    </row>
    <row r="3200" spans="1:7" x14ac:dyDescent="0.3">
      <c r="A3200" s="89" t="str">
        <v/>
      </c>
      <c r="B3200" s="89" t="str">
        <v>Control de Energias Peligrosas (LOTO) (Todos)</v>
      </c>
      <c r="C3200" s="90" t="str">
        <v/>
      </c>
      <c r="D3200" s="89" t="str">
        <v>Evento</v>
      </c>
      <c r="E3200" s="89">
        <v>0</v>
      </c>
      <c r="F3200" s="89" t="str">
        <v/>
      </c>
      <c r="G3200" s="89" t="str">
        <f ca="1"/>
        <v/>
      </c>
    </row>
    <row r="3201" spans="1:7" x14ac:dyDescent="0.3">
      <c r="A3201" s="89" t="str">
        <v/>
      </c>
      <c r="B3201" s="89" t="str">
        <v>Control de Energias Peligrosas (LOTO) (Empleados Autorizados)</v>
      </c>
      <c r="C3201" s="90" t="str">
        <v/>
      </c>
      <c r="D3201" s="89" t="str">
        <v>Periódica</v>
      </c>
      <c r="E3201" s="89">
        <v>365</v>
      </c>
      <c r="F3201" s="89" t="str">
        <v/>
      </c>
      <c r="G3201" s="89" t="str">
        <f ca="1"/>
        <v/>
      </c>
    </row>
    <row r="3202" spans="1:7" x14ac:dyDescent="0.3">
      <c r="A3202" s="89" t="str">
        <v/>
      </c>
      <c r="B3202" s="89" t="str">
        <v>Seguridad aplicada al Pozo &amp; Yacimiento</v>
      </c>
      <c r="C3202" s="90" t="str">
        <v/>
      </c>
      <c r="D3202" s="89" t="str">
        <v>Periódica</v>
      </c>
      <c r="E3202" s="89">
        <v>365</v>
      </c>
      <c r="F3202" s="89" t="str">
        <v/>
      </c>
      <c r="G3202" s="89" t="str">
        <f ca="1"/>
        <v/>
      </c>
    </row>
    <row r="3203" spans="1:7" x14ac:dyDescent="0.3">
      <c r="A3203" s="89" t="str">
        <v/>
      </c>
      <c r="B3203" s="89" t="str">
        <v>Las Reglas que Salvan Vidas</v>
      </c>
      <c r="C3203" s="90" t="str">
        <v/>
      </c>
      <c r="D3203" s="89" t="str">
        <v>Periódica</v>
      </c>
      <c r="E3203" s="89">
        <v>365</v>
      </c>
      <c r="F3203" s="89" t="str">
        <v/>
      </c>
      <c r="G3203" s="89" t="str">
        <f ca="1"/>
        <v/>
      </c>
    </row>
    <row r="3204" spans="1:7" x14ac:dyDescent="0.3">
      <c r="A3204" s="89" t="str">
        <v/>
      </c>
      <c r="B3204" s="89" t="str">
        <v xml:space="preserve">Resguardo de Maquinas &amp; Equipos </v>
      </c>
      <c r="C3204" s="90" t="str">
        <v/>
      </c>
      <c r="D3204" s="89" t="str">
        <v>Periódica</v>
      </c>
      <c r="E3204" s="89">
        <v>365</v>
      </c>
      <c r="F3204" s="89" t="str">
        <v/>
      </c>
      <c r="G3204" s="89" t="str">
        <f ca="1"/>
        <v/>
      </c>
    </row>
    <row r="3205" spans="1:7" x14ac:dyDescent="0.3">
      <c r="A3205" s="89" t="str">
        <v/>
      </c>
      <c r="B3205" s="89" t="str">
        <v>Conduccion y Gestion de Viajes (Todos)</v>
      </c>
      <c r="C3205" s="90" t="str">
        <v/>
      </c>
      <c r="D3205" s="89" t="str">
        <v>Periódica</v>
      </c>
      <c r="E3205" s="89">
        <v>730</v>
      </c>
      <c r="F3205" s="89" t="str">
        <v/>
      </c>
      <c r="G3205" s="89" t="str">
        <f ca="1"/>
        <v/>
      </c>
    </row>
    <row r="3206" spans="1:7" x14ac:dyDescent="0.3">
      <c r="A3206" s="89" t="str">
        <v/>
      </c>
      <c r="B3206" s="89" t="str">
        <v>Conduccion y Gestion de Viajes (Conductores)</v>
      </c>
      <c r="C3206" s="90" t="str">
        <v/>
      </c>
      <c r="D3206" s="89" t="str">
        <v>Periódica</v>
      </c>
      <c r="E3206" s="89">
        <v>1095</v>
      </c>
      <c r="F3206" s="89" t="str">
        <v/>
      </c>
      <c r="G3206" s="89" t="str">
        <f ca="1"/>
        <v/>
      </c>
    </row>
    <row r="3207" spans="1:7" x14ac:dyDescent="0.3">
      <c r="A3207" s="89" t="str">
        <v/>
      </c>
      <c r="B3207" s="89" t="str">
        <v>Patogenos Transmitidos por la Sangre</v>
      </c>
      <c r="C3207" s="90" t="str">
        <v/>
      </c>
      <c r="D3207" s="89" t="str">
        <v>Periódica</v>
      </c>
      <c r="E3207" s="89">
        <v>365</v>
      </c>
      <c r="F3207" s="89" t="str">
        <v/>
      </c>
      <c r="G3207" s="89" t="str">
        <f ca="1"/>
        <v/>
      </c>
    </row>
    <row r="3208" spans="1:7" x14ac:dyDescent="0.3">
      <c r="A3208" s="89" t="str">
        <v/>
      </c>
      <c r="B3208" s="89" t="str">
        <v>Conservacion Auditiva</v>
      </c>
      <c r="C3208" s="90" t="str">
        <v/>
      </c>
      <c r="D3208" s="89" t="str">
        <v>Periódica</v>
      </c>
      <c r="E3208" s="89">
        <v>365</v>
      </c>
      <c r="F3208" s="89" t="str">
        <v/>
      </c>
      <c r="G3208" s="89" t="str">
        <f ca="1"/>
        <v/>
      </c>
    </row>
    <row r="3209" spans="1:7" x14ac:dyDescent="0.3">
      <c r="A3209" s="89" t="str">
        <v/>
      </c>
      <c r="B3209" s="89" t="str">
        <v xml:space="preserve">Ergonomia //  / Levantamiento &amp; Seguridad en la Espalda </v>
      </c>
      <c r="C3209" s="90" t="str">
        <v/>
      </c>
      <c r="D3209" s="89" t="str">
        <v>Periódica</v>
      </c>
      <c r="E3209" s="89">
        <v>365</v>
      </c>
      <c r="F3209" s="89" t="str">
        <v/>
      </c>
      <c r="G3209" s="89" t="str">
        <f ca="1"/>
        <v/>
      </c>
    </row>
    <row r="3210" spans="1:7" x14ac:dyDescent="0.3">
      <c r="A3210" s="89" t="str">
        <v/>
      </c>
      <c r="B3210" s="89" t="str">
        <v>Superficies Elevadas (Todos)</v>
      </c>
      <c r="C3210" s="90" t="str">
        <v/>
      </c>
      <c r="D3210" s="89" t="str">
        <v>Periódica</v>
      </c>
      <c r="E3210" s="89">
        <v>365</v>
      </c>
      <c r="F3210" s="89" t="str">
        <v/>
      </c>
      <c r="G3210" s="89" t="str">
        <f ca="1"/>
        <v/>
      </c>
    </row>
    <row r="3211" spans="1:7" x14ac:dyDescent="0.3">
      <c r="A3211" s="89" t="str">
        <v/>
      </c>
      <c r="B3211" s="89" t="str">
        <v>Superficies Elevadas (Personal Habilitado)</v>
      </c>
      <c r="C3211" s="90" t="str">
        <v/>
      </c>
      <c r="D3211" s="89" t="str">
        <v>Periódica</v>
      </c>
      <c r="E3211" s="89">
        <v>365</v>
      </c>
      <c r="F3211" s="89" t="str">
        <v/>
      </c>
      <c r="G3211" s="89" t="str">
        <f ca="1"/>
        <v/>
      </c>
    </row>
    <row r="3212" spans="1:7" x14ac:dyDescent="0.3">
      <c r="A3212" s="89" t="str">
        <v/>
      </c>
      <c r="B3212" s="89" t="str">
        <v>Seguridad Quimica (Todos)</v>
      </c>
      <c r="C3212" s="90" t="str">
        <v/>
      </c>
      <c r="D3212" s="89" t="str">
        <v>Periódica</v>
      </c>
      <c r="E3212" s="89">
        <v>730</v>
      </c>
      <c r="F3212" s="89" t="str">
        <v/>
      </c>
      <c r="G3212" s="89" t="str">
        <f ca="1"/>
        <v/>
      </c>
    </row>
    <row r="3213" spans="1:7" x14ac:dyDescent="0.3">
      <c r="A3213" s="89" t="str">
        <v/>
      </c>
      <c r="B3213" s="89" t="str">
        <v>Seguridad Quimica (Mantenimiento)</v>
      </c>
      <c r="C3213" s="90" t="str">
        <v/>
      </c>
      <c r="D3213" s="89" t="str">
        <v>Periódica</v>
      </c>
      <c r="E3213" s="89">
        <v>365</v>
      </c>
      <c r="F3213" s="89" t="str">
        <v/>
      </c>
      <c r="G3213" s="89" t="str">
        <f ca="1"/>
        <v/>
      </c>
    </row>
    <row r="3214" spans="1:7" x14ac:dyDescent="0.3">
      <c r="A3214" s="89" t="str">
        <v/>
      </c>
      <c r="B3214" s="89" t="str">
        <v>Seguridad Quimica (Contratistas)</v>
      </c>
      <c r="C3214" s="90" t="str">
        <v/>
      </c>
      <c r="D3214" s="89" t="str">
        <v>Periódica</v>
      </c>
      <c r="E3214" s="89">
        <v>365</v>
      </c>
      <c r="F3214" s="89" t="str">
        <v/>
      </c>
      <c r="G3214" s="89" t="str">
        <f ca="1"/>
        <v/>
      </c>
    </row>
    <row r="3215" spans="1:7" x14ac:dyDescent="0.3">
      <c r="A3215" s="89" t="str">
        <v/>
      </c>
      <c r="B3215" s="89" t="str">
        <v>Seguridad para Trabajos en Caliente</v>
      </c>
      <c r="C3215" s="90" t="str">
        <v/>
      </c>
      <c r="D3215" s="89" t="str">
        <v>Periódica</v>
      </c>
      <c r="E3215" s="89">
        <v>365</v>
      </c>
      <c r="F3215" s="89" t="str">
        <v/>
      </c>
      <c r="G3215" s="89" t="str">
        <f ca="1"/>
        <v/>
      </c>
    </row>
    <row r="3216" spans="1:7" x14ac:dyDescent="0.3">
      <c r="A3216" s="89" t="str">
        <v/>
      </c>
      <c r="B3216" s="89" t="str">
        <v>Seguridad con la Radiacion</v>
      </c>
      <c r="C3216" s="90" t="str">
        <v/>
      </c>
      <c r="D3216" s="89" t="str">
        <v>Periódica</v>
      </c>
      <c r="E3216" s="89">
        <v>365</v>
      </c>
      <c r="F3216" s="89" t="str">
        <v/>
      </c>
      <c r="G3216" s="89" t="str">
        <f ca="1"/>
        <v/>
      </c>
    </row>
    <row r="3217" spans="1:7" x14ac:dyDescent="0.3">
      <c r="A3217" s="89" t="str">
        <v/>
      </c>
      <c r="B3217" s="89" t="str">
        <v>Equipo de Proteccion Personal (PPE)</v>
      </c>
      <c r="C3217" s="90" t="str">
        <v/>
      </c>
      <c r="D3217" s="89" t="str">
        <v>Periódica</v>
      </c>
      <c r="E3217" s="89">
        <v>365</v>
      </c>
      <c r="F3217" s="89" t="str">
        <v/>
      </c>
      <c r="G3217" s="89" t="str">
        <f ca="1"/>
        <v/>
      </c>
    </row>
    <row r="3218" spans="1:7" x14ac:dyDescent="0.3">
      <c r="A3218" s="89" t="str">
        <v/>
      </c>
      <c r="B3218" s="89" t="str">
        <v>Proteccion Respiratoria</v>
      </c>
      <c r="C3218" s="90" t="str">
        <v/>
      </c>
      <c r="D3218" s="89" t="str">
        <v>Periódica</v>
      </c>
      <c r="E3218" s="89">
        <v>365</v>
      </c>
      <c r="F3218" s="89" t="str">
        <v/>
      </c>
      <c r="G3218" s="89" t="str">
        <f ca="1"/>
        <v/>
      </c>
    </row>
    <row r="3219" spans="1:7" x14ac:dyDescent="0.3">
      <c r="A3219" s="89" t="str">
        <v/>
      </c>
      <c r="B3219" s="89" t="str">
        <v xml:space="preserve">Seguridad con Escaleras </v>
      </c>
      <c r="C3219" s="90" t="str">
        <v/>
      </c>
      <c r="D3219" s="89" t="str">
        <v>Periódica</v>
      </c>
      <c r="E3219" s="89">
        <v>365</v>
      </c>
      <c r="F3219" s="89" t="str">
        <v/>
      </c>
      <c r="G3219" s="89" t="str">
        <f ca="1"/>
        <v/>
      </c>
    </row>
    <row r="3220" spans="1:7" x14ac:dyDescent="0.3">
      <c r="A3220" s="89" t="str">
        <v/>
      </c>
      <c r="B3220" s="89" t="str">
        <v>Seguridad con Escaleras // Estantes de Almacenamiento</v>
      </c>
      <c r="C3220" s="90" t="str">
        <v/>
      </c>
      <c r="D3220" s="89" t="str">
        <v>Periódica</v>
      </c>
      <c r="E3220" s="89">
        <v>365</v>
      </c>
      <c r="F3220" s="89" t="str">
        <v/>
      </c>
      <c r="G3220" s="89" t="str">
        <f ca="1"/>
        <v/>
      </c>
    </row>
    <row r="3221" spans="1:7" x14ac:dyDescent="0.3">
      <c r="A3221" s="89" t="str">
        <v/>
      </c>
      <c r="B3221" s="89" t="str">
        <v>Responsabilidades del Supervisor</v>
      </c>
      <c r="C3221" s="90" t="str">
        <v/>
      </c>
      <c r="D3221" s="89" t="str">
        <v>Periódica</v>
      </c>
      <c r="E3221" s="89">
        <v>365</v>
      </c>
      <c r="F3221" s="89" t="str">
        <v/>
      </c>
      <c r="G3221" s="89" t="str">
        <f ca="1"/>
        <v/>
      </c>
    </row>
    <row r="3222" spans="1:7" x14ac:dyDescent="0.3">
      <c r="A3222" s="89" t="str">
        <v/>
      </c>
      <c r="B3222" s="89" t="str">
        <v>Espacios Confinados (Todos)</v>
      </c>
      <c r="C3222" s="90" t="str">
        <v/>
      </c>
      <c r="D3222" s="89" t="str">
        <v>Periódica</v>
      </c>
      <c r="E3222" s="89">
        <v>365</v>
      </c>
      <c r="F3222" s="89" t="str">
        <v/>
      </c>
      <c r="G3222" s="89" t="str">
        <f ca="1"/>
        <v/>
      </c>
    </row>
    <row r="3223" spans="1:7" x14ac:dyDescent="0.3">
      <c r="A3223" s="89" t="str">
        <v/>
      </c>
      <c r="B3223" s="89" t="str">
        <v>HSMS.017 / Espacios Confinados (Entrantes)</v>
      </c>
      <c r="C3223" s="90" t="str">
        <v/>
      </c>
      <c r="D3223" s="89" t="str">
        <v>Evento</v>
      </c>
      <c r="E3223" s="89">
        <v>0</v>
      </c>
      <c r="F3223" s="89" t="str">
        <v/>
      </c>
      <c r="G3223" s="89" t="str">
        <f ca="1"/>
        <v/>
      </c>
    </row>
    <row r="3224" spans="1:7" x14ac:dyDescent="0.3">
      <c r="A3224" s="89" t="str">
        <v/>
      </c>
      <c r="B3224" s="89" t="str">
        <v>Programa de Agua (Todos)</v>
      </c>
      <c r="C3224" s="90" t="str">
        <v/>
      </c>
      <c r="D3224" s="89" t="str">
        <v>Evento</v>
      </c>
      <c r="E3224" s="89">
        <v>0</v>
      </c>
      <c r="F3224" s="89" t="str">
        <v/>
      </c>
      <c r="G3224" s="89" t="str">
        <f ca="1"/>
        <v/>
      </c>
    </row>
    <row r="3225" spans="1:7" x14ac:dyDescent="0.3">
      <c r="A3225" s="89" t="str">
        <v/>
      </c>
      <c r="B3225" s="89" t="str">
        <v>Programa de Agua (HSE)</v>
      </c>
      <c r="C3225" s="90" t="str">
        <v/>
      </c>
      <c r="D3225" s="89" t="str">
        <v>Evento</v>
      </c>
      <c r="E3225" s="89">
        <v>0</v>
      </c>
      <c r="F3225" s="89" t="str">
        <v/>
      </c>
      <c r="G3225" s="89" t="str">
        <f ca="1"/>
        <v/>
      </c>
    </row>
    <row r="3226" spans="1:7" x14ac:dyDescent="0.3">
      <c r="A3226" s="89" t="str">
        <v/>
      </c>
      <c r="B3226" s="89" t="str">
        <v>HIV/SIDA y otras enfermedades de transmisión sexual (ETS)</v>
      </c>
      <c r="C3226" s="90" t="str">
        <v/>
      </c>
      <c r="D3226" s="89" t="str">
        <v>Periódica</v>
      </c>
      <c r="E3226" s="89">
        <v>365</v>
      </c>
      <c r="F3226" s="89" t="str">
        <v/>
      </c>
      <c r="G3226" s="89" t="str">
        <f ca="1"/>
        <v/>
      </c>
    </row>
    <row r="3227" spans="1:7" x14ac:dyDescent="0.3">
      <c r="A3227" s="89" t="str">
        <v/>
      </c>
      <c r="B3227" s="89" t="str">
        <v>Drogas de abuso (concientización y prevención)</v>
      </c>
      <c r="C3227" s="90" t="str">
        <v/>
      </c>
      <c r="D3227" s="89" t="str">
        <v>Periódica</v>
      </c>
      <c r="E3227" s="89">
        <v>365</v>
      </c>
      <c r="F3227" s="89" t="str">
        <v/>
      </c>
      <c r="G3227" s="89" t="str">
        <f ca="1"/>
        <v/>
      </c>
    </row>
    <row r="3228" spans="1:7" x14ac:dyDescent="0.3">
      <c r="A3228" s="89" t="str">
        <v/>
      </c>
      <c r="B3228" s="89" t="str">
        <v>Vida saludable (hábitos, autocuidado y bienestar)</v>
      </c>
      <c r="C3228" s="90" t="str">
        <v/>
      </c>
      <c r="D3228" s="89" t="str">
        <v>Periódica</v>
      </c>
      <c r="E3228" s="89">
        <v>365</v>
      </c>
      <c r="F3228" s="89" t="str">
        <v/>
      </c>
      <c r="G3228" s="89" t="str">
        <f ca="1"/>
        <v/>
      </c>
    </row>
    <row r="3229" spans="1:7" x14ac:dyDescent="0.3">
      <c r="A3229" s="89" t="str">
        <v/>
      </c>
      <c r="B3229" s="89" t="str">
        <v>Primeros auxilios y Reanimación Cardio Pulmonar (RCP)</v>
      </c>
      <c r="C3229" s="90" t="str">
        <v/>
      </c>
      <c r="D3229" s="89" t="str">
        <v>Periódica</v>
      </c>
      <c r="E3229" s="89">
        <v>365</v>
      </c>
      <c r="F3229" s="89" t="str">
        <v/>
      </c>
      <c r="G3229" s="89" t="str">
        <f ca="1"/>
        <v/>
      </c>
    </row>
    <row r="3230" spans="1:7" x14ac:dyDescent="0.3">
      <c r="A3230" s="89" t="str">
        <v/>
      </c>
      <c r="B3230" s="89" t="str">
        <v>Prevención cardiovascular (factores de riesgo y señales de alarma)</v>
      </c>
      <c r="C3230" s="90" t="str">
        <v/>
      </c>
      <c r="D3230" s="89" t="str">
        <v>Periódica</v>
      </c>
      <c r="E3230" s="89">
        <v>365</v>
      </c>
      <c r="F3230" s="89" t="str">
        <v/>
      </c>
      <c r="G3230" s="89" t="str">
        <f ca="1"/>
        <v/>
      </c>
    </row>
    <row r="3231" spans="1:7" x14ac:dyDescent="0.3">
      <c r="A3231" s="89" t="str">
        <v/>
      </c>
      <c r="B3231" s="89" t="str">
        <v>Efectos del tabaco sobre la salud</v>
      </c>
      <c r="C3231" s="90" t="str">
        <v/>
      </c>
      <c r="D3231" s="89" t="str">
        <v>Periódica</v>
      </c>
      <c r="E3231" s="89">
        <v>365</v>
      </c>
      <c r="F3231" s="89" t="str">
        <v/>
      </c>
      <c r="G3231" s="89" t="str">
        <f ca="1"/>
        <v/>
      </c>
    </row>
    <row r="3232" spans="1:7" x14ac:dyDescent="0.3">
      <c r="A3232" s="89" t="str">
        <v/>
      </c>
      <c r="B3232" s="89" t="str">
        <v>Cargadora (Op. Montacargas)</v>
      </c>
      <c r="C3232" s="90" t="str">
        <v/>
      </c>
      <c r="D3232" s="89" t="str">
        <v>Periódica</v>
      </c>
      <c r="E3232" s="89">
        <v>365</v>
      </c>
      <c r="F3232" s="89" t="str">
        <v/>
      </c>
      <c r="G3232" s="89" t="str">
        <f ca="1"/>
        <v/>
      </c>
    </row>
    <row r="3233" spans="1:7" x14ac:dyDescent="0.3">
      <c r="A3233" s="89" t="str">
        <v/>
      </c>
      <c r="B3233" s="89">
        <v>0</v>
      </c>
      <c r="C3233" s="90" t="str">
        <v/>
      </c>
      <c r="D3233" s="89" t="str">
        <v/>
      </c>
      <c r="E3233" s="89" t="str">
        <v/>
      </c>
      <c r="F3233" s="89" t="str">
        <v/>
      </c>
      <c r="G3233" s="89" t="str">
        <f ca="1"/>
        <v/>
      </c>
    </row>
    <row r="3234" spans="1:7" x14ac:dyDescent="0.3">
      <c r="A3234" s="89" t="str">
        <v/>
      </c>
      <c r="B3234" s="89">
        <v>0</v>
      </c>
      <c r="C3234" s="90" t="str">
        <v/>
      </c>
      <c r="D3234" s="89" t="str">
        <v/>
      </c>
      <c r="E3234" s="89" t="str">
        <v/>
      </c>
      <c r="F3234" s="89" t="str">
        <v/>
      </c>
      <c r="G3234" s="89" t="str">
        <f ca="1"/>
        <v/>
      </c>
    </row>
    <row r="3235" spans="1:7" x14ac:dyDescent="0.3">
      <c r="A3235" s="89" t="str">
        <v/>
      </c>
      <c r="B3235" s="89">
        <v>0</v>
      </c>
      <c r="C3235" s="90" t="str">
        <v/>
      </c>
      <c r="D3235" s="89" t="str">
        <v/>
      </c>
      <c r="E3235" s="89" t="str">
        <v/>
      </c>
      <c r="F3235" s="89" t="str">
        <v/>
      </c>
      <c r="G3235" s="89" t="str">
        <f ca="1"/>
        <v/>
      </c>
    </row>
    <row r="3236" spans="1:7" x14ac:dyDescent="0.3">
      <c r="A3236" s="89" t="str">
        <v/>
      </c>
      <c r="B3236" s="89">
        <v>0</v>
      </c>
      <c r="C3236" s="90" t="str">
        <v/>
      </c>
      <c r="D3236" s="89" t="str">
        <v/>
      </c>
      <c r="E3236" s="89" t="str">
        <v/>
      </c>
      <c r="F3236" s="89" t="str">
        <v/>
      </c>
      <c r="G3236" s="89" t="str">
        <f ca="1"/>
        <v/>
      </c>
    </row>
    <row r="3237" spans="1:7" x14ac:dyDescent="0.3">
      <c r="A3237" s="89" t="str">
        <v/>
      </c>
      <c r="B3237" s="89">
        <v>0</v>
      </c>
      <c r="C3237" s="90" t="str">
        <v/>
      </c>
      <c r="D3237" s="89" t="str">
        <v/>
      </c>
      <c r="E3237" s="89" t="str">
        <v/>
      </c>
      <c r="F3237" s="89" t="str">
        <v/>
      </c>
      <c r="G3237" s="89" t="str">
        <f ca="1"/>
        <v/>
      </c>
    </row>
    <row r="3238" spans="1:7" x14ac:dyDescent="0.3">
      <c r="A3238" s="89" t="str">
        <v/>
      </c>
      <c r="B3238" s="89">
        <v>0</v>
      </c>
      <c r="C3238" s="90" t="str">
        <v/>
      </c>
      <c r="D3238" s="89" t="str">
        <v/>
      </c>
      <c r="E3238" s="89" t="str">
        <v/>
      </c>
      <c r="F3238" s="89" t="str">
        <v/>
      </c>
      <c r="G3238" s="89" t="str">
        <f ca="1"/>
        <v/>
      </c>
    </row>
    <row r="3239" spans="1:7" x14ac:dyDescent="0.3">
      <c r="A3239" s="89" t="str">
        <v/>
      </c>
      <c r="B3239" s="89">
        <v>0</v>
      </c>
      <c r="C3239" s="90" t="str">
        <v/>
      </c>
      <c r="D3239" s="89" t="str">
        <v/>
      </c>
      <c r="E3239" s="89" t="str">
        <v/>
      </c>
      <c r="F3239" s="89" t="str">
        <v/>
      </c>
      <c r="G3239" s="89" t="str">
        <f ca="1"/>
        <v/>
      </c>
    </row>
    <row r="3240" spans="1:7" x14ac:dyDescent="0.3">
      <c r="A3240" s="89" t="str">
        <v/>
      </c>
      <c r="B3240" s="89">
        <v>0</v>
      </c>
      <c r="C3240" s="90" t="str">
        <v/>
      </c>
      <c r="D3240" s="89" t="str">
        <v/>
      </c>
      <c r="E3240" s="89" t="str">
        <v/>
      </c>
      <c r="F3240" s="89" t="str">
        <v/>
      </c>
      <c r="G3240" s="89" t="str">
        <f ca="1"/>
        <v/>
      </c>
    </row>
    <row r="3241" spans="1:7" x14ac:dyDescent="0.3">
      <c r="A3241" s="89" t="str">
        <v/>
      </c>
      <c r="B3241" s="89">
        <v>0</v>
      </c>
      <c r="C3241" s="90" t="str">
        <v/>
      </c>
      <c r="D3241" s="89" t="str">
        <v/>
      </c>
      <c r="E3241" s="89" t="str">
        <v/>
      </c>
      <c r="F3241" s="89" t="str">
        <v/>
      </c>
      <c r="G3241" s="89" t="str">
        <f ca="1"/>
        <v/>
      </c>
    </row>
    <row r="3242" spans="1:7" x14ac:dyDescent="0.3">
      <c r="A3242" s="89" t="str">
        <v/>
      </c>
      <c r="B3242" s="89" t="str">
        <v>Programa de Aire</v>
      </c>
      <c r="C3242" s="90" t="str">
        <v/>
      </c>
      <c r="D3242" s="89" t="str">
        <v>Evento</v>
      </c>
      <c r="E3242" s="89">
        <v>0</v>
      </c>
      <c r="F3242" s="89" t="str">
        <v/>
      </c>
      <c r="G3242" s="89" t="str">
        <f ca="1"/>
        <v/>
      </c>
    </row>
    <row r="3243" spans="1:7" x14ac:dyDescent="0.3">
      <c r="A3243" s="89" t="str">
        <v/>
      </c>
      <c r="B3243" s="89" t="str">
        <v>Conciencia Ambiental</v>
      </c>
      <c r="C3243" s="90" t="str">
        <v/>
      </c>
      <c r="D3243" s="89" t="str">
        <v>Periódica</v>
      </c>
      <c r="E3243" s="89">
        <v>365</v>
      </c>
      <c r="F3243" s="89" t="str">
        <v/>
      </c>
      <c r="G3243" s="89" t="str">
        <f ca="1"/>
        <v/>
      </c>
    </row>
    <row r="3244" spans="1:7" x14ac:dyDescent="0.3">
      <c r="A3244" s="89" t="str">
        <v/>
      </c>
      <c r="B3244" s="89" t="str">
        <v xml:space="preserve">Control de Documentos e Informacion de HSE </v>
      </c>
      <c r="C3244" s="90" t="str">
        <v/>
      </c>
      <c r="D3244" s="89" t="str">
        <v>Evento</v>
      </c>
      <c r="E3244" s="89">
        <v>0</v>
      </c>
      <c r="F3244" s="89" t="str">
        <v/>
      </c>
      <c r="G3244" s="89" t="str">
        <f ca="1"/>
        <v/>
      </c>
    </row>
    <row r="3245" spans="1:7" x14ac:dyDescent="0.3">
      <c r="A3245" s="89" t="str">
        <v/>
      </c>
      <c r="B3245" s="89" t="str">
        <v xml:space="preserve"> Acciones Correctivas y Preventivas (CAPA)</v>
      </c>
      <c r="C3245" s="90" t="str">
        <v/>
      </c>
      <c r="D3245" s="89" t="str">
        <v>Evento</v>
      </c>
      <c r="E3245" s="89">
        <v>0</v>
      </c>
      <c r="F3245" s="89" t="str">
        <v/>
      </c>
      <c r="G3245" s="89" t="str">
        <f ca="1"/>
        <v/>
      </c>
    </row>
    <row r="3246" spans="1:7" x14ac:dyDescent="0.3">
      <c r="A3246" s="89" t="str">
        <v/>
      </c>
      <c r="B3246" s="89" t="str">
        <v>Seguridad Basada en el Comportamiento (Observation Program) // HSMS.043 / Autoridad de Detener el Trabajo</v>
      </c>
      <c r="C3246" s="90" t="str">
        <v/>
      </c>
      <c r="D3246" s="89" t="str">
        <v>Periódica</v>
      </c>
      <c r="E3246" s="89">
        <v>365</v>
      </c>
      <c r="F3246" s="89" t="str">
        <v/>
      </c>
      <c r="G3246" s="89" t="str">
        <f ca="1"/>
        <v/>
      </c>
    </row>
    <row r="3247" spans="1:7" x14ac:dyDescent="0.3">
      <c r="A3247" s="89" t="str">
        <v/>
      </c>
      <c r="B3247" s="89" t="str">
        <v>Identificacion de Peligros y Evaluacion de Riesgos</v>
      </c>
      <c r="C3247" s="90" t="str">
        <v/>
      </c>
      <c r="D3247" s="89" t="str">
        <v>Evento</v>
      </c>
      <c r="E3247" s="89">
        <v>0</v>
      </c>
      <c r="F3247" s="89" t="str">
        <v/>
      </c>
      <c r="G3247" s="89" t="str">
        <f ca="1"/>
        <v/>
      </c>
    </row>
    <row r="3248" spans="1:7" x14ac:dyDescent="0.3">
      <c r="A3248" s="89" t="str">
        <v/>
      </c>
      <c r="B3248" s="89" t="str">
        <v xml:space="preserve"> Plan de Respuesta ante Eemergencias / HSMS.010 /Primeros Axulios &amp; RCP/DEA / HSMSWT-002 / Patogenos Trasnmitidos por la Sangre</v>
      </c>
      <c r="C3248" s="90" t="str">
        <v/>
      </c>
      <c r="D3248" s="89" t="str">
        <v>Periódica</v>
      </c>
      <c r="E3248" s="89">
        <v>365</v>
      </c>
      <c r="F3248" s="89" t="str">
        <v/>
      </c>
      <c r="G3248" s="89" t="str">
        <f ca="1"/>
        <v/>
      </c>
    </row>
    <row r="3249" spans="1:7" x14ac:dyDescent="0.3">
      <c r="A3249" s="89" t="str">
        <v/>
      </c>
      <c r="B3249" s="89" t="str">
        <v>Reporte y Gestion de Incidentes HSE (Todos)</v>
      </c>
      <c r="C3249" s="90" t="str">
        <v/>
      </c>
      <c r="D3249" s="89" t="str">
        <v>Periódica</v>
      </c>
      <c r="E3249" s="89">
        <v>365</v>
      </c>
      <c r="F3249" s="89" t="str">
        <v/>
      </c>
      <c r="G3249" s="89" t="str">
        <f ca="1"/>
        <v/>
      </c>
    </row>
    <row r="3250" spans="1:7" x14ac:dyDescent="0.3">
      <c r="A3250" s="89" t="str">
        <v/>
      </c>
      <c r="B3250" s="89" t="str">
        <v>Reporte, Gestion e Investigacion de Incidentes HSE (supervisores / investigadores (rol))</v>
      </c>
      <c r="C3250" s="90" t="str">
        <v/>
      </c>
      <c r="D3250" s="89" t="str">
        <v>Periódica</v>
      </c>
      <c r="E3250" s="89">
        <v>1095</v>
      </c>
      <c r="F3250" s="89" t="str">
        <v/>
      </c>
      <c r="G3250" s="89" t="str">
        <f ca="1"/>
        <v/>
      </c>
    </row>
    <row r="3251" spans="1:7" x14ac:dyDescent="0.3">
      <c r="A3251" s="89" t="str">
        <v/>
      </c>
      <c r="B3251" s="89" t="str">
        <v>Gruas y Equipos de Izaje (Todos)</v>
      </c>
      <c r="C3251" s="90" t="str">
        <v/>
      </c>
      <c r="D3251" s="89" t="str">
        <v>Periódica</v>
      </c>
      <c r="E3251" s="89">
        <v>365</v>
      </c>
      <c r="F3251" s="89" t="str">
        <v/>
      </c>
      <c r="G3251" s="89" t="str">
        <f ca="1"/>
        <v/>
      </c>
    </row>
    <row r="3252" spans="1:7" x14ac:dyDescent="0.3">
      <c r="A3252" s="89" t="str">
        <v/>
      </c>
      <c r="B3252" s="89" t="str">
        <v>HSMS.007 / Gruas y Equipos de Izaje (Operadores)</v>
      </c>
      <c r="C3252" s="90" t="str">
        <v/>
      </c>
      <c r="D3252" s="89" t="str">
        <v>Periódica</v>
      </c>
      <c r="E3252" s="89">
        <v>365</v>
      </c>
      <c r="F3252" s="89" t="str">
        <v/>
      </c>
      <c r="G3252" s="89" t="str">
        <f ca="1"/>
        <v/>
      </c>
    </row>
    <row r="3253" spans="1:7" x14ac:dyDescent="0.3">
      <c r="A3253" s="89" t="str">
        <v/>
      </c>
      <c r="B3253" s="89" t="str">
        <v>Proteccion Contra Incendios (Todos)</v>
      </c>
      <c r="C3253" s="90" t="str">
        <v/>
      </c>
      <c r="D3253" s="89" t="str">
        <v>Periódica</v>
      </c>
      <c r="E3253" s="89">
        <v>365</v>
      </c>
      <c r="F3253" s="89" t="str">
        <v/>
      </c>
      <c r="G3253" s="89" t="str">
        <f ca="1"/>
        <v/>
      </c>
    </row>
    <row r="3254" spans="1:7" x14ac:dyDescent="0.3">
      <c r="A3254" s="89" t="str">
        <v/>
      </c>
      <c r="B3254" s="89" t="str">
        <v>Proteccion Contra Incendios (Brigadistas)</v>
      </c>
      <c r="C3254" s="90" t="str">
        <v/>
      </c>
      <c r="D3254" s="89" t="str">
        <v>Periódica</v>
      </c>
      <c r="E3254" s="89">
        <v>365</v>
      </c>
      <c r="F3254" s="89" t="str">
        <v/>
      </c>
      <c r="G3254" s="89" t="str">
        <f ca="1"/>
        <v/>
      </c>
    </row>
    <row r="3255" spans="1:7" x14ac:dyDescent="0.3">
      <c r="A3255" s="89" t="str">
        <v/>
      </c>
      <c r="B3255" s="89" t="str">
        <v>Primeros Auxilios (Brigadistas)</v>
      </c>
      <c r="C3255" s="90" t="str">
        <v/>
      </c>
      <c r="D3255" s="89" t="str">
        <v>Periódica</v>
      </c>
      <c r="E3255" s="89">
        <v>365</v>
      </c>
      <c r="F3255" s="89" t="str">
        <v/>
      </c>
      <c r="G3255" s="89" t="str">
        <f ca="1"/>
        <v/>
      </c>
    </row>
    <row r="3256" spans="1:7" x14ac:dyDescent="0.3">
      <c r="A3256" s="89" t="str">
        <v/>
      </c>
      <c r="B3256" s="89" t="str">
        <v>Seguridad Electrica (Todos)</v>
      </c>
      <c r="C3256" s="90" t="str">
        <v/>
      </c>
      <c r="D3256" s="89" t="str">
        <v>Periódica</v>
      </c>
      <c r="E3256" s="89">
        <v>365</v>
      </c>
      <c r="F3256" s="89" t="str">
        <v/>
      </c>
      <c r="G3256" s="89" t="str">
        <f ca="1"/>
        <v/>
      </c>
    </row>
    <row r="3257" spans="1:7" x14ac:dyDescent="0.3">
      <c r="A3257" s="89" t="str">
        <v/>
      </c>
      <c r="B3257" s="89" t="str">
        <v>Seguridad Electrica (Personal Autorizado)</v>
      </c>
      <c r="C3257" s="90" t="str">
        <v/>
      </c>
      <c r="D3257" s="89" t="str">
        <v>Periódica</v>
      </c>
      <c r="E3257" s="89">
        <v>1095</v>
      </c>
      <c r="F3257" s="89" t="str">
        <v/>
      </c>
      <c r="G3257" s="89" t="str">
        <f ca="1"/>
        <v/>
      </c>
    </row>
    <row r="3258" spans="1:7" x14ac:dyDescent="0.3">
      <c r="A3258" s="89" t="str">
        <v/>
      </c>
      <c r="B3258" s="89" t="str">
        <v>Camiones Industriales Motorizados (PIT) (Todos)</v>
      </c>
      <c r="C3258" s="90" t="str">
        <v/>
      </c>
      <c r="D3258" s="89" t="str">
        <v>Periódica</v>
      </c>
      <c r="E3258" s="89">
        <v>365</v>
      </c>
      <c r="F3258" s="89" t="str">
        <v/>
      </c>
      <c r="G3258" s="89" t="str">
        <f ca="1"/>
        <v/>
      </c>
    </row>
    <row r="3259" spans="1:7" x14ac:dyDescent="0.3">
      <c r="A3259" s="89" t="str">
        <v/>
      </c>
      <c r="B3259" s="89" t="str">
        <v>Camiones Industriales Motorizados (PIT) (Op. Montacargas)</v>
      </c>
      <c r="C3259" s="90" t="str">
        <v/>
      </c>
      <c r="D3259" s="89" t="str">
        <v>Periódica</v>
      </c>
      <c r="E3259" s="89">
        <v>365</v>
      </c>
      <c r="F3259" s="89" t="str">
        <v/>
      </c>
      <c r="G3259" s="89" t="str">
        <f ca="1"/>
        <v/>
      </c>
    </row>
    <row r="3260" spans="1:7" x14ac:dyDescent="0.3">
      <c r="A3260" s="89" t="str">
        <v/>
      </c>
      <c r="B3260" s="89" t="str">
        <v>Control de Energias Peligrosas (LOTO) (Todos)</v>
      </c>
      <c r="C3260" s="90" t="str">
        <v/>
      </c>
      <c r="D3260" s="89" t="str">
        <v>Evento</v>
      </c>
      <c r="E3260" s="89">
        <v>0</v>
      </c>
      <c r="F3260" s="89" t="str">
        <v/>
      </c>
      <c r="G3260" s="89" t="str">
        <f ca="1"/>
        <v/>
      </c>
    </row>
    <row r="3261" spans="1:7" x14ac:dyDescent="0.3">
      <c r="A3261" s="89" t="str">
        <v/>
      </c>
      <c r="B3261" s="89" t="str">
        <v>Control de Energias Peligrosas (LOTO) (Empleados Autorizados)</v>
      </c>
      <c r="C3261" s="90" t="str">
        <v/>
      </c>
      <c r="D3261" s="89" t="str">
        <v>Periódica</v>
      </c>
      <c r="E3261" s="89">
        <v>365</v>
      </c>
      <c r="F3261" s="89" t="str">
        <v/>
      </c>
      <c r="G3261" s="89" t="str">
        <f ca="1"/>
        <v/>
      </c>
    </row>
    <row r="3262" spans="1:7" x14ac:dyDescent="0.3">
      <c r="A3262" s="89" t="str">
        <v/>
      </c>
      <c r="B3262" s="89" t="str">
        <v>Seguridad aplicada al Pozo &amp; Yacimiento</v>
      </c>
      <c r="C3262" s="90" t="str">
        <v/>
      </c>
      <c r="D3262" s="89" t="str">
        <v>Periódica</v>
      </c>
      <c r="E3262" s="89">
        <v>365</v>
      </c>
      <c r="F3262" s="89" t="str">
        <v/>
      </c>
      <c r="G3262" s="89" t="str">
        <f ca="1"/>
        <v/>
      </c>
    </row>
    <row r="3263" spans="1:7" x14ac:dyDescent="0.3">
      <c r="A3263" s="89" t="str">
        <v/>
      </c>
      <c r="B3263" s="89" t="str">
        <v>Las Reglas que Salvan Vidas</v>
      </c>
      <c r="C3263" s="90" t="str">
        <v/>
      </c>
      <c r="D3263" s="89" t="str">
        <v>Periódica</v>
      </c>
      <c r="E3263" s="89">
        <v>365</v>
      </c>
      <c r="F3263" s="89" t="str">
        <v/>
      </c>
      <c r="G3263" s="89" t="str">
        <f ca="1"/>
        <v/>
      </c>
    </row>
    <row r="3264" spans="1:7" x14ac:dyDescent="0.3">
      <c r="A3264" s="89" t="str">
        <v/>
      </c>
      <c r="B3264" s="89" t="str">
        <v xml:space="preserve">Resguardo de Maquinas &amp; Equipos </v>
      </c>
      <c r="C3264" s="90" t="str">
        <v/>
      </c>
      <c r="D3264" s="89" t="str">
        <v>Periódica</v>
      </c>
      <c r="E3264" s="89">
        <v>365</v>
      </c>
      <c r="F3264" s="89" t="str">
        <v/>
      </c>
      <c r="G3264" s="89" t="str">
        <f ca="1"/>
        <v/>
      </c>
    </row>
    <row r="3265" spans="1:7" x14ac:dyDescent="0.3">
      <c r="A3265" s="89" t="str">
        <v/>
      </c>
      <c r="B3265" s="89" t="str">
        <v>Conduccion y Gestion de Viajes (Todos)</v>
      </c>
      <c r="C3265" s="90" t="str">
        <v/>
      </c>
      <c r="D3265" s="89" t="str">
        <v>Periódica</v>
      </c>
      <c r="E3265" s="89">
        <v>730</v>
      </c>
      <c r="F3265" s="89" t="str">
        <v/>
      </c>
      <c r="G3265" s="89" t="str">
        <f ca="1"/>
        <v/>
      </c>
    </row>
    <row r="3266" spans="1:7" x14ac:dyDescent="0.3">
      <c r="A3266" s="89" t="str">
        <v/>
      </c>
      <c r="B3266" s="89" t="str">
        <v>Conduccion y Gestion de Viajes (Conductores)</v>
      </c>
      <c r="C3266" s="90" t="str">
        <v/>
      </c>
      <c r="D3266" s="89" t="str">
        <v>Periódica</v>
      </c>
      <c r="E3266" s="89">
        <v>1095</v>
      </c>
      <c r="F3266" s="89" t="str">
        <v/>
      </c>
      <c r="G3266" s="89" t="str">
        <f ca="1"/>
        <v/>
      </c>
    </row>
    <row r="3267" spans="1:7" x14ac:dyDescent="0.3">
      <c r="A3267" s="89" t="str">
        <v/>
      </c>
      <c r="B3267" s="89" t="str">
        <v>Patogenos Transmitidos por la Sangre</v>
      </c>
      <c r="C3267" s="90" t="str">
        <v/>
      </c>
      <c r="D3267" s="89" t="str">
        <v>Periódica</v>
      </c>
      <c r="E3267" s="89">
        <v>365</v>
      </c>
      <c r="F3267" s="89" t="str">
        <v/>
      </c>
      <c r="G3267" s="89" t="str">
        <f ca="1"/>
        <v/>
      </c>
    </row>
    <row r="3268" spans="1:7" x14ac:dyDescent="0.3">
      <c r="A3268" s="89" t="str">
        <v/>
      </c>
      <c r="B3268" s="89" t="str">
        <v>Conservacion Auditiva</v>
      </c>
      <c r="C3268" s="90" t="str">
        <v/>
      </c>
      <c r="D3268" s="89" t="str">
        <v>Periódica</v>
      </c>
      <c r="E3268" s="89">
        <v>365</v>
      </c>
      <c r="F3268" s="89" t="str">
        <v/>
      </c>
      <c r="G3268" s="89" t="str">
        <f ca="1"/>
        <v/>
      </c>
    </row>
    <row r="3269" spans="1:7" x14ac:dyDescent="0.3">
      <c r="A3269" s="89" t="str">
        <v/>
      </c>
      <c r="B3269" s="89" t="str">
        <v xml:space="preserve">Ergonomia //  / Levantamiento &amp; Seguridad en la Espalda </v>
      </c>
      <c r="C3269" s="90" t="str">
        <v/>
      </c>
      <c r="D3269" s="89" t="str">
        <v>Periódica</v>
      </c>
      <c r="E3269" s="89">
        <v>365</v>
      </c>
      <c r="F3269" s="89" t="str">
        <v/>
      </c>
      <c r="G3269" s="89" t="str">
        <f ca="1"/>
        <v/>
      </c>
    </row>
    <row r="3270" spans="1:7" x14ac:dyDescent="0.3">
      <c r="A3270" s="89" t="str">
        <v/>
      </c>
      <c r="B3270" s="89" t="str">
        <v>Superficies Elevadas (Todos)</v>
      </c>
      <c r="C3270" s="90" t="str">
        <v/>
      </c>
      <c r="D3270" s="89" t="str">
        <v>Periódica</v>
      </c>
      <c r="E3270" s="89">
        <v>365</v>
      </c>
      <c r="F3270" s="89" t="str">
        <v/>
      </c>
      <c r="G3270" s="89" t="str">
        <f ca="1"/>
        <v/>
      </c>
    </row>
    <row r="3271" spans="1:7" x14ac:dyDescent="0.3">
      <c r="A3271" s="89" t="str">
        <v/>
      </c>
      <c r="B3271" s="89" t="str">
        <v>Superficies Elevadas (Personal Habilitado)</v>
      </c>
      <c r="C3271" s="90" t="str">
        <v/>
      </c>
      <c r="D3271" s="89" t="str">
        <v>Periódica</v>
      </c>
      <c r="E3271" s="89">
        <v>365</v>
      </c>
      <c r="F3271" s="89" t="str">
        <v/>
      </c>
      <c r="G3271" s="89" t="str">
        <f ca="1"/>
        <v/>
      </c>
    </row>
    <row r="3272" spans="1:7" x14ac:dyDescent="0.3">
      <c r="A3272" s="89" t="str">
        <v/>
      </c>
      <c r="B3272" s="89" t="str">
        <v>Seguridad Quimica (Todos)</v>
      </c>
      <c r="C3272" s="90" t="str">
        <v/>
      </c>
      <c r="D3272" s="89" t="str">
        <v>Periódica</v>
      </c>
      <c r="E3272" s="89">
        <v>730</v>
      </c>
      <c r="F3272" s="89" t="str">
        <v/>
      </c>
      <c r="G3272" s="89" t="str">
        <f ca="1"/>
        <v/>
      </c>
    </row>
    <row r="3273" spans="1:7" x14ac:dyDescent="0.3">
      <c r="A3273" s="89" t="str">
        <v/>
      </c>
      <c r="B3273" s="89" t="str">
        <v>Seguridad Quimica (Mantenimiento)</v>
      </c>
      <c r="C3273" s="90" t="str">
        <v/>
      </c>
      <c r="D3273" s="89" t="str">
        <v>Periódica</v>
      </c>
      <c r="E3273" s="89">
        <v>365</v>
      </c>
      <c r="F3273" s="89" t="str">
        <v/>
      </c>
      <c r="G3273" s="89" t="str">
        <f ca="1"/>
        <v/>
      </c>
    </row>
    <row r="3274" spans="1:7" x14ac:dyDescent="0.3">
      <c r="A3274" s="89" t="str">
        <v/>
      </c>
      <c r="B3274" s="89" t="str">
        <v>Seguridad Quimica (Contratistas)</v>
      </c>
      <c r="C3274" s="90" t="str">
        <v/>
      </c>
      <c r="D3274" s="89" t="str">
        <v>Periódica</v>
      </c>
      <c r="E3274" s="89">
        <v>365</v>
      </c>
      <c r="F3274" s="89" t="str">
        <v/>
      </c>
      <c r="G3274" s="89" t="str">
        <f ca="1"/>
        <v/>
      </c>
    </row>
    <row r="3275" spans="1:7" x14ac:dyDescent="0.3">
      <c r="A3275" s="89" t="str">
        <v/>
      </c>
      <c r="B3275" s="89" t="str">
        <v>Seguridad para Trabajos en Caliente</v>
      </c>
      <c r="C3275" s="90" t="str">
        <v/>
      </c>
      <c r="D3275" s="89" t="str">
        <v>Periódica</v>
      </c>
      <c r="E3275" s="89">
        <v>365</v>
      </c>
      <c r="F3275" s="89" t="str">
        <v/>
      </c>
      <c r="G3275" s="89" t="str">
        <f ca="1"/>
        <v/>
      </c>
    </row>
    <row r="3276" spans="1:7" x14ac:dyDescent="0.3">
      <c r="A3276" s="89" t="str">
        <v/>
      </c>
      <c r="B3276" s="89" t="str">
        <v>Seguridad con la Radiacion</v>
      </c>
      <c r="C3276" s="90" t="str">
        <v/>
      </c>
      <c r="D3276" s="89" t="str">
        <v>Periódica</v>
      </c>
      <c r="E3276" s="89">
        <v>365</v>
      </c>
      <c r="F3276" s="89" t="str">
        <v/>
      </c>
      <c r="G3276" s="89" t="str">
        <f ca="1"/>
        <v/>
      </c>
    </row>
    <row r="3277" spans="1:7" x14ac:dyDescent="0.3">
      <c r="A3277" s="89" t="str">
        <v/>
      </c>
      <c r="B3277" s="89" t="str">
        <v>Equipo de Proteccion Personal (PPE)</v>
      </c>
      <c r="C3277" s="90" t="str">
        <v/>
      </c>
      <c r="D3277" s="89" t="str">
        <v>Periódica</v>
      </c>
      <c r="E3277" s="89">
        <v>365</v>
      </c>
      <c r="F3277" s="89" t="str">
        <v/>
      </c>
      <c r="G3277" s="89" t="str">
        <f ca="1"/>
        <v/>
      </c>
    </row>
    <row r="3278" spans="1:7" x14ac:dyDescent="0.3">
      <c r="A3278" s="89" t="str">
        <v/>
      </c>
      <c r="B3278" s="89" t="str">
        <v>Proteccion Respiratoria</v>
      </c>
      <c r="C3278" s="90" t="str">
        <v/>
      </c>
      <c r="D3278" s="89" t="str">
        <v>Periódica</v>
      </c>
      <c r="E3278" s="89">
        <v>365</v>
      </c>
      <c r="F3278" s="89" t="str">
        <v/>
      </c>
      <c r="G3278" s="89" t="str">
        <f ca="1"/>
        <v/>
      </c>
    </row>
    <row r="3279" spans="1:7" x14ac:dyDescent="0.3">
      <c r="A3279" s="89" t="str">
        <v/>
      </c>
      <c r="B3279" s="89" t="str">
        <v xml:space="preserve">Seguridad con Escaleras </v>
      </c>
      <c r="C3279" s="90" t="str">
        <v/>
      </c>
      <c r="D3279" s="89" t="str">
        <v>Periódica</v>
      </c>
      <c r="E3279" s="89">
        <v>365</v>
      </c>
      <c r="F3279" s="89" t="str">
        <v/>
      </c>
      <c r="G3279" s="89" t="str">
        <f ca="1"/>
        <v/>
      </c>
    </row>
    <row r="3280" spans="1:7" x14ac:dyDescent="0.3">
      <c r="A3280" s="89" t="str">
        <v/>
      </c>
      <c r="B3280" s="89" t="str">
        <v>Seguridad con Escaleras // Estantes de Almacenamiento</v>
      </c>
      <c r="C3280" s="90" t="str">
        <v/>
      </c>
      <c r="D3280" s="89" t="str">
        <v>Periódica</v>
      </c>
      <c r="E3280" s="89">
        <v>365</v>
      </c>
      <c r="F3280" s="89" t="str">
        <v/>
      </c>
      <c r="G3280" s="89" t="str">
        <f ca="1"/>
        <v/>
      </c>
    </row>
    <row r="3281" spans="1:7" x14ac:dyDescent="0.3">
      <c r="A3281" s="89" t="str">
        <v/>
      </c>
      <c r="B3281" s="89" t="str">
        <v>Responsabilidades del Supervisor</v>
      </c>
      <c r="C3281" s="90" t="str">
        <v/>
      </c>
      <c r="D3281" s="89" t="str">
        <v>Periódica</v>
      </c>
      <c r="E3281" s="89">
        <v>365</v>
      </c>
      <c r="F3281" s="89" t="str">
        <v/>
      </c>
      <c r="G3281" s="89" t="str">
        <f ca="1"/>
        <v/>
      </c>
    </row>
    <row r="3282" spans="1:7" x14ac:dyDescent="0.3">
      <c r="A3282" s="89" t="str">
        <v/>
      </c>
      <c r="B3282" s="89" t="str">
        <v>Espacios Confinados (Todos)</v>
      </c>
      <c r="C3282" s="90" t="str">
        <v/>
      </c>
      <c r="D3282" s="89" t="str">
        <v>Periódica</v>
      </c>
      <c r="E3282" s="89">
        <v>365</v>
      </c>
      <c r="F3282" s="89" t="str">
        <v/>
      </c>
      <c r="G3282" s="89" t="str">
        <f ca="1"/>
        <v/>
      </c>
    </row>
    <row r="3283" spans="1:7" x14ac:dyDescent="0.3">
      <c r="A3283" s="89" t="str">
        <v/>
      </c>
      <c r="B3283" s="89" t="str">
        <v>HSMS.017 / Espacios Confinados (Entrantes)</v>
      </c>
      <c r="C3283" s="90" t="str">
        <v/>
      </c>
      <c r="D3283" s="89" t="str">
        <v>Evento</v>
      </c>
      <c r="E3283" s="89">
        <v>0</v>
      </c>
      <c r="F3283" s="89" t="str">
        <v/>
      </c>
      <c r="G3283" s="89" t="str">
        <f ca="1"/>
        <v/>
      </c>
    </row>
    <row r="3284" spans="1:7" x14ac:dyDescent="0.3">
      <c r="A3284" s="89" t="str">
        <v/>
      </c>
      <c r="B3284" s="89" t="str">
        <v>Programa de Agua (Todos)</v>
      </c>
      <c r="C3284" s="90" t="str">
        <v/>
      </c>
      <c r="D3284" s="89" t="str">
        <v>Evento</v>
      </c>
      <c r="E3284" s="89">
        <v>0</v>
      </c>
      <c r="F3284" s="89" t="str">
        <v/>
      </c>
      <c r="G3284" s="89" t="str">
        <f ca="1"/>
        <v/>
      </c>
    </row>
    <row r="3285" spans="1:7" x14ac:dyDescent="0.3">
      <c r="A3285" s="89" t="str">
        <v/>
      </c>
      <c r="B3285" s="89" t="str">
        <v>Programa de Agua (HSE)</v>
      </c>
      <c r="C3285" s="90" t="str">
        <v/>
      </c>
      <c r="D3285" s="89" t="str">
        <v>Evento</v>
      </c>
      <c r="E3285" s="89">
        <v>0</v>
      </c>
      <c r="F3285" s="89" t="str">
        <v/>
      </c>
      <c r="G3285" s="89" t="str">
        <f ca="1"/>
        <v/>
      </c>
    </row>
    <row r="3286" spans="1:7" x14ac:dyDescent="0.3">
      <c r="A3286" s="89" t="str">
        <v/>
      </c>
      <c r="B3286" s="89" t="str">
        <v>HIV/SIDA y otras enfermedades de transmisión sexual (ETS)</v>
      </c>
      <c r="C3286" s="90" t="str">
        <v/>
      </c>
      <c r="D3286" s="89" t="str">
        <v>Periódica</v>
      </c>
      <c r="E3286" s="89">
        <v>365</v>
      </c>
      <c r="F3286" s="89" t="str">
        <v/>
      </c>
      <c r="G3286" s="89" t="str">
        <f ca="1"/>
        <v/>
      </c>
    </row>
    <row r="3287" spans="1:7" x14ac:dyDescent="0.3">
      <c r="A3287" s="89" t="str">
        <v/>
      </c>
      <c r="B3287" s="89" t="str">
        <v>Drogas de abuso (concientización y prevención)</v>
      </c>
      <c r="C3287" s="90" t="str">
        <v/>
      </c>
      <c r="D3287" s="89" t="str">
        <v>Periódica</v>
      </c>
      <c r="E3287" s="89">
        <v>365</v>
      </c>
      <c r="F3287" s="89" t="str">
        <v/>
      </c>
      <c r="G3287" s="89" t="str">
        <f ca="1"/>
        <v/>
      </c>
    </row>
    <row r="3288" spans="1:7" x14ac:dyDescent="0.3">
      <c r="A3288" s="89" t="str">
        <v/>
      </c>
      <c r="B3288" s="89" t="str">
        <v>Vida saludable (hábitos, autocuidado y bienestar)</v>
      </c>
      <c r="C3288" s="90" t="str">
        <v/>
      </c>
      <c r="D3288" s="89" t="str">
        <v>Periódica</v>
      </c>
      <c r="E3288" s="89">
        <v>365</v>
      </c>
      <c r="F3288" s="89" t="str">
        <v/>
      </c>
      <c r="G3288" s="89" t="str">
        <f ca="1"/>
        <v/>
      </c>
    </row>
    <row r="3289" spans="1:7" x14ac:dyDescent="0.3">
      <c r="A3289" s="89" t="str">
        <v/>
      </c>
      <c r="B3289" s="89" t="str">
        <v>Primeros auxilios y Reanimación Cardio Pulmonar (RCP)</v>
      </c>
      <c r="C3289" s="90" t="str">
        <v/>
      </c>
      <c r="D3289" s="89" t="str">
        <v>Periódica</v>
      </c>
      <c r="E3289" s="89">
        <v>365</v>
      </c>
      <c r="F3289" s="89" t="str">
        <v/>
      </c>
      <c r="G3289" s="89" t="str">
        <f ca="1"/>
        <v/>
      </c>
    </row>
    <row r="3290" spans="1:7" x14ac:dyDescent="0.3">
      <c r="A3290" s="89" t="str">
        <v/>
      </c>
      <c r="B3290" s="89" t="str">
        <v>Prevención cardiovascular (factores de riesgo y señales de alarma)</v>
      </c>
      <c r="C3290" s="90" t="str">
        <v/>
      </c>
      <c r="D3290" s="89" t="str">
        <v>Periódica</v>
      </c>
      <c r="E3290" s="89">
        <v>365</v>
      </c>
      <c r="F3290" s="89" t="str">
        <v/>
      </c>
      <c r="G3290" s="89" t="str">
        <f ca="1"/>
        <v/>
      </c>
    </row>
    <row r="3291" spans="1:7" x14ac:dyDescent="0.3">
      <c r="A3291" s="89" t="str">
        <v/>
      </c>
      <c r="B3291" s="89" t="str">
        <v>Efectos del tabaco sobre la salud</v>
      </c>
      <c r="C3291" s="90" t="str">
        <v/>
      </c>
      <c r="D3291" s="89" t="str">
        <v>Periódica</v>
      </c>
      <c r="E3291" s="89">
        <v>365</v>
      </c>
      <c r="F3291" s="89" t="str">
        <v/>
      </c>
      <c r="G3291" s="89" t="str">
        <f ca="1"/>
        <v/>
      </c>
    </row>
    <row r="3292" spans="1:7" x14ac:dyDescent="0.3">
      <c r="A3292" s="89" t="str">
        <v/>
      </c>
      <c r="B3292" s="89" t="str">
        <v>Cargadora (Op. Montacargas)</v>
      </c>
      <c r="C3292" s="90" t="str">
        <v/>
      </c>
      <c r="D3292" s="89" t="str">
        <v>Periódica</v>
      </c>
      <c r="E3292" s="89">
        <v>365</v>
      </c>
      <c r="F3292" s="89" t="str">
        <v/>
      </c>
      <c r="G3292" s="89" t="str">
        <f ca="1"/>
        <v/>
      </c>
    </row>
    <row r="3293" spans="1:7" x14ac:dyDescent="0.3">
      <c r="A3293" s="89" t="str">
        <v/>
      </c>
      <c r="B3293" s="89">
        <v>0</v>
      </c>
      <c r="C3293" s="90" t="str">
        <v/>
      </c>
      <c r="D3293" s="89" t="str">
        <v/>
      </c>
      <c r="E3293" s="89" t="str">
        <v/>
      </c>
      <c r="F3293" s="89" t="str">
        <v/>
      </c>
      <c r="G3293" s="89" t="str">
        <f ca="1"/>
        <v/>
      </c>
    </row>
    <row r="3294" spans="1:7" x14ac:dyDescent="0.3">
      <c r="A3294" s="89" t="str">
        <v/>
      </c>
      <c r="B3294" s="89">
        <v>0</v>
      </c>
      <c r="C3294" s="90" t="str">
        <v/>
      </c>
      <c r="D3294" s="89" t="str">
        <v/>
      </c>
      <c r="E3294" s="89" t="str">
        <v/>
      </c>
      <c r="F3294" s="89" t="str">
        <v/>
      </c>
      <c r="G3294" s="89" t="str">
        <f ca="1"/>
        <v/>
      </c>
    </row>
    <row r="3295" spans="1:7" x14ac:dyDescent="0.3">
      <c r="A3295" s="89" t="str">
        <v/>
      </c>
      <c r="B3295" s="89">
        <v>0</v>
      </c>
      <c r="C3295" s="90" t="str">
        <v/>
      </c>
      <c r="D3295" s="89" t="str">
        <v/>
      </c>
      <c r="E3295" s="89" t="str">
        <v/>
      </c>
      <c r="F3295" s="89" t="str">
        <v/>
      </c>
      <c r="G3295" s="89" t="str">
        <f ca="1"/>
        <v/>
      </c>
    </row>
    <row r="3296" spans="1:7" x14ac:dyDescent="0.3">
      <c r="A3296" s="89" t="str">
        <v/>
      </c>
      <c r="B3296" s="89">
        <v>0</v>
      </c>
      <c r="C3296" s="90" t="str">
        <v/>
      </c>
      <c r="D3296" s="89" t="str">
        <v/>
      </c>
      <c r="E3296" s="89" t="str">
        <v/>
      </c>
      <c r="F3296" s="89" t="str">
        <v/>
      </c>
      <c r="G3296" s="89" t="str">
        <f ca="1"/>
        <v/>
      </c>
    </row>
    <row r="3297" spans="1:7" x14ac:dyDescent="0.3">
      <c r="A3297" s="89" t="str">
        <v/>
      </c>
      <c r="B3297" s="89">
        <v>0</v>
      </c>
      <c r="C3297" s="90" t="str">
        <v/>
      </c>
      <c r="D3297" s="89" t="str">
        <v/>
      </c>
      <c r="E3297" s="89" t="str">
        <v/>
      </c>
      <c r="F3297" s="89" t="str">
        <v/>
      </c>
      <c r="G3297" s="89" t="str">
        <f ca="1"/>
        <v/>
      </c>
    </row>
    <row r="3298" spans="1:7" x14ac:dyDescent="0.3">
      <c r="A3298" s="89" t="str">
        <v/>
      </c>
      <c r="B3298" s="89">
        <v>0</v>
      </c>
      <c r="C3298" s="90" t="str">
        <v/>
      </c>
      <c r="D3298" s="89" t="str">
        <v/>
      </c>
      <c r="E3298" s="89" t="str">
        <v/>
      </c>
      <c r="F3298" s="89" t="str">
        <v/>
      </c>
      <c r="G3298" s="89" t="str">
        <f ca="1"/>
        <v/>
      </c>
    </row>
    <row r="3299" spans="1:7" x14ac:dyDescent="0.3">
      <c r="A3299" s="89" t="str">
        <v/>
      </c>
      <c r="B3299" s="89">
        <v>0</v>
      </c>
      <c r="C3299" s="90" t="str">
        <v/>
      </c>
      <c r="D3299" s="89" t="str">
        <v/>
      </c>
      <c r="E3299" s="89" t="str">
        <v/>
      </c>
      <c r="F3299" s="89" t="str">
        <v/>
      </c>
      <c r="G3299" s="89" t="str">
        <f ca="1"/>
        <v/>
      </c>
    </row>
    <row r="3300" spans="1:7" x14ac:dyDescent="0.3">
      <c r="A3300" s="89" t="str">
        <v/>
      </c>
      <c r="B3300" s="89">
        <v>0</v>
      </c>
      <c r="C3300" s="90" t="str">
        <v/>
      </c>
      <c r="D3300" s="89" t="str">
        <v/>
      </c>
      <c r="E3300" s="89" t="str">
        <v/>
      </c>
      <c r="F3300" s="89" t="str">
        <v/>
      </c>
      <c r="G3300" s="89" t="str">
        <f ca="1"/>
        <v/>
      </c>
    </row>
    <row r="3301" spans="1:7" x14ac:dyDescent="0.3">
      <c r="A3301" s="89" t="str">
        <v/>
      </c>
      <c r="B3301" s="89">
        <v>0</v>
      </c>
      <c r="C3301" s="90" t="str">
        <v/>
      </c>
      <c r="D3301" s="89" t="str">
        <v/>
      </c>
      <c r="E3301" s="89" t="str">
        <v/>
      </c>
      <c r="F3301" s="89" t="str">
        <v/>
      </c>
      <c r="G3301" s="89" t="str">
        <f ca="1"/>
        <v/>
      </c>
    </row>
    <row r="3302" spans="1:7" x14ac:dyDescent="0.3">
      <c r="A3302" s="89" t="str">
        <v/>
      </c>
      <c r="B3302" s="89" t="str">
        <v>Programa de Aire</v>
      </c>
      <c r="C3302" s="90" t="str">
        <v/>
      </c>
      <c r="D3302" s="89" t="str">
        <v>Evento</v>
      </c>
      <c r="E3302" s="89">
        <v>0</v>
      </c>
      <c r="F3302" s="89" t="str">
        <v/>
      </c>
      <c r="G3302" s="89" t="str">
        <f ca="1"/>
        <v/>
      </c>
    </row>
    <row r="3303" spans="1:7" x14ac:dyDescent="0.3">
      <c r="A3303" s="89" t="str">
        <v/>
      </c>
      <c r="B3303" s="89" t="str">
        <v>Conciencia Ambiental</v>
      </c>
      <c r="C3303" s="90" t="str">
        <v/>
      </c>
      <c r="D3303" s="89" t="str">
        <v>Periódica</v>
      </c>
      <c r="E3303" s="89">
        <v>365</v>
      </c>
      <c r="F3303" s="89" t="str">
        <v/>
      </c>
      <c r="G3303" s="89" t="str">
        <f ca="1"/>
        <v/>
      </c>
    </row>
    <row r="3304" spans="1:7" x14ac:dyDescent="0.3">
      <c r="A3304" s="89" t="str">
        <v/>
      </c>
      <c r="B3304" s="89" t="str">
        <v xml:space="preserve">Control de Documentos e Informacion de HSE </v>
      </c>
      <c r="C3304" s="90" t="str">
        <v/>
      </c>
      <c r="D3304" s="89" t="str">
        <v>Evento</v>
      </c>
      <c r="E3304" s="89">
        <v>0</v>
      </c>
      <c r="F3304" s="89" t="str">
        <v/>
      </c>
      <c r="G3304" s="89" t="str">
        <f ca="1"/>
        <v/>
      </c>
    </row>
    <row r="3305" spans="1:7" x14ac:dyDescent="0.3">
      <c r="A3305" s="89" t="str">
        <v/>
      </c>
      <c r="B3305" s="89" t="str">
        <v xml:space="preserve"> Acciones Correctivas y Preventivas (CAPA)</v>
      </c>
      <c r="C3305" s="90" t="str">
        <v/>
      </c>
      <c r="D3305" s="89" t="str">
        <v>Evento</v>
      </c>
      <c r="E3305" s="89">
        <v>0</v>
      </c>
      <c r="F3305" s="89" t="str">
        <v/>
      </c>
      <c r="G3305" s="89" t="str">
        <f ca="1"/>
        <v/>
      </c>
    </row>
    <row r="3306" spans="1:7" x14ac:dyDescent="0.3">
      <c r="A3306" s="89" t="str">
        <v/>
      </c>
      <c r="B3306" s="89" t="str">
        <v>Seguridad Basada en el Comportamiento (Observation Program) // HSMS.043 / Autoridad de Detener el Trabajo</v>
      </c>
      <c r="C3306" s="90" t="str">
        <v/>
      </c>
      <c r="D3306" s="89" t="str">
        <v>Periódica</v>
      </c>
      <c r="E3306" s="89">
        <v>365</v>
      </c>
      <c r="F3306" s="89" t="str">
        <v/>
      </c>
      <c r="G3306" s="89" t="str">
        <f ca="1"/>
        <v/>
      </c>
    </row>
    <row r="3307" spans="1:7" x14ac:dyDescent="0.3">
      <c r="A3307" s="89" t="str">
        <v/>
      </c>
      <c r="B3307" s="89" t="str">
        <v>Identificacion de Peligros y Evaluacion de Riesgos</v>
      </c>
      <c r="C3307" s="90" t="str">
        <v/>
      </c>
      <c r="D3307" s="89" t="str">
        <v>Evento</v>
      </c>
      <c r="E3307" s="89">
        <v>0</v>
      </c>
      <c r="F3307" s="89" t="str">
        <v/>
      </c>
      <c r="G3307" s="89" t="str">
        <f ca="1"/>
        <v/>
      </c>
    </row>
    <row r="3308" spans="1:7" x14ac:dyDescent="0.3">
      <c r="A3308" s="89" t="str">
        <v/>
      </c>
      <c r="B3308" s="89" t="str">
        <v xml:space="preserve"> Plan de Respuesta ante Eemergencias / HSMS.010 /Primeros Axulios &amp; RCP/DEA / HSMSWT-002 / Patogenos Trasnmitidos por la Sangre</v>
      </c>
      <c r="C3308" s="90" t="str">
        <v/>
      </c>
      <c r="D3308" s="89" t="str">
        <v>Periódica</v>
      </c>
      <c r="E3308" s="89">
        <v>365</v>
      </c>
      <c r="F3308" s="89" t="str">
        <v/>
      </c>
      <c r="G3308" s="89" t="str">
        <f ca="1"/>
        <v/>
      </c>
    </row>
    <row r="3309" spans="1:7" x14ac:dyDescent="0.3">
      <c r="A3309" s="89" t="str">
        <v/>
      </c>
      <c r="B3309" s="89" t="str">
        <v>Reporte y Gestion de Incidentes HSE (Todos)</v>
      </c>
      <c r="C3309" s="90" t="str">
        <v/>
      </c>
      <c r="D3309" s="89" t="str">
        <v>Periódica</v>
      </c>
      <c r="E3309" s="89">
        <v>365</v>
      </c>
      <c r="F3309" s="89" t="str">
        <v/>
      </c>
      <c r="G3309" s="89" t="str">
        <f ca="1"/>
        <v/>
      </c>
    </row>
    <row r="3310" spans="1:7" x14ac:dyDescent="0.3">
      <c r="A3310" s="89" t="str">
        <v/>
      </c>
      <c r="B3310" s="89" t="str">
        <v>Reporte, Gestion e Investigacion de Incidentes HSE (supervisores / investigadores (rol))</v>
      </c>
      <c r="C3310" s="90" t="str">
        <v/>
      </c>
      <c r="D3310" s="89" t="str">
        <v>Periódica</v>
      </c>
      <c r="E3310" s="89">
        <v>1095</v>
      </c>
      <c r="F3310" s="89" t="str">
        <v/>
      </c>
      <c r="G3310" s="89" t="str">
        <f ca="1"/>
        <v/>
      </c>
    </row>
    <row r="3311" spans="1:7" x14ac:dyDescent="0.3">
      <c r="A3311" s="89" t="str">
        <v/>
      </c>
      <c r="B3311" s="89" t="str">
        <v>Gruas y Equipos de Izaje (Todos)</v>
      </c>
      <c r="C3311" s="90" t="str">
        <v/>
      </c>
      <c r="D3311" s="89" t="str">
        <v>Periódica</v>
      </c>
      <c r="E3311" s="89">
        <v>365</v>
      </c>
      <c r="F3311" s="89" t="str">
        <v/>
      </c>
      <c r="G3311" s="89" t="str">
        <f ca="1"/>
        <v/>
      </c>
    </row>
    <row r="3312" spans="1:7" x14ac:dyDescent="0.3">
      <c r="A3312" s="89" t="str">
        <v/>
      </c>
      <c r="B3312" s="89" t="str">
        <v>HSMS.007 / Gruas y Equipos de Izaje (Operadores)</v>
      </c>
      <c r="C3312" s="90" t="str">
        <v/>
      </c>
      <c r="D3312" s="89" t="str">
        <v>Periódica</v>
      </c>
      <c r="E3312" s="89">
        <v>365</v>
      </c>
      <c r="F3312" s="89" t="str">
        <v/>
      </c>
      <c r="G3312" s="89" t="str">
        <f ca="1"/>
        <v/>
      </c>
    </row>
    <row r="3313" spans="1:7" x14ac:dyDescent="0.3">
      <c r="A3313" s="89" t="str">
        <v/>
      </c>
      <c r="B3313" s="89" t="str">
        <v>Proteccion Contra Incendios (Todos)</v>
      </c>
      <c r="C3313" s="90" t="str">
        <v/>
      </c>
      <c r="D3313" s="89" t="str">
        <v>Periódica</v>
      </c>
      <c r="E3313" s="89">
        <v>365</v>
      </c>
      <c r="F3313" s="89" t="str">
        <v/>
      </c>
      <c r="G3313" s="89" t="str">
        <f ca="1"/>
        <v/>
      </c>
    </row>
    <row r="3314" spans="1:7" x14ac:dyDescent="0.3">
      <c r="A3314" s="89" t="str">
        <v/>
      </c>
      <c r="B3314" s="89" t="str">
        <v>Proteccion Contra Incendios (Brigadistas)</v>
      </c>
      <c r="C3314" s="90" t="str">
        <v/>
      </c>
      <c r="D3314" s="89" t="str">
        <v>Periódica</v>
      </c>
      <c r="E3314" s="89">
        <v>365</v>
      </c>
      <c r="F3314" s="89" t="str">
        <v/>
      </c>
      <c r="G3314" s="89" t="str">
        <f ca="1"/>
        <v/>
      </c>
    </row>
    <row r="3315" spans="1:7" x14ac:dyDescent="0.3">
      <c r="A3315" s="89" t="str">
        <v/>
      </c>
      <c r="B3315" s="89" t="str">
        <v>Primeros Auxilios (Brigadistas)</v>
      </c>
      <c r="C3315" s="90" t="str">
        <v/>
      </c>
      <c r="D3315" s="89" t="str">
        <v>Periódica</v>
      </c>
      <c r="E3315" s="89">
        <v>365</v>
      </c>
      <c r="F3315" s="89" t="str">
        <v/>
      </c>
      <c r="G3315" s="89" t="str">
        <f ca="1"/>
        <v/>
      </c>
    </row>
    <row r="3316" spans="1:7" x14ac:dyDescent="0.3">
      <c r="A3316" s="89" t="str">
        <v/>
      </c>
      <c r="B3316" s="89" t="str">
        <v>Seguridad Electrica (Todos)</v>
      </c>
      <c r="C3316" s="90" t="str">
        <v/>
      </c>
      <c r="D3316" s="89" t="str">
        <v>Periódica</v>
      </c>
      <c r="E3316" s="89">
        <v>365</v>
      </c>
      <c r="F3316" s="89" t="str">
        <v/>
      </c>
      <c r="G3316" s="89" t="str">
        <f ca="1"/>
        <v/>
      </c>
    </row>
    <row r="3317" spans="1:7" x14ac:dyDescent="0.3">
      <c r="A3317" s="89" t="str">
        <v/>
      </c>
      <c r="B3317" s="89" t="str">
        <v>Seguridad Electrica (Personal Autorizado)</v>
      </c>
      <c r="C3317" s="90" t="str">
        <v/>
      </c>
      <c r="D3317" s="89" t="str">
        <v>Periódica</v>
      </c>
      <c r="E3317" s="89">
        <v>1095</v>
      </c>
      <c r="F3317" s="89" t="str">
        <v/>
      </c>
      <c r="G3317" s="89" t="str">
        <f ca="1"/>
        <v/>
      </c>
    </row>
    <row r="3318" spans="1:7" x14ac:dyDescent="0.3">
      <c r="A3318" s="89" t="str">
        <v/>
      </c>
      <c r="B3318" s="89" t="str">
        <v>Camiones Industriales Motorizados (PIT) (Todos)</v>
      </c>
      <c r="C3318" s="90" t="str">
        <v/>
      </c>
      <c r="D3318" s="89" t="str">
        <v>Periódica</v>
      </c>
      <c r="E3318" s="89">
        <v>365</v>
      </c>
      <c r="F3318" s="89" t="str">
        <v/>
      </c>
      <c r="G3318" s="89" t="str">
        <f ca="1"/>
        <v/>
      </c>
    </row>
    <row r="3319" spans="1:7" x14ac:dyDescent="0.3">
      <c r="A3319" s="89" t="str">
        <v/>
      </c>
      <c r="B3319" s="89" t="str">
        <v>Camiones Industriales Motorizados (PIT) (Op. Montacargas)</v>
      </c>
      <c r="C3319" s="90" t="str">
        <v/>
      </c>
      <c r="D3319" s="89" t="str">
        <v>Periódica</v>
      </c>
      <c r="E3319" s="89">
        <v>365</v>
      </c>
      <c r="F3319" s="89" t="str">
        <v/>
      </c>
      <c r="G3319" s="89" t="str">
        <f ca="1"/>
        <v/>
      </c>
    </row>
    <row r="3320" spans="1:7" x14ac:dyDescent="0.3">
      <c r="A3320" s="89" t="str">
        <v/>
      </c>
      <c r="B3320" s="89" t="str">
        <v>Control de Energias Peligrosas (LOTO) (Todos)</v>
      </c>
      <c r="C3320" s="90" t="str">
        <v/>
      </c>
      <c r="D3320" s="89" t="str">
        <v>Evento</v>
      </c>
      <c r="E3320" s="89">
        <v>0</v>
      </c>
      <c r="F3320" s="89" t="str">
        <v/>
      </c>
      <c r="G3320" s="89" t="str">
        <f ca="1"/>
        <v/>
      </c>
    </row>
    <row r="3321" spans="1:7" x14ac:dyDescent="0.3">
      <c r="A3321" s="89" t="str">
        <v/>
      </c>
      <c r="B3321" s="89" t="str">
        <v>Control de Energias Peligrosas (LOTO) (Empleados Autorizados)</v>
      </c>
      <c r="C3321" s="90" t="str">
        <v/>
      </c>
      <c r="D3321" s="89" t="str">
        <v>Periódica</v>
      </c>
      <c r="E3321" s="89">
        <v>365</v>
      </c>
      <c r="F3321" s="89" t="str">
        <v/>
      </c>
      <c r="G3321" s="89" t="str">
        <f ca="1"/>
        <v/>
      </c>
    </row>
    <row r="3322" spans="1:7" x14ac:dyDescent="0.3">
      <c r="A3322" s="89" t="str">
        <v/>
      </c>
      <c r="B3322" s="89" t="str">
        <v>Seguridad aplicada al Pozo &amp; Yacimiento</v>
      </c>
      <c r="C3322" s="90" t="str">
        <v/>
      </c>
      <c r="D3322" s="89" t="str">
        <v>Periódica</v>
      </c>
      <c r="E3322" s="89">
        <v>365</v>
      </c>
      <c r="F3322" s="89" t="str">
        <v/>
      </c>
      <c r="G3322" s="89" t="str">
        <f ca="1"/>
        <v/>
      </c>
    </row>
    <row r="3323" spans="1:7" x14ac:dyDescent="0.3">
      <c r="A3323" s="89" t="str">
        <v/>
      </c>
      <c r="B3323" s="89" t="str">
        <v>Las Reglas que Salvan Vidas</v>
      </c>
      <c r="C3323" s="90" t="str">
        <v/>
      </c>
      <c r="D3323" s="89" t="str">
        <v>Periódica</v>
      </c>
      <c r="E3323" s="89">
        <v>365</v>
      </c>
      <c r="F3323" s="89" t="str">
        <v/>
      </c>
      <c r="G3323" s="89" t="str">
        <f ca="1"/>
        <v/>
      </c>
    </row>
    <row r="3324" spans="1:7" x14ac:dyDescent="0.3">
      <c r="A3324" s="89" t="str">
        <v/>
      </c>
      <c r="B3324" s="89" t="str">
        <v xml:space="preserve">Resguardo de Maquinas &amp; Equipos </v>
      </c>
      <c r="C3324" s="90" t="str">
        <v/>
      </c>
      <c r="D3324" s="89" t="str">
        <v>Periódica</v>
      </c>
      <c r="E3324" s="89">
        <v>365</v>
      </c>
      <c r="F3324" s="89" t="str">
        <v/>
      </c>
      <c r="G3324" s="89" t="str">
        <f ca="1"/>
        <v/>
      </c>
    </row>
    <row r="3325" spans="1:7" x14ac:dyDescent="0.3">
      <c r="A3325" s="89" t="str">
        <v/>
      </c>
      <c r="B3325" s="89" t="str">
        <v>Conduccion y Gestion de Viajes (Todos)</v>
      </c>
      <c r="C3325" s="90" t="str">
        <v/>
      </c>
      <c r="D3325" s="89" t="str">
        <v>Periódica</v>
      </c>
      <c r="E3325" s="89">
        <v>730</v>
      </c>
      <c r="F3325" s="89" t="str">
        <v/>
      </c>
      <c r="G3325" s="89" t="str">
        <f ca="1"/>
        <v/>
      </c>
    </row>
    <row r="3326" spans="1:7" x14ac:dyDescent="0.3">
      <c r="A3326" s="89" t="str">
        <v/>
      </c>
      <c r="B3326" s="89" t="str">
        <v>Conduccion y Gestion de Viajes (Conductores)</v>
      </c>
      <c r="C3326" s="90" t="str">
        <v/>
      </c>
      <c r="D3326" s="89" t="str">
        <v>Periódica</v>
      </c>
      <c r="E3326" s="89">
        <v>1095</v>
      </c>
      <c r="F3326" s="89" t="str">
        <v/>
      </c>
      <c r="G3326" s="89" t="str">
        <f ca="1"/>
        <v/>
      </c>
    </row>
    <row r="3327" spans="1:7" x14ac:dyDescent="0.3">
      <c r="A3327" s="89" t="str">
        <v/>
      </c>
      <c r="B3327" s="89" t="str">
        <v>Patogenos Transmitidos por la Sangre</v>
      </c>
      <c r="C3327" s="90" t="str">
        <v/>
      </c>
      <c r="D3327" s="89" t="str">
        <v>Periódica</v>
      </c>
      <c r="E3327" s="89">
        <v>365</v>
      </c>
      <c r="F3327" s="89" t="str">
        <v/>
      </c>
      <c r="G3327" s="89" t="str">
        <f ca="1"/>
        <v/>
      </c>
    </row>
    <row r="3328" spans="1:7" x14ac:dyDescent="0.3">
      <c r="A3328" s="89" t="str">
        <v/>
      </c>
      <c r="B3328" s="89" t="str">
        <v>Conservacion Auditiva</v>
      </c>
      <c r="C3328" s="90" t="str">
        <v/>
      </c>
      <c r="D3328" s="89" t="str">
        <v>Periódica</v>
      </c>
      <c r="E3328" s="89">
        <v>365</v>
      </c>
      <c r="F3328" s="89" t="str">
        <v/>
      </c>
      <c r="G3328" s="89" t="str">
        <f ca="1"/>
        <v/>
      </c>
    </row>
    <row r="3329" spans="1:7" x14ac:dyDescent="0.3">
      <c r="A3329" s="89" t="str">
        <v/>
      </c>
      <c r="B3329" s="89" t="str">
        <v xml:space="preserve">Ergonomia //  / Levantamiento &amp; Seguridad en la Espalda </v>
      </c>
      <c r="C3329" s="90" t="str">
        <v/>
      </c>
      <c r="D3329" s="89" t="str">
        <v>Periódica</v>
      </c>
      <c r="E3329" s="89">
        <v>365</v>
      </c>
      <c r="F3329" s="89" t="str">
        <v/>
      </c>
      <c r="G3329" s="89" t="str">
        <f ca="1"/>
        <v/>
      </c>
    </row>
    <row r="3330" spans="1:7" x14ac:dyDescent="0.3">
      <c r="A3330" s="89" t="str">
        <v/>
      </c>
      <c r="B3330" s="89" t="str">
        <v>Superficies Elevadas (Todos)</v>
      </c>
      <c r="C3330" s="90" t="str">
        <v/>
      </c>
      <c r="D3330" s="89" t="str">
        <v>Periódica</v>
      </c>
      <c r="E3330" s="89">
        <v>365</v>
      </c>
      <c r="F3330" s="89" t="str">
        <v/>
      </c>
      <c r="G3330" s="89" t="str">
        <f ca="1"/>
        <v/>
      </c>
    </row>
    <row r="3331" spans="1:7" x14ac:dyDescent="0.3">
      <c r="A3331" s="89" t="str">
        <v/>
      </c>
      <c r="B3331" s="89" t="str">
        <v>Superficies Elevadas (Personal Habilitado)</v>
      </c>
      <c r="C3331" s="90" t="str">
        <v/>
      </c>
      <c r="D3331" s="89" t="str">
        <v>Periódica</v>
      </c>
      <c r="E3331" s="89">
        <v>365</v>
      </c>
      <c r="F3331" s="89" t="str">
        <v/>
      </c>
      <c r="G3331" s="89" t="str">
        <f ca="1"/>
        <v/>
      </c>
    </row>
    <row r="3332" spans="1:7" x14ac:dyDescent="0.3">
      <c r="A3332" s="89" t="str">
        <v/>
      </c>
      <c r="B3332" s="89" t="str">
        <v>Seguridad Quimica (Todos)</v>
      </c>
      <c r="C3332" s="90" t="str">
        <v/>
      </c>
      <c r="D3332" s="89" t="str">
        <v>Periódica</v>
      </c>
      <c r="E3332" s="89">
        <v>730</v>
      </c>
      <c r="F3332" s="89" t="str">
        <v/>
      </c>
      <c r="G3332" s="89" t="str">
        <f ca="1"/>
        <v/>
      </c>
    </row>
    <row r="3333" spans="1:7" x14ac:dyDescent="0.3">
      <c r="A3333" s="89" t="str">
        <v/>
      </c>
      <c r="B3333" s="89" t="str">
        <v>Seguridad Quimica (Mantenimiento)</v>
      </c>
      <c r="C3333" s="90" t="str">
        <v/>
      </c>
      <c r="D3333" s="89" t="str">
        <v>Periódica</v>
      </c>
      <c r="E3333" s="89">
        <v>365</v>
      </c>
      <c r="F3333" s="89" t="str">
        <v/>
      </c>
      <c r="G3333" s="89" t="str">
        <f ca="1"/>
        <v/>
      </c>
    </row>
    <row r="3334" spans="1:7" x14ac:dyDescent="0.3">
      <c r="A3334" s="89" t="str">
        <v/>
      </c>
      <c r="B3334" s="89" t="str">
        <v>Seguridad Quimica (Contratistas)</v>
      </c>
      <c r="C3334" s="90" t="str">
        <v/>
      </c>
      <c r="D3334" s="89" t="str">
        <v>Periódica</v>
      </c>
      <c r="E3334" s="89">
        <v>365</v>
      </c>
      <c r="F3334" s="89" t="str">
        <v/>
      </c>
      <c r="G3334" s="89" t="str">
        <f ca="1"/>
        <v/>
      </c>
    </row>
    <row r="3335" spans="1:7" x14ac:dyDescent="0.3">
      <c r="A3335" s="89" t="str">
        <v/>
      </c>
      <c r="B3335" s="89" t="str">
        <v>Seguridad para Trabajos en Caliente</v>
      </c>
      <c r="C3335" s="90" t="str">
        <v/>
      </c>
      <c r="D3335" s="89" t="str">
        <v>Periódica</v>
      </c>
      <c r="E3335" s="89">
        <v>365</v>
      </c>
      <c r="F3335" s="89" t="str">
        <v/>
      </c>
      <c r="G3335" s="89" t="str">
        <f ca="1"/>
        <v/>
      </c>
    </row>
    <row r="3336" spans="1:7" x14ac:dyDescent="0.3">
      <c r="A3336" s="89" t="str">
        <v/>
      </c>
      <c r="B3336" s="89" t="str">
        <v>Seguridad con la Radiacion</v>
      </c>
      <c r="C3336" s="90" t="str">
        <v/>
      </c>
      <c r="D3336" s="89" t="str">
        <v>Periódica</v>
      </c>
      <c r="E3336" s="89">
        <v>365</v>
      </c>
      <c r="F3336" s="89" t="str">
        <v/>
      </c>
      <c r="G3336" s="89" t="str">
        <f ca="1"/>
        <v/>
      </c>
    </row>
    <row r="3337" spans="1:7" x14ac:dyDescent="0.3">
      <c r="A3337" s="89" t="str">
        <v/>
      </c>
      <c r="B3337" s="89" t="str">
        <v>Equipo de Proteccion Personal (PPE)</v>
      </c>
      <c r="C3337" s="90" t="str">
        <v/>
      </c>
      <c r="D3337" s="89" t="str">
        <v>Periódica</v>
      </c>
      <c r="E3337" s="89">
        <v>365</v>
      </c>
      <c r="F3337" s="89" t="str">
        <v/>
      </c>
      <c r="G3337" s="89" t="str">
        <f ca="1"/>
        <v/>
      </c>
    </row>
    <row r="3338" spans="1:7" x14ac:dyDescent="0.3">
      <c r="A3338" s="89" t="str">
        <v/>
      </c>
      <c r="B3338" s="89" t="str">
        <v>Proteccion Respiratoria</v>
      </c>
      <c r="C3338" s="90" t="str">
        <v/>
      </c>
      <c r="D3338" s="89" t="str">
        <v>Periódica</v>
      </c>
      <c r="E3338" s="89">
        <v>365</v>
      </c>
      <c r="F3338" s="89" t="str">
        <v/>
      </c>
      <c r="G3338" s="89" t="str">
        <f ca="1"/>
        <v/>
      </c>
    </row>
    <row r="3339" spans="1:7" x14ac:dyDescent="0.3">
      <c r="A3339" s="89" t="str">
        <v/>
      </c>
      <c r="B3339" s="89" t="str">
        <v xml:space="preserve">Seguridad con Escaleras </v>
      </c>
      <c r="C3339" s="90" t="str">
        <v/>
      </c>
      <c r="D3339" s="89" t="str">
        <v>Periódica</v>
      </c>
      <c r="E3339" s="89">
        <v>365</v>
      </c>
      <c r="F3339" s="89" t="str">
        <v/>
      </c>
      <c r="G3339" s="89" t="str">
        <f ca="1"/>
        <v/>
      </c>
    </row>
    <row r="3340" spans="1:7" x14ac:dyDescent="0.3">
      <c r="A3340" s="89" t="str">
        <v/>
      </c>
      <c r="B3340" s="89" t="str">
        <v>Seguridad con Escaleras // Estantes de Almacenamiento</v>
      </c>
      <c r="C3340" s="90" t="str">
        <v/>
      </c>
      <c r="D3340" s="89" t="str">
        <v>Periódica</v>
      </c>
      <c r="E3340" s="89">
        <v>365</v>
      </c>
      <c r="F3340" s="89" t="str">
        <v/>
      </c>
      <c r="G3340" s="89" t="str">
        <f ca="1"/>
        <v/>
      </c>
    </row>
    <row r="3341" spans="1:7" x14ac:dyDescent="0.3">
      <c r="A3341" s="89" t="str">
        <v/>
      </c>
      <c r="B3341" s="89" t="str">
        <v>Responsabilidades del Supervisor</v>
      </c>
      <c r="C3341" s="90" t="str">
        <v/>
      </c>
      <c r="D3341" s="89" t="str">
        <v>Periódica</v>
      </c>
      <c r="E3341" s="89">
        <v>365</v>
      </c>
      <c r="F3341" s="89" t="str">
        <v/>
      </c>
      <c r="G3341" s="89" t="str">
        <f ca="1"/>
        <v/>
      </c>
    </row>
    <row r="3342" spans="1:7" x14ac:dyDescent="0.3">
      <c r="A3342" s="89" t="str">
        <v/>
      </c>
      <c r="B3342" s="89" t="str">
        <v>Espacios Confinados (Todos)</v>
      </c>
      <c r="C3342" s="90" t="str">
        <v/>
      </c>
      <c r="D3342" s="89" t="str">
        <v>Periódica</v>
      </c>
      <c r="E3342" s="89">
        <v>365</v>
      </c>
      <c r="F3342" s="89" t="str">
        <v/>
      </c>
      <c r="G3342" s="89" t="str">
        <f ca="1"/>
        <v/>
      </c>
    </row>
    <row r="3343" spans="1:7" x14ac:dyDescent="0.3">
      <c r="A3343" s="89" t="str">
        <v/>
      </c>
      <c r="B3343" s="89" t="str">
        <v>HSMS.017 / Espacios Confinados (Entrantes)</v>
      </c>
      <c r="C3343" s="90" t="str">
        <v/>
      </c>
      <c r="D3343" s="89" t="str">
        <v>Evento</v>
      </c>
      <c r="E3343" s="89">
        <v>0</v>
      </c>
      <c r="F3343" s="89" t="str">
        <v/>
      </c>
      <c r="G3343" s="89" t="str">
        <f ca="1"/>
        <v/>
      </c>
    </row>
    <row r="3344" spans="1:7" x14ac:dyDescent="0.3">
      <c r="A3344" s="89" t="str">
        <v/>
      </c>
      <c r="B3344" s="89" t="str">
        <v>Programa de Agua (Todos)</v>
      </c>
      <c r="C3344" s="90" t="str">
        <v/>
      </c>
      <c r="D3344" s="89" t="str">
        <v>Evento</v>
      </c>
      <c r="E3344" s="89">
        <v>0</v>
      </c>
      <c r="F3344" s="89" t="str">
        <v/>
      </c>
      <c r="G3344" s="89" t="str">
        <f ca="1"/>
        <v/>
      </c>
    </row>
    <row r="3345" spans="1:7" x14ac:dyDescent="0.3">
      <c r="A3345" s="89" t="str">
        <v/>
      </c>
      <c r="B3345" s="89" t="str">
        <v>Programa de Agua (HSE)</v>
      </c>
      <c r="C3345" s="90" t="str">
        <v/>
      </c>
      <c r="D3345" s="89" t="str">
        <v>Evento</v>
      </c>
      <c r="E3345" s="89">
        <v>0</v>
      </c>
      <c r="F3345" s="89" t="str">
        <v/>
      </c>
      <c r="G3345" s="89" t="str">
        <f ca="1"/>
        <v/>
      </c>
    </row>
    <row r="3346" spans="1:7" x14ac:dyDescent="0.3">
      <c r="A3346" s="89" t="str">
        <v/>
      </c>
      <c r="B3346" s="89" t="str">
        <v>HIV/SIDA y otras enfermedades de transmisión sexual (ETS)</v>
      </c>
      <c r="C3346" s="90" t="str">
        <v/>
      </c>
      <c r="D3346" s="89" t="str">
        <v>Periódica</v>
      </c>
      <c r="E3346" s="89">
        <v>365</v>
      </c>
      <c r="F3346" s="89" t="str">
        <v/>
      </c>
      <c r="G3346" s="89" t="str">
        <f ca="1"/>
        <v/>
      </c>
    </row>
    <row r="3347" spans="1:7" x14ac:dyDescent="0.3">
      <c r="A3347" s="89" t="str">
        <v/>
      </c>
      <c r="B3347" s="89" t="str">
        <v>Drogas de abuso (concientización y prevención)</v>
      </c>
      <c r="C3347" s="90" t="str">
        <v/>
      </c>
      <c r="D3347" s="89" t="str">
        <v>Periódica</v>
      </c>
      <c r="E3347" s="89">
        <v>365</v>
      </c>
      <c r="F3347" s="89" t="str">
        <v/>
      </c>
      <c r="G3347" s="89" t="str">
        <f ca="1"/>
        <v/>
      </c>
    </row>
    <row r="3348" spans="1:7" x14ac:dyDescent="0.3">
      <c r="A3348" s="89" t="str">
        <v/>
      </c>
      <c r="B3348" s="89" t="str">
        <v>Vida saludable (hábitos, autocuidado y bienestar)</v>
      </c>
      <c r="C3348" s="90" t="str">
        <v/>
      </c>
      <c r="D3348" s="89" t="str">
        <v>Periódica</v>
      </c>
      <c r="E3348" s="89">
        <v>365</v>
      </c>
      <c r="F3348" s="89" t="str">
        <v/>
      </c>
      <c r="G3348" s="89" t="str">
        <f ca="1"/>
        <v/>
      </c>
    </row>
    <row r="3349" spans="1:7" x14ac:dyDescent="0.3">
      <c r="A3349" s="89" t="str">
        <v/>
      </c>
      <c r="B3349" s="89" t="str">
        <v>Primeros auxilios y Reanimación Cardio Pulmonar (RCP)</v>
      </c>
      <c r="C3349" s="90" t="str">
        <v/>
      </c>
      <c r="D3349" s="89" t="str">
        <v>Periódica</v>
      </c>
      <c r="E3349" s="89">
        <v>365</v>
      </c>
      <c r="F3349" s="89" t="str">
        <v/>
      </c>
      <c r="G3349" s="89" t="str">
        <f ca="1"/>
        <v/>
      </c>
    </row>
    <row r="3350" spans="1:7" x14ac:dyDescent="0.3">
      <c r="A3350" s="89" t="str">
        <v/>
      </c>
      <c r="B3350" s="89" t="str">
        <v>Prevención cardiovascular (factores de riesgo y señales de alarma)</v>
      </c>
      <c r="C3350" s="90" t="str">
        <v/>
      </c>
      <c r="D3350" s="89" t="str">
        <v>Periódica</v>
      </c>
      <c r="E3350" s="89">
        <v>365</v>
      </c>
      <c r="F3350" s="89" t="str">
        <v/>
      </c>
      <c r="G3350" s="89" t="str">
        <f ca="1"/>
        <v/>
      </c>
    </row>
    <row r="3351" spans="1:7" x14ac:dyDescent="0.3">
      <c r="A3351" s="89" t="str">
        <v/>
      </c>
      <c r="B3351" s="89" t="str">
        <v>Efectos del tabaco sobre la salud</v>
      </c>
      <c r="C3351" s="90" t="str">
        <v/>
      </c>
      <c r="D3351" s="89" t="str">
        <v>Periódica</v>
      </c>
      <c r="E3351" s="89">
        <v>365</v>
      </c>
      <c r="F3351" s="89" t="str">
        <v/>
      </c>
      <c r="G3351" s="89" t="str">
        <f ca="1"/>
        <v/>
      </c>
    </row>
    <row r="3352" spans="1:7" x14ac:dyDescent="0.3">
      <c r="A3352" s="89" t="str">
        <v/>
      </c>
      <c r="B3352" s="89" t="str">
        <v>Cargadora (Op. Montacargas)</v>
      </c>
      <c r="C3352" s="90" t="str">
        <v/>
      </c>
      <c r="D3352" s="89" t="str">
        <v>Periódica</v>
      </c>
      <c r="E3352" s="89">
        <v>365</v>
      </c>
      <c r="F3352" s="89" t="str">
        <v/>
      </c>
      <c r="G3352" s="89" t="str">
        <f ca="1"/>
        <v/>
      </c>
    </row>
    <row r="3353" spans="1:7" x14ac:dyDescent="0.3">
      <c r="A3353" s="89" t="str">
        <v/>
      </c>
      <c r="B3353" s="89">
        <v>0</v>
      </c>
      <c r="C3353" s="90" t="str">
        <v/>
      </c>
      <c r="D3353" s="89" t="str">
        <v/>
      </c>
      <c r="E3353" s="89" t="str">
        <v/>
      </c>
      <c r="F3353" s="89" t="str">
        <v/>
      </c>
      <c r="G3353" s="89" t="str">
        <f ca="1"/>
        <v/>
      </c>
    </row>
    <row r="3354" spans="1:7" x14ac:dyDescent="0.3">
      <c r="A3354" s="89" t="str">
        <v/>
      </c>
      <c r="B3354" s="89">
        <v>0</v>
      </c>
      <c r="C3354" s="90" t="str">
        <v/>
      </c>
      <c r="D3354" s="89" t="str">
        <v/>
      </c>
      <c r="E3354" s="89" t="str">
        <v/>
      </c>
      <c r="F3354" s="89" t="str">
        <v/>
      </c>
      <c r="G3354" s="89" t="str">
        <f ca="1"/>
        <v/>
      </c>
    </row>
    <row r="3355" spans="1:7" x14ac:dyDescent="0.3">
      <c r="A3355" s="89" t="str">
        <v/>
      </c>
      <c r="B3355" s="89">
        <v>0</v>
      </c>
      <c r="C3355" s="90" t="str">
        <v/>
      </c>
      <c r="D3355" s="89" t="str">
        <v/>
      </c>
      <c r="E3355" s="89" t="str">
        <v/>
      </c>
      <c r="F3355" s="89" t="str">
        <v/>
      </c>
      <c r="G3355" s="89" t="str">
        <f ca="1"/>
        <v/>
      </c>
    </row>
    <row r="3356" spans="1:7" x14ac:dyDescent="0.3">
      <c r="A3356" s="89" t="str">
        <v/>
      </c>
      <c r="B3356" s="89">
        <v>0</v>
      </c>
      <c r="C3356" s="90" t="str">
        <v/>
      </c>
      <c r="D3356" s="89" t="str">
        <v/>
      </c>
      <c r="E3356" s="89" t="str">
        <v/>
      </c>
      <c r="F3356" s="89" t="str">
        <v/>
      </c>
      <c r="G3356" s="89" t="str">
        <f ca="1"/>
        <v/>
      </c>
    </row>
    <row r="3357" spans="1:7" x14ac:dyDescent="0.3">
      <c r="A3357" s="89" t="str">
        <v/>
      </c>
      <c r="B3357" s="89">
        <v>0</v>
      </c>
      <c r="C3357" s="90" t="str">
        <v/>
      </c>
      <c r="D3357" s="89" t="str">
        <v/>
      </c>
      <c r="E3357" s="89" t="str">
        <v/>
      </c>
      <c r="F3357" s="89" t="str">
        <v/>
      </c>
      <c r="G3357" s="89" t="str">
        <f ca="1"/>
        <v/>
      </c>
    </row>
    <row r="3358" spans="1:7" x14ac:dyDescent="0.3">
      <c r="A3358" s="89" t="str">
        <v/>
      </c>
      <c r="B3358" s="89">
        <v>0</v>
      </c>
      <c r="C3358" s="90" t="str">
        <v/>
      </c>
      <c r="D3358" s="89" t="str">
        <v/>
      </c>
      <c r="E3358" s="89" t="str">
        <v/>
      </c>
      <c r="F3358" s="89" t="str">
        <v/>
      </c>
      <c r="G3358" s="89" t="str">
        <f ca="1"/>
        <v/>
      </c>
    </row>
    <row r="3359" spans="1:7" x14ac:dyDescent="0.3">
      <c r="A3359" s="89" t="str">
        <v/>
      </c>
      <c r="B3359" s="89">
        <v>0</v>
      </c>
      <c r="C3359" s="90" t="str">
        <v/>
      </c>
      <c r="D3359" s="89" t="str">
        <v/>
      </c>
      <c r="E3359" s="89" t="str">
        <v/>
      </c>
      <c r="F3359" s="89" t="str">
        <v/>
      </c>
      <c r="G3359" s="89" t="str">
        <f ca="1"/>
        <v/>
      </c>
    </row>
    <row r="3360" spans="1:7" x14ac:dyDescent="0.3">
      <c r="A3360" s="89" t="str">
        <v/>
      </c>
      <c r="B3360" s="89">
        <v>0</v>
      </c>
      <c r="C3360" s="90" t="str">
        <v/>
      </c>
      <c r="D3360" s="89" t="str">
        <v/>
      </c>
      <c r="E3360" s="89" t="str">
        <v/>
      </c>
      <c r="F3360" s="89" t="str">
        <v/>
      </c>
      <c r="G3360" s="89" t="str">
        <f ca="1"/>
        <v/>
      </c>
    </row>
    <row r="3361" spans="1:7" x14ac:dyDescent="0.3">
      <c r="A3361" s="89" t="str">
        <v/>
      </c>
      <c r="B3361" s="89">
        <v>0</v>
      </c>
      <c r="C3361" s="90" t="str">
        <v/>
      </c>
      <c r="D3361" s="89" t="str">
        <v/>
      </c>
      <c r="E3361" s="89" t="str">
        <v/>
      </c>
      <c r="F3361" s="89" t="str">
        <v/>
      </c>
      <c r="G3361" s="89" t="str">
        <f ca="1"/>
        <v/>
      </c>
    </row>
    <row r="3362" spans="1:7" x14ac:dyDescent="0.3">
      <c r="A3362" s="89" t="str">
        <v/>
      </c>
      <c r="B3362" s="89" t="str">
        <v>Programa de Aire</v>
      </c>
      <c r="C3362" s="90" t="str">
        <v/>
      </c>
      <c r="D3362" s="89" t="str">
        <v>Evento</v>
      </c>
      <c r="E3362" s="89">
        <v>0</v>
      </c>
      <c r="F3362" s="89" t="str">
        <v/>
      </c>
      <c r="G3362" s="89" t="str">
        <f ca="1"/>
        <v/>
      </c>
    </row>
    <row r="3363" spans="1:7" x14ac:dyDescent="0.3">
      <c r="A3363" s="89" t="str">
        <v/>
      </c>
      <c r="B3363" s="89" t="str">
        <v>Conciencia Ambiental</v>
      </c>
      <c r="C3363" s="90" t="str">
        <v/>
      </c>
      <c r="D3363" s="89" t="str">
        <v>Periódica</v>
      </c>
      <c r="E3363" s="89">
        <v>365</v>
      </c>
      <c r="F3363" s="89" t="str">
        <v/>
      </c>
      <c r="G3363" s="89" t="str">
        <f ca="1"/>
        <v/>
      </c>
    </row>
    <row r="3364" spans="1:7" x14ac:dyDescent="0.3">
      <c r="A3364" s="89" t="str">
        <v/>
      </c>
      <c r="B3364" s="89" t="str">
        <v xml:space="preserve">Control de Documentos e Informacion de HSE </v>
      </c>
      <c r="C3364" s="90" t="str">
        <v/>
      </c>
      <c r="D3364" s="89" t="str">
        <v>Evento</v>
      </c>
      <c r="E3364" s="89">
        <v>0</v>
      </c>
      <c r="F3364" s="89" t="str">
        <v/>
      </c>
      <c r="G3364" s="89" t="str">
        <f ca="1"/>
        <v/>
      </c>
    </row>
    <row r="3365" spans="1:7" x14ac:dyDescent="0.3">
      <c r="A3365" s="89" t="str">
        <v/>
      </c>
      <c r="B3365" s="89" t="str">
        <v xml:space="preserve"> Acciones Correctivas y Preventivas (CAPA)</v>
      </c>
      <c r="C3365" s="90" t="str">
        <v/>
      </c>
      <c r="D3365" s="89" t="str">
        <v>Evento</v>
      </c>
      <c r="E3365" s="89">
        <v>0</v>
      </c>
      <c r="F3365" s="89" t="str">
        <v/>
      </c>
      <c r="G3365" s="89" t="str">
        <f ca="1"/>
        <v/>
      </c>
    </row>
    <row r="3366" spans="1:7" x14ac:dyDescent="0.3">
      <c r="A3366" s="89" t="str">
        <v/>
      </c>
      <c r="B3366" s="89" t="str">
        <v>Seguridad Basada en el Comportamiento (Observation Program) // HSMS.043 / Autoridad de Detener el Trabajo</v>
      </c>
      <c r="C3366" s="90" t="str">
        <v/>
      </c>
      <c r="D3366" s="89" t="str">
        <v>Periódica</v>
      </c>
      <c r="E3366" s="89">
        <v>365</v>
      </c>
      <c r="F3366" s="89" t="str">
        <v/>
      </c>
      <c r="G3366" s="89" t="str">
        <f ca="1"/>
        <v/>
      </c>
    </row>
    <row r="3367" spans="1:7" x14ac:dyDescent="0.3">
      <c r="A3367" s="89" t="str">
        <v/>
      </c>
      <c r="B3367" s="89" t="str">
        <v>Identificacion de Peligros y Evaluacion de Riesgos</v>
      </c>
      <c r="C3367" s="90" t="str">
        <v/>
      </c>
      <c r="D3367" s="89" t="str">
        <v>Evento</v>
      </c>
      <c r="E3367" s="89">
        <v>0</v>
      </c>
      <c r="F3367" s="89" t="str">
        <v/>
      </c>
      <c r="G3367" s="89" t="str">
        <f ca="1"/>
        <v/>
      </c>
    </row>
    <row r="3368" spans="1:7" x14ac:dyDescent="0.3">
      <c r="A3368" s="89" t="str">
        <v/>
      </c>
      <c r="B3368" s="89" t="str">
        <v xml:space="preserve"> Plan de Respuesta ante Eemergencias / HSMS.010 /Primeros Axulios &amp; RCP/DEA / HSMSWT-002 / Patogenos Trasnmitidos por la Sangre</v>
      </c>
      <c r="C3368" s="90" t="str">
        <v/>
      </c>
      <c r="D3368" s="89" t="str">
        <v>Periódica</v>
      </c>
      <c r="E3368" s="89">
        <v>365</v>
      </c>
      <c r="F3368" s="89" t="str">
        <v/>
      </c>
      <c r="G3368" s="89" t="str">
        <f ca="1"/>
        <v/>
      </c>
    </row>
    <row r="3369" spans="1:7" x14ac:dyDescent="0.3">
      <c r="A3369" s="89" t="str">
        <v/>
      </c>
      <c r="B3369" s="89" t="str">
        <v>Reporte y Gestion de Incidentes HSE (Todos)</v>
      </c>
      <c r="C3369" s="90" t="str">
        <v/>
      </c>
      <c r="D3369" s="89" t="str">
        <v>Periódica</v>
      </c>
      <c r="E3369" s="89">
        <v>365</v>
      </c>
      <c r="F3369" s="89" t="str">
        <v/>
      </c>
      <c r="G3369" s="89" t="str">
        <f ca="1"/>
        <v/>
      </c>
    </row>
    <row r="3370" spans="1:7" x14ac:dyDescent="0.3">
      <c r="A3370" s="89" t="str">
        <v/>
      </c>
      <c r="B3370" s="89" t="str">
        <v>Reporte, Gestion e Investigacion de Incidentes HSE (supervisores / investigadores (rol))</v>
      </c>
      <c r="C3370" s="90" t="str">
        <v/>
      </c>
      <c r="D3370" s="89" t="str">
        <v>Periódica</v>
      </c>
      <c r="E3370" s="89">
        <v>1095</v>
      </c>
      <c r="F3370" s="89" t="str">
        <v/>
      </c>
      <c r="G3370" s="89" t="str">
        <f ca="1"/>
        <v/>
      </c>
    </row>
    <row r="3371" spans="1:7" x14ac:dyDescent="0.3">
      <c r="A3371" s="89" t="str">
        <v/>
      </c>
      <c r="B3371" s="89" t="str">
        <v>Gruas y Equipos de Izaje (Todos)</v>
      </c>
      <c r="C3371" s="90" t="str">
        <v/>
      </c>
      <c r="D3371" s="89" t="str">
        <v>Periódica</v>
      </c>
      <c r="E3371" s="89">
        <v>365</v>
      </c>
      <c r="F3371" s="89" t="str">
        <v/>
      </c>
      <c r="G3371" s="89" t="str">
        <f ca="1"/>
        <v/>
      </c>
    </row>
    <row r="3372" spans="1:7" x14ac:dyDescent="0.3">
      <c r="A3372" s="89" t="str">
        <v/>
      </c>
      <c r="B3372" s="89" t="str">
        <v>HSMS.007 / Gruas y Equipos de Izaje (Operadores)</v>
      </c>
      <c r="C3372" s="90" t="str">
        <v/>
      </c>
      <c r="D3372" s="89" t="str">
        <v>Periódica</v>
      </c>
      <c r="E3372" s="89">
        <v>365</v>
      </c>
      <c r="F3372" s="89" t="str">
        <v/>
      </c>
      <c r="G3372" s="89" t="str">
        <f ca="1"/>
        <v/>
      </c>
    </row>
    <row r="3373" spans="1:7" x14ac:dyDescent="0.3">
      <c r="A3373" s="89" t="str">
        <v/>
      </c>
      <c r="B3373" s="89" t="str">
        <v>Proteccion Contra Incendios (Todos)</v>
      </c>
      <c r="C3373" s="90" t="str">
        <v/>
      </c>
      <c r="D3373" s="89" t="str">
        <v>Periódica</v>
      </c>
      <c r="E3373" s="89">
        <v>365</v>
      </c>
      <c r="F3373" s="89" t="str">
        <v/>
      </c>
      <c r="G3373" s="89" t="str">
        <f ca="1"/>
        <v/>
      </c>
    </row>
    <row r="3374" spans="1:7" x14ac:dyDescent="0.3">
      <c r="A3374" s="89" t="str">
        <v/>
      </c>
      <c r="B3374" s="89" t="str">
        <v>Proteccion Contra Incendios (Brigadistas)</v>
      </c>
      <c r="C3374" s="90" t="str">
        <v/>
      </c>
      <c r="D3374" s="89" t="str">
        <v>Periódica</v>
      </c>
      <c r="E3374" s="89">
        <v>365</v>
      </c>
      <c r="F3374" s="89" t="str">
        <v/>
      </c>
      <c r="G3374" s="89" t="str">
        <f ca="1"/>
        <v/>
      </c>
    </row>
    <row r="3375" spans="1:7" x14ac:dyDescent="0.3">
      <c r="A3375" s="89" t="str">
        <v/>
      </c>
      <c r="B3375" s="89" t="str">
        <v>Primeros Auxilios (Brigadistas)</v>
      </c>
      <c r="C3375" s="90" t="str">
        <v/>
      </c>
      <c r="D3375" s="89" t="str">
        <v>Periódica</v>
      </c>
      <c r="E3375" s="89">
        <v>365</v>
      </c>
      <c r="F3375" s="89" t="str">
        <v/>
      </c>
      <c r="G3375" s="89" t="str">
        <f ca="1"/>
        <v/>
      </c>
    </row>
    <row r="3376" spans="1:7" x14ac:dyDescent="0.3">
      <c r="A3376" s="89" t="str">
        <v/>
      </c>
      <c r="B3376" s="89" t="str">
        <v>Seguridad Electrica (Todos)</v>
      </c>
      <c r="C3376" s="90" t="str">
        <v/>
      </c>
      <c r="D3376" s="89" t="str">
        <v>Periódica</v>
      </c>
      <c r="E3376" s="89">
        <v>365</v>
      </c>
      <c r="F3376" s="89" t="str">
        <v/>
      </c>
      <c r="G3376" s="89" t="str">
        <f ca="1"/>
        <v/>
      </c>
    </row>
    <row r="3377" spans="1:7" x14ac:dyDescent="0.3">
      <c r="A3377" s="89" t="str">
        <v/>
      </c>
      <c r="B3377" s="89" t="str">
        <v>Seguridad Electrica (Personal Autorizado)</v>
      </c>
      <c r="C3377" s="90" t="str">
        <v/>
      </c>
      <c r="D3377" s="89" t="str">
        <v>Periódica</v>
      </c>
      <c r="E3377" s="89">
        <v>1095</v>
      </c>
      <c r="F3377" s="89" t="str">
        <v/>
      </c>
      <c r="G3377" s="89" t="str">
        <f ca="1"/>
        <v/>
      </c>
    </row>
    <row r="3378" spans="1:7" x14ac:dyDescent="0.3">
      <c r="A3378" s="89" t="str">
        <v/>
      </c>
      <c r="B3378" s="89" t="str">
        <v>Camiones Industriales Motorizados (PIT) (Todos)</v>
      </c>
      <c r="C3378" s="90" t="str">
        <v/>
      </c>
      <c r="D3378" s="89" t="str">
        <v>Periódica</v>
      </c>
      <c r="E3378" s="89">
        <v>365</v>
      </c>
      <c r="F3378" s="89" t="str">
        <v/>
      </c>
      <c r="G3378" s="89" t="str">
        <f ca="1"/>
        <v/>
      </c>
    </row>
    <row r="3379" spans="1:7" x14ac:dyDescent="0.3">
      <c r="A3379" s="89" t="str">
        <v/>
      </c>
      <c r="B3379" s="89" t="str">
        <v>Camiones Industriales Motorizados (PIT) (Op. Montacargas)</v>
      </c>
      <c r="C3379" s="90" t="str">
        <v/>
      </c>
      <c r="D3379" s="89" t="str">
        <v>Periódica</v>
      </c>
      <c r="E3379" s="89">
        <v>365</v>
      </c>
      <c r="F3379" s="89" t="str">
        <v/>
      </c>
      <c r="G3379" s="89" t="str">
        <f ca="1"/>
        <v/>
      </c>
    </row>
    <row r="3380" spans="1:7" x14ac:dyDescent="0.3">
      <c r="A3380" s="89" t="str">
        <v/>
      </c>
      <c r="B3380" s="89" t="str">
        <v>Control de Energias Peligrosas (LOTO) (Todos)</v>
      </c>
      <c r="C3380" s="90" t="str">
        <v/>
      </c>
      <c r="D3380" s="89" t="str">
        <v>Evento</v>
      </c>
      <c r="E3380" s="89">
        <v>0</v>
      </c>
      <c r="F3380" s="89" t="str">
        <v/>
      </c>
      <c r="G3380" s="89" t="str">
        <f ca="1"/>
        <v/>
      </c>
    </row>
    <row r="3381" spans="1:7" x14ac:dyDescent="0.3">
      <c r="A3381" s="89" t="str">
        <v/>
      </c>
      <c r="B3381" s="89" t="str">
        <v>Control de Energias Peligrosas (LOTO) (Empleados Autorizados)</v>
      </c>
      <c r="C3381" s="90" t="str">
        <v/>
      </c>
      <c r="D3381" s="89" t="str">
        <v>Periódica</v>
      </c>
      <c r="E3381" s="89">
        <v>365</v>
      </c>
      <c r="F3381" s="89" t="str">
        <v/>
      </c>
      <c r="G3381" s="89" t="str">
        <f ca="1"/>
        <v/>
      </c>
    </row>
    <row r="3382" spans="1:7" x14ac:dyDescent="0.3">
      <c r="A3382" s="89" t="str">
        <v/>
      </c>
      <c r="B3382" s="89" t="str">
        <v>Seguridad aplicada al Pozo &amp; Yacimiento</v>
      </c>
      <c r="C3382" s="90" t="str">
        <v/>
      </c>
      <c r="D3382" s="89" t="str">
        <v>Periódica</v>
      </c>
      <c r="E3382" s="89">
        <v>365</v>
      </c>
      <c r="F3382" s="89" t="str">
        <v/>
      </c>
      <c r="G3382" s="89" t="str">
        <f ca="1"/>
        <v/>
      </c>
    </row>
    <row r="3383" spans="1:7" x14ac:dyDescent="0.3">
      <c r="A3383" s="89" t="str">
        <v/>
      </c>
      <c r="B3383" s="89" t="str">
        <v>Las Reglas que Salvan Vidas</v>
      </c>
      <c r="C3383" s="90" t="str">
        <v/>
      </c>
      <c r="D3383" s="89" t="str">
        <v>Periódica</v>
      </c>
      <c r="E3383" s="89">
        <v>365</v>
      </c>
      <c r="F3383" s="89" t="str">
        <v/>
      </c>
      <c r="G3383" s="89" t="str">
        <f ca="1"/>
        <v/>
      </c>
    </row>
    <row r="3384" spans="1:7" x14ac:dyDescent="0.3">
      <c r="A3384" s="89" t="str">
        <v/>
      </c>
      <c r="B3384" s="89" t="str">
        <v xml:space="preserve">Resguardo de Maquinas &amp; Equipos </v>
      </c>
      <c r="C3384" s="90" t="str">
        <v/>
      </c>
      <c r="D3384" s="89" t="str">
        <v>Periódica</v>
      </c>
      <c r="E3384" s="89">
        <v>365</v>
      </c>
      <c r="F3384" s="89" t="str">
        <v/>
      </c>
      <c r="G3384" s="89" t="str">
        <f ca="1"/>
        <v/>
      </c>
    </row>
    <row r="3385" spans="1:7" x14ac:dyDescent="0.3">
      <c r="A3385" s="89" t="str">
        <v/>
      </c>
      <c r="B3385" s="89" t="str">
        <v>Conduccion y Gestion de Viajes (Todos)</v>
      </c>
      <c r="C3385" s="90" t="str">
        <v/>
      </c>
      <c r="D3385" s="89" t="str">
        <v>Periódica</v>
      </c>
      <c r="E3385" s="89">
        <v>730</v>
      </c>
      <c r="F3385" s="89" t="str">
        <v/>
      </c>
      <c r="G3385" s="89" t="str">
        <f ca="1"/>
        <v/>
      </c>
    </row>
    <row r="3386" spans="1:7" x14ac:dyDescent="0.3">
      <c r="A3386" s="89" t="str">
        <v/>
      </c>
      <c r="B3386" s="89" t="str">
        <v>Conduccion y Gestion de Viajes (Conductores)</v>
      </c>
      <c r="C3386" s="90" t="str">
        <v/>
      </c>
      <c r="D3386" s="89" t="str">
        <v>Periódica</v>
      </c>
      <c r="E3386" s="89">
        <v>1095</v>
      </c>
      <c r="F3386" s="89" t="str">
        <v/>
      </c>
      <c r="G3386" s="89" t="str">
        <f ca="1"/>
        <v/>
      </c>
    </row>
    <row r="3387" spans="1:7" x14ac:dyDescent="0.3">
      <c r="A3387" s="89" t="str">
        <v/>
      </c>
      <c r="B3387" s="89" t="str">
        <v>Patogenos Transmitidos por la Sangre</v>
      </c>
      <c r="C3387" s="90" t="str">
        <v/>
      </c>
      <c r="D3387" s="89" t="str">
        <v>Periódica</v>
      </c>
      <c r="E3387" s="89">
        <v>365</v>
      </c>
      <c r="F3387" s="89" t="str">
        <v/>
      </c>
      <c r="G3387" s="89" t="str">
        <f ca="1"/>
        <v/>
      </c>
    </row>
    <row r="3388" spans="1:7" x14ac:dyDescent="0.3">
      <c r="A3388" s="89" t="str">
        <v/>
      </c>
      <c r="B3388" s="89" t="str">
        <v>Conservacion Auditiva</v>
      </c>
      <c r="C3388" s="90" t="str">
        <v/>
      </c>
      <c r="D3388" s="89" t="str">
        <v>Periódica</v>
      </c>
      <c r="E3388" s="89">
        <v>365</v>
      </c>
      <c r="F3388" s="89" t="str">
        <v/>
      </c>
      <c r="G3388" s="89" t="str">
        <f ca="1"/>
        <v/>
      </c>
    </row>
    <row r="3389" spans="1:7" x14ac:dyDescent="0.3">
      <c r="A3389" s="89" t="str">
        <v/>
      </c>
      <c r="B3389" s="89" t="str">
        <v xml:space="preserve">Ergonomia //  / Levantamiento &amp; Seguridad en la Espalda </v>
      </c>
      <c r="C3389" s="90" t="str">
        <v/>
      </c>
      <c r="D3389" s="89" t="str">
        <v>Periódica</v>
      </c>
      <c r="E3389" s="89">
        <v>365</v>
      </c>
      <c r="F3389" s="89" t="str">
        <v/>
      </c>
      <c r="G3389" s="89" t="str">
        <f ca="1"/>
        <v/>
      </c>
    </row>
    <row r="3390" spans="1:7" x14ac:dyDescent="0.3">
      <c r="A3390" s="89" t="str">
        <v/>
      </c>
      <c r="B3390" s="89" t="str">
        <v>Superficies Elevadas (Todos)</v>
      </c>
      <c r="C3390" s="90" t="str">
        <v/>
      </c>
      <c r="D3390" s="89" t="str">
        <v>Periódica</v>
      </c>
      <c r="E3390" s="89">
        <v>365</v>
      </c>
      <c r="F3390" s="89" t="str">
        <v/>
      </c>
      <c r="G3390" s="89" t="str">
        <f ca="1"/>
        <v/>
      </c>
    </row>
    <row r="3391" spans="1:7" x14ac:dyDescent="0.3">
      <c r="A3391" s="89" t="str">
        <v/>
      </c>
      <c r="B3391" s="89" t="str">
        <v>Superficies Elevadas (Personal Habilitado)</v>
      </c>
      <c r="C3391" s="90" t="str">
        <v/>
      </c>
      <c r="D3391" s="89" t="str">
        <v>Periódica</v>
      </c>
      <c r="E3391" s="89">
        <v>365</v>
      </c>
      <c r="F3391" s="89" t="str">
        <v/>
      </c>
      <c r="G3391" s="89" t="str">
        <f ca="1"/>
        <v/>
      </c>
    </row>
    <row r="3392" spans="1:7" x14ac:dyDescent="0.3">
      <c r="A3392" s="89" t="str">
        <v/>
      </c>
      <c r="B3392" s="89" t="str">
        <v>Seguridad Quimica (Todos)</v>
      </c>
      <c r="C3392" s="90" t="str">
        <v/>
      </c>
      <c r="D3392" s="89" t="str">
        <v>Periódica</v>
      </c>
      <c r="E3392" s="89">
        <v>730</v>
      </c>
      <c r="F3392" s="89" t="str">
        <v/>
      </c>
      <c r="G3392" s="89" t="str">
        <f ca="1"/>
        <v/>
      </c>
    </row>
    <row r="3393" spans="1:7" x14ac:dyDescent="0.3">
      <c r="A3393" s="89" t="str">
        <v/>
      </c>
      <c r="B3393" s="89" t="str">
        <v>Seguridad Quimica (Mantenimiento)</v>
      </c>
      <c r="C3393" s="90" t="str">
        <v/>
      </c>
      <c r="D3393" s="89" t="str">
        <v>Periódica</v>
      </c>
      <c r="E3393" s="89">
        <v>365</v>
      </c>
      <c r="F3393" s="89" t="str">
        <v/>
      </c>
      <c r="G3393" s="89" t="str">
        <f ca="1"/>
        <v/>
      </c>
    </row>
    <row r="3394" spans="1:7" x14ac:dyDescent="0.3">
      <c r="A3394" s="89" t="str">
        <v/>
      </c>
      <c r="B3394" s="89" t="str">
        <v>Seguridad Quimica (Contratistas)</v>
      </c>
      <c r="C3394" s="90" t="str">
        <v/>
      </c>
      <c r="D3394" s="89" t="str">
        <v>Periódica</v>
      </c>
      <c r="E3394" s="89">
        <v>365</v>
      </c>
      <c r="F3394" s="89" t="str">
        <v/>
      </c>
      <c r="G3394" s="89" t="str">
        <f ca="1"/>
        <v/>
      </c>
    </row>
    <row r="3395" spans="1:7" x14ac:dyDescent="0.3">
      <c r="A3395" s="89" t="str">
        <v/>
      </c>
      <c r="B3395" s="89" t="str">
        <v>Seguridad para Trabajos en Caliente</v>
      </c>
      <c r="C3395" s="90" t="str">
        <v/>
      </c>
      <c r="D3395" s="89" t="str">
        <v>Periódica</v>
      </c>
      <c r="E3395" s="89">
        <v>365</v>
      </c>
      <c r="F3395" s="89" t="str">
        <v/>
      </c>
      <c r="G3395" s="89" t="str">
        <f ca="1"/>
        <v/>
      </c>
    </row>
    <row r="3396" spans="1:7" x14ac:dyDescent="0.3">
      <c r="A3396" s="89" t="str">
        <v/>
      </c>
      <c r="B3396" s="89" t="str">
        <v>Seguridad con la Radiacion</v>
      </c>
      <c r="C3396" s="90" t="str">
        <v/>
      </c>
      <c r="D3396" s="89" t="str">
        <v>Periódica</v>
      </c>
      <c r="E3396" s="89">
        <v>365</v>
      </c>
      <c r="F3396" s="89" t="str">
        <v/>
      </c>
      <c r="G3396" s="89" t="str">
        <f ca="1"/>
        <v/>
      </c>
    </row>
    <row r="3397" spans="1:7" x14ac:dyDescent="0.3">
      <c r="A3397" s="89" t="str">
        <v/>
      </c>
      <c r="B3397" s="89" t="str">
        <v>Equipo de Proteccion Personal (PPE)</v>
      </c>
      <c r="C3397" s="90" t="str">
        <v/>
      </c>
      <c r="D3397" s="89" t="str">
        <v>Periódica</v>
      </c>
      <c r="E3397" s="89">
        <v>365</v>
      </c>
      <c r="F3397" s="89" t="str">
        <v/>
      </c>
      <c r="G3397" s="89" t="str">
        <f ca="1"/>
        <v/>
      </c>
    </row>
    <row r="3398" spans="1:7" x14ac:dyDescent="0.3">
      <c r="A3398" s="89" t="str">
        <v/>
      </c>
      <c r="B3398" s="89" t="str">
        <v>Proteccion Respiratoria</v>
      </c>
      <c r="C3398" s="90" t="str">
        <v/>
      </c>
      <c r="D3398" s="89" t="str">
        <v>Periódica</v>
      </c>
      <c r="E3398" s="89">
        <v>365</v>
      </c>
      <c r="F3398" s="89" t="str">
        <v/>
      </c>
      <c r="G3398" s="89" t="str">
        <f ca="1"/>
        <v/>
      </c>
    </row>
    <row r="3399" spans="1:7" x14ac:dyDescent="0.3">
      <c r="A3399" s="89" t="str">
        <v/>
      </c>
      <c r="B3399" s="89" t="str">
        <v xml:space="preserve">Seguridad con Escaleras </v>
      </c>
      <c r="C3399" s="90" t="str">
        <v/>
      </c>
      <c r="D3399" s="89" t="str">
        <v>Periódica</v>
      </c>
      <c r="E3399" s="89">
        <v>365</v>
      </c>
      <c r="F3399" s="89" t="str">
        <v/>
      </c>
      <c r="G3399" s="89" t="str">
        <f ca="1"/>
        <v/>
      </c>
    </row>
    <row r="3400" spans="1:7" x14ac:dyDescent="0.3">
      <c r="A3400" s="89" t="str">
        <v/>
      </c>
      <c r="B3400" s="89" t="str">
        <v>Seguridad con Escaleras // Estantes de Almacenamiento</v>
      </c>
      <c r="C3400" s="90" t="str">
        <v/>
      </c>
      <c r="D3400" s="89" t="str">
        <v>Periódica</v>
      </c>
      <c r="E3400" s="89">
        <v>365</v>
      </c>
      <c r="F3400" s="89" t="str">
        <v/>
      </c>
      <c r="G3400" s="89" t="str">
        <f ca="1"/>
        <v/>
      </c>
    </row>
    <row r="3401" spans="1:7" x14ac:dyDescent="0.3">
      <c r="A3401" s="89" t="str">
        <v/>
      </c>
      <c r="B3401" s="89" t="str">
        <v>Responsabilidades del Supervisor</v>
      </c>
      <c r="C3401" s="90" t="str">
        <v/>
      </c>
      <c r="D3401" s="89" t="str">
        <v>Periódica</v>
      </c>
      <c r="E3401" s="89">
        <v>365</v>
      </c>
      <c r="F3401" s="89" t="str">
        <v/>
      </c>
      <c r="G3401" s="89" t="str">
        <f ca="1"/>
        <v/>
      </c>
    </row>
    <row r="3402" spans="1:7" x14ac:dyDescent="0.3">
      <c r="A3402" s="89" t="str">
        <v/>
      </c>
      <c r="B3402" s="89" t="str">
        <v>Espacios Confinados (Todos)</v>
      </c>
      <c r="C3402" s="90" t="str">
        <v/>
      </c>
      <c r="D3402" s="89" t="str">
        <v>Periódica</v>
      </c>
      <c r="E3402" s="89">
        <v>365</v>
      </c>
      <c r="F3402" s="89" t="str">
        <v/>
      </c>
      <c r="G3402" s="89" t="str">
        <f ca="1"/>
        <v/>
      </c>
    </row>
    <row r="3403" spans="1:7" x14ac:dyDescent="0.3">
      <c r="A3403" s="89" t="str">
        <v/>
      </c>
      <c r="B3403" s="89" t="str">
        <v>HSMS.017 / Espacios Confinados (Entrantes)</v>
      </c>
      <c r="C3403" s="90" t="str">
        <v/>
      </c>
      <c r="D3403" s="89" t="str">
        <v>Evento</v>
      </c>
      <c r="E3403" s="89">
        <v>0</v>
      </c>
      <c r="F3403" s="89" t="str">
        <v/>
      </c>
      <c r="G3403" s="89" t="str">
        <f ca="1"/>
        <v/>
      </c>
    </row>
    <row r="3404" spans="1:7" x14ac:dyDescent="0.3">
      <c r="A3404" s="89" t="str">
        <v/>
      </c>
      <c r="B3404" s="89" t="str">
        <v>Programa de Agua (Todos)</v>
      </c>
      <c r="C3404" s="90" t="str">
        <v/>
      </c>
      <c r="D3404" s="89" t="str">
        <v>Evento</v>
      </c>
      <c r="E3404" s="89">
        <v>0</v>
      </c>
      <c r="F3404" s="89" t="str">
        <v/>
      </c>
      <c r="G3404" s="89" t="str">
        <f ca="1"/>
        <v/>
      </c>
    </row>
    <row r="3405" spans="1:7" x14ac:dyDescent="0.3">
      <c r="A3405" s="89" t="str">
        <v/>
      </c>
      <c r="B3405" s="89" t="str">
        <v>Programa de Agua (HSE)</v>
      </c>
      <c r="C3405" s="90" t="str">
        <v/>
      </c>
      <c r="D3405" s="89" t="str">
        <v>Evento</v>
      </c>
      <c r="E3405" s="89">
        <v>0</v>
      </c>
      <c r="F3405" s="89" t="str">
        <v/>
      </c>
      <c r="G3405" s="89" t="str">
        <f ca="1"/>
        <v/>
      </c>
    </row>
    <row r="3406" spans="1:7" x14ac:dyDescent="0.3">
      <c r="A3406" s="89" t="str">
        <v/>
      </c>
      <c r="B3406" s="89" t="str">
        <v>HIV/SIDA y otras enfermedades de transmisión sexual (ETS)</v>
      </c>
      <c r="C3406" s="90" t="str">
        <v/>
      </c>
      <c r="D3406" s="89" t="str">
        <v>Periódica</v>
      </c>
      <c r="E3406" s="89">
        <v>365</v>
      </c>
      <c r="F3406" s="89" t="str">
        <v/>
      </c>
      <c r="G3406" s="89" t="str">
        <f ca="1"/>
        <v/>
      </c>
    </row>
    <row r="3407" spans="1:7" x14ac:dyDescent="0.3">
      <c r="A3407" s="89" t="str">
        <v/>
      </c>
      <c r="B3407" s="89" t="str">
        <v>Drogas de abuso (concientización y prevención)</v>
      </c>
      <c r="C3407" s="90" t="str">
        <v/>
      </c>
      <c r="D3407" s="89" t="str">
        <v>Periódica</v>
      </c>
      <c r="E3407" s="89">
        <v>365</v>
      </c>
      <c r="F3407" s="89" t="str">
        <v/>
      </c>
      <c r="G3407" s="89" t="str">
        <f ca="1"/>
        <v/>
      </c>
    </row>
    <row r="3408" spans="1:7" x14ac:dyDescent="0.3">
      <c r="A3408" s="89" t="str">
        <v/>
      </c>
      <c r="B3408" s="89" t="str">
        <v>Vida saludable (hábitos, autocuidado y bienestar)</v>
      </c>
      <c r="C3408" s="90" t="str">
        <v/>
      </c>
      <c r="D3408" s="89" t="str">
        <v>Periódica</v>
      </c>
      <c r="E3408" s="89">
        <v>365</v>
      </c>
      <c r="F3408" s="89" t="str">
        <v/>
      </c>
      <c r="G3408" s="89" t="str">
        <f ca="1"/>
        <v/>
      </c>
    </row>
    <row r="3409" spans="1:7" x14ac:dyDescent="0.3">
      <c r="A3409" s="89" t="str">
        <v/>
      </c>
      <c r="B3409" s="89" t="str">
        <v>Primeros auxilios y Reanimación Cardio Pulmonar (RCP)</v>
      </c>
      <c r="C3409" s="90" t="str">
        <v/>
      </c>
      <c r="D3409" s="89" t="str">
        <v>Periódica</v>
      </c>
      <c r="E3409" s="89">
        <v>365</v>
      </c>
      <c r="F3409" s="89" t="str">
        <v/>
      </c>
      <c r="G3409" s="89" t="str">
        <f ca="1"/>
        <v/>
      </c>
    </row>
    <row r="3410" spans="1:7" x14ac:dyDescent="0.3">
      <c r="A3410" s="89" t="str">
        <v/>
      </c>
      <c r="B3410" s="89" t="str">
        <v>Prevención cardiovascular (factores de riesgo y señales de alarma)</v>
      </c>
      <c r="C3410" s="90" t="str">
        <v/>
      </c>
      <c r="D3410" s="89" t="str">
        <v>Periódica</v>
      </c>
      <c r="E3410" s="89">
        <v>365</v>
      </c>
      <c r="F3410" s="89" t="str">
        <v/>
      </c>
      <c r="G3410" s="89" t="str">
        <f ca="1"/>
        <v/>
      </c>
    </row>
    <row r="3411" spans="1:7" x14ac:dyDescent="0.3">
      <c r="A3411" s="89" t="str">
        <v/>
      </c>
      <c r="B3411" s="89" t="str">
        <v>Efectos del tabaco sobre la salud</v>
      </c>
      <c r="C3411" s="90" t="str">
        <v/>
      </c>
      <c r="D3411" s="89" t="str">
        <v>Periódica</v>
      </c>
      <c r="E3411" s="89">
        <v>365</v>
      </c>
      <c r="F3411" s="89" t="str">
        <v/>
      </c>
      <c r="G3411" s="89" t="str">
        <f ca="1"/>
        <v/>
      </c>
    </row>
    <row r="3412" spans="1:7" x14ac:dyDescent="0.3">
      <c r="A3412" s="89" t="str">
        <v/>
      </c>
      <c r="B3412" s="89" t="str">
        <v>Cargadora (Op. Montacargas)</v>
      </c>
      <c r="C3412" s="90" t="str">
        <v/>
      </c>
      <c r="D3412" s="89" t="str">
        <v>Periódica</v>
      </c>
      <c r="E3412" s="89">
        <v>365</v>
      </c>
      <c r="F3412" s="89" t="str">
        <v/>
      </c>
      <c r="G3412" s="89" t="str">
        <f ca="1"/>
        <v/>
      </c>
    </row>
    <row r="3413" spans="1:7" x14ac:dyDescent="0.3">
      <c r="A3413" s="89" t="str">
        <v/>
      </c>
      <c r="B3413" s="89">
        <v>0</v>
      </c>
      <c r="C3413" s="90" t="str">
        <v/>
      </c>
      <c r="D3413" s="89" t="str">
        <v/>
      </c>
      <c r="E3413" s="89" t="str">
        <v/>
      </c>
      <c r="F3413" s="89" t="str">
        <v/>
      </c>
      <c r="G3413" s="89" t="str">
        <f ca="1"/>
        <v/>
      </c>
    </row>
    <row r="3414" spans="1:7" x14ac:dyDescent="0.3">
      <c r="A3414" s="89" t="str">
        <v/>
      </c>
      <c r="B3414" s="89">
        <v>0</v>
      </c>
      <c r="C3414" s="90" t="str">
        <v/>
      </c>
      <c r="D3414" s="89" t="str">
        <v/>
      </c>
      <c r="E3414" s="89" t="str">
        <v/>
      </c>
      <c r="F3414" s="89" t="str">
        <v/>
      </c>
      <c r="G3414" s="89" t="str">
        <f ca="1"/>
        <v/>
      </c>
    </row>
    <row r="3415" spans="1:7" x14ac:dyDescent="0.3">
      <c r="A3415" s="89" t="str">
        <v/>
      </c>
      <c r="B3415" s="89">
        <v>0</v>
      </c>
      <c r="C3415" s="90" t="str">
        <v/>
      </c>
      <c r="D3415" s="89" t="str">
        <v/>
      </c>
      <c r="E3415" s="89" t="str">
        <v/>
      </c>
      <c r="F3415" s="89" t="str">
        <v/>
      </c>
      <c r="G3415" s="89" t="str">
        <f ca="1"/>
        <v/>
      </c>
    </row>
    <row r="3416" spans="1:7" x14ac:dyDescent="0.3">
      <c r="A3416" s="89" t="str">
        <v/>
      </c>
      <c r="B3416" s="89">
        <v>0</v>
      </c>
      <c r="C3416" s="90" t="str">
        <v/>
      </c>
      <c r="D3416" s="89" t="str">
        <v/>
      </c>
      <c r="E3416" s="89" t="str">
        <v/>
      </c>
      <c r="F3416" s="89" t="str">
        <v/>
      </c>
      <c r="G3416" s="89" t="str">
        <f ca="1"/>
        <v/>
      </c>
    </row>
    <row r="3417" spans="1:7" x14ac:dyDescent="0.3">
      <c r="A3417" s="89" t="str">
        <v/>
      </c>
      <c r="B3417" s="89">
        <v>0</v>
      </c>
      <c r="C3417" s="90" t="str">
        <v/>
      </c>
      <c r="D3417" s="89" t="str">
        <v/>
      </c>
      <c r="E3417" s="89" t="str">
        <v/>
      </c>
      <c r="F3417" s="89" t="str">
        <v/>
      </c>
      <c r="G3417" s="89" t="str">
        <f ca="1"/>
        <v/>
      </c>
    </row>
    <row r="3418" spans="1:7" x14ac:dyDescent="0.3">
      <c r="A3418" s="89" t="str">
        <v/>
      </c>
      <c r="B3418" s="89">
        <v>0</v>
      </c>
      <c r="C3418" s="90" t="str">
        <v/>
      </c>
      <c r="D3418" s="89" t="str">
        <v/>
      </c>
      <c r="E3418" s="89" t="str">
        <v/>
      </c>
      <c r="F3418" s="89" t="str">
        <v/>
      </c>
      <c r="G3418" s="89" t="str">
        <f ca="1"/>
        <v/>
      </c>
    </row>
    <row r="3419" spans="1:7" x14ac:dyDescent="0.3">
      <c r="A3419" s="89" t="str">
        <v/>
      </c>
      <c r="B3419" s="89">
        <v>0</v>
      </c>
      <c r="C3419" s="90" t="str">
        <v/>
      </c>
      <c r="D3419" s="89" t="str">
        <v/>
      </c>
      <c r="E3419" s="89" t="str">
        <v/>
      </c>
      <c r="F3419" s="89" t="str">
        <v/>
      </c>
      <c r="G3419" s="89" t="str">
        <f ca="1"/>
        <v/>
      </c>
    </row>
    <row r="3420" spans="1:7" x14ac:dyDescent="0.3">
      <c r="A3420" s="89" t="str">
        <v/>
      </c>
      <c r="B3420" s="89">
        <v>0</v>
      </c>
      <c r="C3420" s="90" t="str">
        <v/>
      </c>
      <c r="D3420" s="89" t="str">
        <v/>
      </c>
      <c r="E3420" s="89" t="str">
        <v/>
      </c>
      <c r="F3420" s="89" t="str">
        <v/>
      </c>
      <c r="G3420" s="89" t="str">
        <f ca="1"/>
        <v/>
      </c>
    </row>
    <row r="3421" spans="1:7" x14ac:dyDescent="0.3">
      <c r="A3421" s="89" t="str">
        <v/>
      </c>
      <c r="B3421" s="89">
        <v>0</v>
      </c>
      <c r="C3421" s="90" t="str">
        <v/>
      </c>
      <c r="D3421" s="89" t="str">
        <v/>
      </c>
      <c r="E3421" s="89" t="str">
        <v/>
      </c>
      <c r="F3421" s="89" t="str">
        <v/>
      </c>
      <c r="G3421" s="89" t="str">
        <f ca="1"/>
        <v/>
      </c>
    </row>
    <row r="3422" spans="1:7" x14ac:dyDescent="0.3">
      <c r="A3422" s="89" t="str">
        <v/>
      </c>
      <c r="B3422" s="89" t="str">
        <v>Programa de Aire</v>
      </c>
      <c r="C3422" s="90" t="str">
        <v/>
      </c>
      <c r="D3422" s="89" t="str">
        <v>Evento</v>
      </c>
      <c r="E3422" s="89">
        <v>0</v>
      </c>
      <c r="F3422" s="89" t="str">
        <v/>
      </c>
      <c r="G3422" s="89" t="str">
        <f ca="1"/>
        <v/>
      </c>
    </row>
    <row r="3423" spans="1:7" x14ac:dyDescent="0.3">
      <c r="A3423" s="89" t="str">
        <v/>
      </c>
      <c r="B3423" s="89" t="str">
        <v>Conciencia Ambiental</v>
      </c>
      <c r="C3423" s="90" t="str">
        <v/>
      </c>
      <c r="D3423" s="89" t="str">
        <v>Periódica</v>
      </c>
      <c r="E3423" s="89">
        <v>365</v>
      </c>
      <c r="F3423" s="89" t="str">
        <v/>
      </c>
      <c r="G3423" s="89" t="str">
        <f ca="1"/>
        <v/>
      </c>
    </row>
    <row r="3424" spans="1:7" x14ac:dyDescent="0.3">
      <c r="A3424" s="89" t="str">
        <v/>
      </c>
      <c r="B3424" s="89" t="str">
        <v xml:space="preserve">Control de Documentos e Informacion de HSE </v>
      </c>
      <c r="C3424" s="90" t="str">
        <v/>
      </c>
      <c r="D3424" s="89" t="str">
        <v>Evento</v>
      </c>
      <c r="E3424" s="89">
        <v>0</v>
      </c>
      <c r="F3424" s="89" t="str">
        <v/>
      </c>
      <c r="G3424" s="89" t="str">
        <f ca="1"/>
        <v/>
      </c>
    </row>
    <row r="3425" spans="1:7" x14ac:dyDescent="0.3">
      <c r="A3425" s="89" t="str">
        <v/>
      </c>
      <c r="B3425" s="89" t="str">
        <v xml:space="preserve"> Acciones Correctivas y Preventivas (CAPA)</v>
      </c>
      <c r="C3425" s="90" t="str">
        <v/>
      </c>
      <c r="D3425" s="89" t="str">
        <v>Evento</v>
      </c>
      <c r="E3425" s="89">
        <v>0</v>
      </c>
      <c r="F3425" s="89" t="str">
        <v/>
      </c>
      <c r="G3425" s="89" t="str">
        <f ca="1"/>
        <v/>
      </c>
    </row>
    <row r="3426" spans="1:7" x14ac:dyDescent="0.3">
      <c r="A3426" s="89" t="str">
        <v/>
      </c>
      <c r="B3426" s="89" t="str">
        <v>Seguridad Basada en el Comportamiento (Observation Program) // HSMS.043 / Autoridad de Detener el Trabajo</v>
      </c>
      <c r="C3426" s="90" t="str">
        <v/>
      </c>
      <c r="D3426" s="89" t="str">
        <v>Periódica</v>
      </c>
      <c r="E3426" s="89">
        <v>365</v>
      </c>
      <c r="F3426" s="89" t="str">
        <v/>
      </c>
      <c r="G3426" s="89" t="str">
        <f ca="1"/>
        <v/>
      </c>
    </row>
    <row r="3427" spans="1:7" x14ac:dyDescent="0.3">
      <c r="A3427" s="89" t="str">
        <v/>
      </c>
      <c r="B3427" s="89" t="str">
        <v>Identificacion de Peligros y Evaluacion de Riesgos</v>
      </c>
      <c r="C3427" s="90" t="str">
        <v/>
      </c>
      <c r="D3427" s="89" t="str">
        <v>Evento</v>
      </c>
      <c r="E3427" s="89">
        <v>0</v>
      </c>
      <c r="F3427" s="89" t="str">
        <v/>
      </c>
      <c r="G3427" s="89" t="str">
        <f ca="1"/>
        <v/>
      </c>
    </row>
    <row r="3428" spans="1:7" x14ac:dyDescent="0.3">
      <c r="A3428" s="89" t="str">
        <v/>
      </c>
      <c r="B3428" s="89" t="str">
        <v xml:space="preserve"> Plan de Respuesta ante Eemergencias / HSMS.010 /Primeros Axulios &amp; RCP/DEA / HSMSWT-002 / Patogenos Trasnmitidos por la Sangre</v>
      </c>
      <c r="C3428" s="90" t="str">
        <v/>
      </c>
      <c r="D3428" s="89" t="str">
        <v>Periódica</v>
      </c>
      <c r="E3428" s="89">
        <v>365</v>
      </c>
      <c r="F3428" s="89" t="str">
        <v/>
      </c>
      <c r="G3428" s="89" t="str">
        <f ca="1"/>
        <v/>
      </c>
    </row>
    <row r="3429" spans="1:7" x14ac:dyDescent="0.3">
      <c r="A3429" s="89" t="str">
        <v/>
      </c>
      <c r="B3429" s="89" t="str">
        <v>Reporte y Gestion de Incidentes HSE (Todos)</v>
      </c>
      <c r="C3429" s="90" t="str">
        <v/>
      </c>
      <c r="D3429" s="89" t="str">
        <v>Periódica</v>
      </c>
      <c r="E3429" s="89">
        <v>365</v>
      </c>
      <c r="F3429" s="89" t="str">
        <v/>
      </c>
      <c r="G3429" s="89" t="str">
        <f ca="1"/>
        <v/>
      </c>
    </row>
    <row r="3430" spans="1:7" x14ac:dyDescent="0.3">
      <c r="A3430" s="89" t="str">
        <v/>
      </c>
      <c r="B3430" s="89" t="str">
        <v>Reporte, Gestion e Investigacion de Incidentes HSE (supervisores / investigadores (rol))</v>
      </c>
      <c r="C3430" s="90" t="str">
        <v/>
      </c>
      <c r="D3430" s="89" t="str">
        <v>Periódica</v>
      </c>
      <c r="E3430" s="89">
        <v>1095</v>
      </c>
      <c r="F3430" s="89" t="str">
        <v/>
      </c>
      <c r="G3430" s="89" t="str">
        <f ca="1"/>
        <v/>
      </c>
    </row>
    <row r="3431" spans="1:7" x14ac:dyDescent="0.3">
      <c r="A3431" s="89" t="str">
        <v/>
      </c>
      <c r="B3431" s="89" t="str">
        <v>Gruas y Equipos de Izaje (Todos)</v>
      </c>
      <c r="C3431" s="90" t="str">
        <v/>
      </c>
      <c r="D3431" s="89" t="str">
        <v>Periódica</v>
      </c>
      <c r="E3431" s="89">
        <v>365</v>
      </c>
      <c r="F3431" s="89" t="str">
        <v/>
      </c>
      <c r="G3431" s="89" t="str">
        <f ca="1"/>
        <v/>
      </c>
    </row>
    <row r="3432" spans="1:7" x14ac:dyDescent="0.3">
      <c r="A3432" s="89" t="str">
        <v/>
      </c>
      <c r="B3432" s="89" t="str">
        <v>HSMS.007 / Gruas y Equipos de Izaje (Operadores)</v>
      </c>
      <c r="C3432" s="90" t="str">
        <v/>
      </c>
      <c r="D3432" s="89" t="str">
        <v>Periódica</v>
      </c>
      <c r="E3432" s="89">
        <v>365</v>
      </c>
      <c r="F3432" s="89" t="str">
        <v/>
      </c>
      <c r="G3432" s="89" t="str">
        <f ca="1"/>
        <v/>
      </c>
    </row>
    <row r="3433" spans="1:7" x14ac:dyDescent="0.3">
      <c r="A3433" s="89" t="str">
        <v/>
      </c>
      <c r="B3433" s="89" t="str">
        <v>Proteccion Contra Incendios (Todos)</v>
      </c>
      <c r="C3433" s="90" t="str">
        <v/>
      </c>
      <c r="D3433" s="89" t="str">
        <v>Periódica</v>
      </c>
      <c r="E3433" s="89">
        <v>365</v>
      </c>
      <c r="F3433" s="89" t="str">
        <v/>
      </c>
      <c r="G3433" s="89" t="str">
        <f ca="1"/>
        <v/>
      </c>
    </row>
    <row r="3434" spans="1:7" x14ac:dyDescent="0.3">
      <c r="A3434" s="89" t="str">
        <v/>
      </c>
      <c r="B3434" s="89" t="str">
        <v>Proteccion Contra Incendios (Brigadistas)</v>
      </c>
      <c r="C3434" s="90" t="str">
        <v/>
      </c>
      <c r="D3434" s="89" t="str">
        <v>Periódica</v>
      </c>
      <c r="E3434" s="89">
        <v>365</v>
      </c>
      <c r="F3434" s="89" t="str">
        <v/>
      </c>
      <c r="G3434" s="89" t="str">
        <f ca="1"/>
        <v/>
      </c>
    </row>
    <row r="3435" spans="1:7" x14ac:dyDescent="0.3">
      <c r="A3435" s="89" t="str">
        <v/>
      </c>
      <c r="B3435" s="89" t="str">
        <v>Primeros Auxilios (Brigadistas)</v>
      </c>
      <c r="C3435" s="90" t="str">
        <v/>
      </c>
      <c r="D3435" s="89" t="str">
        <v>Periódica</v>
      </c>
      <c r="E3435" s="89">
        <v>365</v>
      </c>
      <c r="F3435" s="89" t="str">
        <v/>
      </c>
      <c r="G3435" s="89" t="str">
        <f ca="1"/>
        <v/>
      </c>
    </row>
    <row r="3436" spans="1:7" x14ac:dyDescent="0.3">
      <c r="A3436" s="89" t="str">
        <v/>
      </c>
      <c r="B3436" s="89" t="str">
        <v>Seguridad Electrica (Todos)</v>
      </c>
      <c r="C3436" s="90" t="str">
        <v/>
      </c>
      <c r="D3436" s="89" t="str">
        <v>Periódica</v>
      </c>
      <c r="E3436" s="89">
        <v>365</v>
      </c>
      <c r="F3436" s="89" t="str">
        <v/>
      </c>
      <c r="G3436" s="89" t="str">
        <f ca="1"/>
        <v/>
      </c>
    </row>
    <row r="3437" spans="1:7" x14ac:dyDescent="0.3">
      <c r="A3437" s="89" t="str">
        <v/>
      </c>
      <c r="B3437" s="89" t="str">
        <v>Seguridad Electrica (Personal Autorizado)</v>
      </c>
      <c r="C3437" s="90" t="str">
        <v/>
      </c>
      <c r="D3437" s="89" t="str">
        <v>Periódica</v>
      </c>
      <c r="E3437" s="89">
        <v>1095</v>
      </c>
      <c r="F3437" s="89" t="str">
        <v/>
      </c>
      <c r="G3437" s="89" t="str">
        <f ca="1"/>
        <v/>
      </c>
    </row>
    <row r="3438" spans="1:7" x14ac:dyDescent="0.3">
      <c r="A3438" s="89" t="str">
        <v/>
      </c>
      <c r="B3438" s="89" t="str">
        <v>Camiones Industriales Motorizados (PIT) (Todos)</v>
      </c>
      <c r="C3438" s="90" t="str">
        <v/>
      </c>
      <c r="D3438" s="89" t="str">
        <v>Periódica</v>
      </c>
      <c r="E3438" s="89">
        <v>365</v>
      </c>
      <c r="F3438" s="89" t="str">
        <v/>
      </c>
      <c r="G3438" s="89" t="str">
        <f ca="1"/>
        <v/>
      </c>
    </row>
    <row r="3439" spans="1:7" x14ac:dyDescent="0.3">
      <c r="A3439" s="89" t="str">
        <v/>
      </c>
      <c r="B3439" s="89" t="str">
        <v>Camiones Industriales Motorizados (PIT) (Op. Montacargas)</v>
      </c>
      <c r="C3439" s="90" t="str">
        <v/>
      </c>
      <c r="D3439" s="89" t="str">
        <v>Periódica</v>
      </c>
      <c r="E3439" s="89">
        <v>365</v>
      </c>
      <c r="F3439" s="89" t="str">
        <v/>
      </c>
      <c r="G3439" s="89" t="str">
        <f ca="1"/>
        <v/>
      </c>
    </row>
    <row r="3440" spans="1:7" x14ac:dyDescent="0.3">
      <c r="A3440" s="89" t="str">
        <v/>
      </c>
      <c r="B3440" s="89" t="str">
        <v>Control de Energias Peligrosas (LOTO) (Todos)</v>
      </c>
      <c r="C3440" s="90" t="str">
        <v/>
      </c>
      <c r="D3440" s="89" t="str">
        <v>Evento</v>
      </c>
      <c r="E3440" s="89">
        <v>0</v>
      </c>
      <c r="F3440" s="89" t="str">
        <v/>
      </c>
      <c r="G3440" s="89" t="str">
        <f ca="1"/>
        <v/>
      </c>
    </row>
    <row r="3441" spans="1:7" x14ac:dyDescent="0.3">
      <c r="A3441" s="89" t="str">
        <v/>
      </c>
      <c r="B3441" s="89" t="str">
        <v>Control de Energias Peligrosas (LOTO) (Empleados Autorizados)</v>
      </c>
      <c r="C3441" s="90" t="str">
        <v/>
      </c>
      <c r="D3441" s="89" t="str">
        <v>Periódica</v>
      </c>
      <c r="E3441" s="89">
        <v>365</v>
      </c>
      <c r="F3441" s="89" t="str">
        <v/>
      </c>
      <c r="G3441" s="89" t="str">
        <f ca="1"/>
        <v/>
      </c>
    </row>
    <row r="3442" spans="1:7" x14ac:dyDescent="0.3">
      <c r="A3442" s="89" t="str">
        <v/>
      </c>
      <c r="B3442" s="89" t="str">
        <v>Seguridad aplicada al Pozo &amp; Yacimiento</v>
      </c>
      <c r="C3442" s="90" t="str">
        <v/>
      </c>
      <c r="D3442" s="89" t="str">
        <v>Periódica</v>
      </c>
      <c r="E3442" s="89">
        <v>365</v>
      </c>
      <c r="F3442" s="89" t="str">
        <v/>
      </c>
      <c r="G3442" s="89" t="str">
        <f ca="1"/>
        <v/>
      </c>
    </row>
    <row r="3443" spans="1:7" x14ac:dyDescent="0.3">
      <c r="A3443" s="89" t="str">
        <v/>
      </c>
      <c r="B3443" s="89" t="str">
        <v>Las Reglas que Salvan Vidas</v>
      </c>
      <c r="C3443" s="90" t="str">
        <v/>
      </c>
      <c r="D3443" s="89" t="str">
        <v>Periódica</v>
      </c>
      <c r="E3443" s="89">
        <v>365</v>
      </c>
      <c r="F3443" s="89" t="str">
        <v/>
      </c>
      <c r="G3443" s="89" t="str">
        <f ca="1"/>
        <v/>
      </c>
    </row>
    <row r="3444" spans="1:7" x14ac:dyDescent="0.3">
      <c r="A3444" s="89" t="str">
        <v/>
      </c>
      <c r="B3444" s="89" t="str">
        <v xml:space="preserve">Resguardo de Maquinas &amp; Equipos </v>
      </c>
      <c r="C3444" s="90" t="str">
        <v/>
      </c>
      <c r="D3444" s="89" t="str">
        <v>Periódica</v>
      </c>
      <c r="E3444" s="89">
        <v>365</v>
      </c>
      <c r="F3444" s="89" t="str">
        <v/>
      </c>
      <c r="G3444" s="89" t="str">
        <f ca="1"/>
        <v/>
      </c>
    </row>
    <row r="3445" spans="1:7" x14ac:dyDescent="0.3">
      <c r="A3445" s="89" t="str">
        <v/>
      </c>
      <c r="B3445" s="89" t="str">
        <v>Conduccion y Gestion de Viajes (Todos)</v>
      </c>
      <c r="C3445" s="90" t="str">
        <v/>
      </c>
      <c r="D3445" s="89" t="str">
        <v>Periódica</v>
      </c>
      <c r="E3445" s="89">
        <v>730</v>
      </c>
      <c r="F3445" s="89" t="str">
        <v/>
      </c>
      <c r="G3445" s="89" t="str">
        <f ca="1"/>
        <v/>
      </c>
    </row>
    <row r="3446" spans="1:7" x14ac:dyDescent="0.3">
      <c r="A3446" s="89" t="str">
        <v/>
      </c>
      <c r="B3446" s="89" t="str">
        <v>Conduccion y Gestion de Viajes (Conductores)</v>
      </c>
      <c r="C3446" s="90" t="str">
        <v/>
      </c>
      <c r="D3446" s="89" t="str">
        <v>Periódica</v>
      </c>
      <c r="E3446" s="89">
        <v>1095</v>
      </c>
      <c r="F3446" s="89" t="str">
        <v/>
      </c>
      <c r="G3446" s="89" t="str">
        <f ca="1"/>
        <v/>
      </c>
    </row>
    <row r="3447" spans="1:7" x14ac:dyDescent="0.3">
      <c r="A3447" s="89" t="str">
        <v/>
      </c>
      <c r="B3447" s="89" t="str">
        <v>Patogenos Transmitidos por la Sangre</v>
      </c>
      <c r="C3447" s="90" t="str">
        <v/>
      </c>
      <c r="D3447" s="89" t="str">
        <v>Periódica</v>
      </c>
      <c r="E3447" s="89">
        <v>365</v>
      </c>
      <c r="F3447" s="89" t="str">
        <v/>
      </c>
      <c r="G3447" s="89" t="str">
        <f ca="1"/>
        <v/>
      </c>
    </row>
    <row r="3448" spans="1:7" x14ac:dyDescent="0.3">
      <c r="A3448" s="89" t="str">
        <v/>
      </c>
      <c r="B3448" s="89" t="str">
        <v>Conservacion Auditiva</v>
      </c>
      <c r="C3448" s="90" t="str">
        <v/>
      </c>
      <c r="D3448" s="89" t="str">
        <v>Periódica</v>
      </c>
      <c r="E3448" s="89">
        <v>365</v>
      </c>
      <c r="F3448" s="89" t="str">
        <v/>
      </c>
      <c r="G3448" s="89" t="str">
        <f ca="1"/>
        <v/>
      </c>
    </row>
    <row r="3449" spans="1:7" x14ac:dyDescent="0.3">
      <c r="A3449" s="89" t="str">
        <v/>
      </c>
      <c r="B3449" s="89" t="str">
        <v xml:space="preserve">Ergonomia //  / Levantamiento &amp; Seguridad en la Espalda </v>
      </c>
      <c r="C3449" s="90" t="str">
        <v/>
      </c>
      <c r="D3449" s="89" t="str">
        <v>Periódica</v>
      </c>
      <c r="E3449" s="89">
        <v>365</v>
      </c>
      <c r="F3449" s="89" t="str">
        <v/>
      </c>
      <c r="G3449" s="89" t="str">
        <f ca="1"/>
        <v/>
      </c>
    </row>
    <row r="3450" spans="1:7" x14ac:dyDescent="0.3">
      <c r="A3450" s="89" t="str">
        <v/>
      </c>
      <c r="B3450" s="89" t="str">
        <v>Superficies Elevadas (Todos)</v>
      </c>
      <c r="C3450" s="90" t="str">
        <v/>
      </c>
      <c r="D3450" s="89" t="str">
        <v>Periódica</v>
      </c>
      <c r="E3450" s="89">
        <v>365</v>
      </c>
      <c r="F3450" s="89" t="str">
        <v/>
      </c>
      <c r="G3450" s="89" t="str">
        <f ca="1"/>
        <v/>
      </c>
    </row>
    <row r="3451" spans="1:7" x14ac:dyDescent="0.3">
      <c r="A3451" s="89" t="str">
        <v/>
      </c>
      <c r="B3451" s="89" t="str">
        <v>Superficies Elevadas (Personal Habilitado)</v>
      </c>
      <c r="C3451" s="90" t="str">
        <v/>
      </c>
      <c r="D3451" s="89" t="str">
        <v>Periódica</v>
      </c>
      <c r="E3451" s="89">
        <v>365</v>
      </c>
      <c r="F3451" s="89" t="str">
        <v/>
      </c>
      <c r="G3451" s="89" t="str">
        <f ca="1"/>
        <v/>
      </c>
    </row>
    <row r="3452" spans="1:7" x14ac:dyDescent="0.3">
      <c r="A3452" s="89" t="str">
        <v/>
      </c>
      <c r="B3452" s="89" t="str">
        <v>Seguridad Quimica (Todos)</v>
      </c>
      <c r="C3452" s="90" t="str">
        <v/>
      </c>
      <c r="D3452" s="89" t="str">
        <v>Periódica</v>
      </c>
      <c r="E3452" s="89">
        <v>730</v>
      </c>
      <c r="F3452" s="89" t="str">
        <v/>
      </c>
      <c r="G3452" s="89" t="str">
        <f ca="1"/>
        <v/>
      </c>
    </row>
    <row r="3453" spans="1:7" x14ac:dyDescent="0.3">
      <c r="A3453" s="89" t="str">
        <v/>
      </c>
      <c r="B3453" s="89" t="str">
        <v>Seguridad Quimica (Mantenimiento)</v>
      </c>
      <c r="C3453" s="90" t="str">
        <v/>
      </c>
      <c r="D3453" s="89" t="str">
        <v>Periódica</v>
      </c>
      <c r="E3453" s="89">
        <v>365</v>
      </c>
      <c r="F3453" s="89" t="str">
        <v/>
      </c>
      <c r="G3453" s="89" t="str">
        <f ca="1"/>
        <v/>
      </c>
    </row>
    <row r="3454" spans="1:7" x14ac:dyDescent="0.3">
      <c r="A3454" s="89" t="str">
        <v/>
      </c>
      <c r="B3454" s="89" t="str">
        <v>Seguridad Quimica (Contratistas)</v>
      </c>
      <c r="C3454" s="90" t="str">
        <v/>
      </c>
      <c r="D3454" s="89" t="str">
        <v>Periódica</v>
      </c>
      <c r="E3454" s="89">
        <v>365</v>
      </c>
      <c r="F3454" s="89" t="str">
        <v/>
      </c>
      <c r="G3454" s="89" t="str">
        <f ca="1"/>
        <v/>
      </c>
    </row>
    <row r="3455" spans="1:7" x14ac:dyDescent="0.3">
      <c r="A3455" s="89" t="str">
        <v/>
      </c>
      <c r="B3455" s="89" t="str">
        <v>Seguridad para Trabajos en Caliente</v>
      </c>
      <c r="C3455" s="90" t="str">
        <v/>
      </c>
      <c r="D3455" s="89" t="str">
        <v>Periódica</v>
      </c>
      <c r="E3455" s="89">
        <v>365</v>
      </c>
      <c r="F3455" s="89" t="str">
        <v/>
      </c>
      <c r="G3455" s="89" t="str">
        <f ca="1"/>
        <v/>
      </c>
    </row>
    <row r="3456" spans="1:7" x14ac:dyDescent="0.3">
      <c r="A3456" s="89" t="str">
        <v/>
      </c>
      <c r="B3456" s="89" t="str">
        <v>Seguridad con la Radiacion</v>
      </c>
      <c r="C3456" s="90" t="str">
        <v/>
      </c>
      <c r="D3456" s="89" t="str">
        <v>Periódica</v>
      </c>
      <c r="E3456" s="89">
        <v>365</v>
      </c>
      <c r="F3456" s="89" t="str">
        <v/>
      </c>
      <c r="G3456" s="89" t="str">
        <f ca="1"/>
        <v/>
      </c>
    </row>
    <row r="3457" spans="1:7" x14ac:dyDescent="0.3">
      <c r="A3457" s="89" t="str">
        <v/>
      </c>
      <c r="B3457" s="89" t="str">
        <v>Equipo de Proteccion Personal (PPE)</v>
      </c>
      <c r="C3457" s="90" t="str">
        <v/>
      </c>
      <c r="D3457" s="89" t="str">
        <v>Periódica</v>
      </c>
      <c r="E3457" s="89">
        <v>365</v>
      </c>
      <c r="F3457" s="89" t="str">
        <v/>
      </c>
      <c r="G3457" s="89" t="str">
        <f ca="1"/>
        <v/>
      </c>
    </row>
    <row r="3458" spans="1:7" x14ac:dyDescent="0.3">
      <c r="A3458" s="89" t="str">
        <v/>
      </c>
      <c r="B3458" s="89" t="str">
        <v>Proteccion Respiratoria</v>
      </c>
      <c r="C3458" s="90" t="str">
        <v/>
      </c>
      <c r="D3458" s="89" t="str">
        <v>Periódica</v>
      </c>
      <c r="E3458" s="89">
        <v>365</v>
      </c>
      <c r="F3458" s="89" t="str">
        <v/>
      </c>
      <c r="G3458" s="89" t="str">
        <f ca="1"/>
        <v/>
      </c>
    </row>
    <row r="3459" spans="1:7" x14ac:dyDescent="0.3">
      <c r="A3459" s="89" t="str">
        <v/>
      </c>
      <c r="B3459" s="89" t="str">
        <v xml:space="preserve">Seguridad con Escaleras </v>
      </c>
      <c r="C3459" s="90" t="str">
        <v/>
      </c>
      <c r="D3459" s="89" t="str">
        <v>Periódica</v>
      </c>
      <c r="E3459" s="89">
        <v>365</v>
      </c>
      <c r="F3459" s="89" t="str">
        <v/>
      </c>
      <c r="G3459" s="89" t="str">
        <f ca="1"/>
        <v/>
      </c>
    </row>
    <row r="3460" spans="1:7" x14ac:dyDescent="0.3">
      <c r="A3460" s="89" t="str">
        <v/>
      </c>
      <c r="B3460" s="89" t="str">
        <v>Seguridad con Escaleras // Estantes de Almacenamiento</v>
      </c>
      <c r="C3460" s="90" t="str">
        <v/>
      </c>
      <c r="D3460" s="89" t="str">
        <v>Periódica</v>
      </c>
      <c r="E3460" s="89">
        <v>365</v>
      </c>
      <c r="F3460" s="89" t="str">
        <v/>
      </c>
      <c r="G3460" s="89" t="str">
        <f ca="1"/>
        <v/>
      </c>
    </row>
    <row r="3461" spans="1:7" x14ac:dyDescent="0.3">
      <c r="A3461" s="89" t="str">
        <v/>
      </c>
      <c r="B3461" s="89" t="str">
        <v>Responsabilidades del Supervisor</v>
      </c>
      <c r="C3461" s="90" t="str">
        <v/>
      </c>
      <c r="D3461" s="89" t="str">
        <v>Periódica</v>
      </c>
      <c r="E3461" s="89">
        <v>365</v>
      </c>
      <c r="F3461" s="89" t="str">
        <v/>
      </c>
      <c r="G3461" s="89" t="str">
        <f ca="1"/>
        <v/>
      </c>
    </row>
    <row r="3462" spans="1:7" x14ac:dyDescent="0.3">
      <c r="A3462" s="89" t="str">
        <v/>
      </c>
      <c r="B3462" s="89" t="str">
        <v>Espacios Confinados (Todos)</v>
      </c>
      <c r="C3462" s="90" t="str">
        <v/>
      </c>
      <c r="D3462" s="89" t="str">
        <v>Periódica</v>
      </c>
      <c r="E3462" s="89">
        <v>365</v>
      </c>
      <c r="F3462" s="89" t="str">
        <v/>
      </c>
      <c r="G3462" s="89" t="str">
        <f ca="1"/>
        <v/>
      </c>
    </row>
    <row r="3463" spans="1:7" x14ac:dyDescent="0.3">
      <c r="A3463" s="89" t="str">
        <v/>
      </c>
      <c r="B3463" s="89" t="str">
        <v>HSMS.017 / Espacios Confinados (Entrantes)</v>
      </c>
      <c r="C3463" s="90" t="str">
        <v/>
      </c>
      <c r="D3463" s="89" t="str">
        <v>Evento</v>
      </c>
      <c r="E3463" s="89">
        <v>0</v>
      </c>
      <c r="F3463" s="89" t="str">
        <v/>
      </c>
      <c r="G3463" s="89" t="str">
        <f ca="1"/>
        <v/>
      </c>
    </row>
    <row r="3464" spans="1:7" x14ac:dyDescent="0.3">
      <c r="A3464" s="89" t="str">
        <v/>
      </c>
      <c r="B3464" s="89" t="str">
        <v>Programa de Agua (Todos)</v>
      </c>
      <c r="C3464" s="90" t="str">
        <v/>
      </c>
      <c r="D3464" s="89" t="str">
        <v>Evento</v>
      </c>
      <c r="E3464" s="89">
        <v>0</v>
      </c>
      <c r="F3464" s="89" t="str">
        <v/>
      </c>
      <c r="G3464" s="89" t="str">
        <f ca="1"/>
        <v/>
      </c>
    </row>
    <row r="3465" spans="1:7" x14ac:dyDescent="0.3">
      <c r="A3465" s="89" t="str">
        <v/>
      </c>
      <c r="B3465" s="89" t="str">
        <v>Programa de Agua (HSE)</v>
      </c>
      <c r="C3465" s="90" t="str">
        <v/>
      </c>
      <c r="D3465" s="89" t="str">
        <v>Evento</v>
      </c>
      <c r="E3465" s="89">
        <v>0</v>
      </c>
      <c r="F3465" s="89" t="str">
        <v/>
      </c>
      <c r="G3465" s="89" t="str">
        <f ca="1"/>
        <v/>
      </c>
    </row>
    <row r="3466" spans="1:7" x14ac:dyDescent="0.3">
      <c r="A3466" s="89" t="str">
        <v/>
      </c>
      <c r="B3466" s="89" t="str">
        <v>HIV/SIDA y otras enfermedades de transmisión sexual (ETS)</v>
      </c>
      <c r="C3466" s="90" t="str">
        <v/>
      </c>
      <c r="D3466" s="89" t="str">
        <v>Periódica</v>
      </c>
      <c r="E3466" s="89">
        <v>365</v>
      </c>
      <c r="F3466" s="89" t="str">
        <v/>
      </c>
      <c r="G3466" s="89" t="str">
        <f ca="1"/>
        <v/>
      </c>
    </row>
    <row r="3467" spans="1:7" x14ac:dyDescent="0.3">
      <c r="A3467" s="89" t="str">
        <v/>
      </c>
      <c r="B3467" s="89" t="str">
        <v>Drogas de abuso (concientización y prevención)</v>
      </c>
      <c r="C3467" s="90" t="str">
        <v/>
      </c>
      <c r="D3467" s="89" t="str">
        <v>Periódica</v>
      </c>
      <c r="E3467" s="89">
        <v>365</v>
      </c>
      <c r="F3467" s="89" t="str">
        <v/>
      </c>
      <c r="G3467" s="89" t="str">
        <f ca="1"/>
        <v/>
      </c>
    </row>
    <row r="3468" spans="1:7" x14ac:dyDescent="0.3">
      <c r="A3468" s="89" t="str">
        <v/>
      </c>
      <c r="B3468" s="89" t="str">
        <v>Vida saludable (hábitos, autocuidado y bienestar)</v>
      </c>
      <c r="C3468" s="90" t="str">
        <v/>
      </c>
      <c r="D3468" s="89" t="str">
        <v>Periódica</v>
      </c>
      <c r="E3468" s="89">
        <v>365</v>
      </c>
      <c r="F3468" s="89" t="str">
        <v/>
      </c>
      <c r="G3468" s="89" t="str">
        <f ca="1"/>
        <v/>
      </c>
    </row>
    <row r="3469" spans="1:7" x14ac:dyDescent="0.3">
      <c r="A3469" s="89" t="str">
        <v/>
      </c>
      <c r="B3469" s="89" t="str">
        <v>Primeros auxilios y Reanimación Cardio Pulmonar (RCP)</v>
      </c>
      <c r="C3469" s="90" t="str">
        <v/>
      </c>
      <c r="D3469" s="89" t="str">
        <v>Periódica</v>
      </c>
      <c r="E3469" s="89">
        <v>365</v>
      </c>
      <c r="F3469" s="89" t="str">
        <v/>
      </c>
      <c r="G3469" s="89" t="str">
        <f ca="1"/>
        <v/>
      </c>
    </row>
    <row r="3470" spans="1:7" x14ac:dyDescent="0.3">
      <c r="A3470" s="89" t="str">
        <v/>
      </c>
      <c r="B3470" s="89" t="str">
        <v>Prevención cardiovascular (factores de riesgo y señales de alarma)</v>
      </c>
      <c r="C3470" s="90" t="str">
        <v/>
      </c>
      <c r="D3470" s="89" t="str">
        <v>Periódica</v>
      </c>
      <c r="E3470" s="89">
        <v>365</v>
      </c>
      <c r="F3470" s="89" t="str">
        <v/>
      </c>
      <c r="G3470" s="89" t="str">
        <f ca="1"/>
        <v/>
      </c>
    </row>
    <row r="3471" spans="1:7" x14ac:dyDescent="0.3">
      <c r="A3471" s="89" t="str">
        <v/>
      </c>
      <c r="B3471" s="89" t="str">
        <v>Efectos del tabaco sobre la salud</v>
      </c>
      <c r="C3471" s="90" t="str">
        <v/>
      </c>
      <c r="D3471" s="89" t="str">
        <v>Periódica</v>
      </c>
      <c r="E3471" s="89">
        <v>365</v>
      </c>
      <c r="F3471" s="89" t="str">
        <v/>
      </c>
      <c r="G3471" s="89" t="str">
        <f ca="1"/>
        <v/>
      </c>
    </row>
    <row r="3472" spans="1:7" x14ac:dyDescent="0.3">
      <c r="A3472" s="89" t="str">
        <v/>
      </c>
      <c r="B3472" s="89" t="str">
        <v>Cargadora (Op. Montacargas)</v>
      </c>
      <c r="C3472" s="90" t="str">
        <v/>
      </c>
      <c r="D3472" s="89" t="str">
        <v>Periódica</v>
      </c>
      <c r="E3472" s="89">
        <v>365</v>
      </c>
      <c r="F3472" s="89" t="str">
        <v/>
      </c>
      <c r="G3472" s="89" t="str">
        <f ca="1"/>
        <v/>
      </c>
    </row>
    <row r="3473" spans="1:7" x14ac:dyDescent="0.3">
      <c r="A3473" s="89" t="str">
        <v/>
      </c>
      <c r="B3473" s="89">
        <v>0</v>
      </c>
      <c r="C3473" s="90" t="str">
        <v/>
      </c>
      <c r="D3473" s="89" t="str">
        <v/>
      </c>
      <c r="E3473" s="89" t="str">
        <v/>
      </c>
      <c r="F3473" s="89" t="str">
        <v/>
      </c>
      <c r="G3473" s="89" t="str">
        <f ca="1"/>
        <v/>
      </c>
    </row>
    <row r="3474" spans="1:7" x14ac:dyDescent="0.3">
      <c r="A3474" s="89" t="str">
        <v/>
      </c>
      <c r="B3474" s="89">
        <v>0</v>
      </c>
      <c r="C3474" s="90" t="str">
        <v/>
      </c>
      <c r="D3474" s="89" t="str">
        <v/>
      </c>
      <c r="E3474" s="89" t="str">
        <v/>
      </c>
      <c r="F3474" s="89" t="str">
        <v/>
      </c>
      <c r="G3474" s="89" t="str">
        <f ca="1"/>
        <v/>
      </c>
    </row>
    <row r="3475" spans="1:7" x14ac:dyDescent="0.3">
      <c r="A3475" s="89" t="str">
        <v/>
      </c>
      <c r="B3475" s="89">
        <v>0</v>
      </c>
      <c r="C3475" s="90" t="str">
        <v/>
      </c>
      <c r="D3475" s="89" t="str">
        <v/>
      </c>
      <c r="E3475" s="89" t="str">
        <v/>
      </c>
      <c r="F3475" s="89" t="str">
        <v/>
      </c>
      <c r="G3475" s="89" t="str">
        <f ca="1"/>
        <v/>
      </c>
    </row>
    <row r="3476" spans="1:7" x14ac:dyDescent="0.3">
      <c r="A3476" s="89" t="str">
        <v/>
      </c>
      <c r="B3476" s="89">
        <v>0</v>
      </c>
      <c r="C3476" s="90" t="str">
        <v/>
      </c>
      <c r="D3476" s="89" t="str">
        <v/>
      </c>
      <c r="E3476" s="89" t="str">
        <v/>
      </c>
      <c r="F3476" s="89" t="str">
        <v/>
      </c>
      <c r="G3476" s="89" t="str">
        <f ca="1"/>
        <v/>
      </c>
    </row>
    <row r="3477" spans="1:7" x14ac:dyDescent="0.3">
      <c r="A3477" s="89" t="str">
        <v/>
      </c>
      <c r="B3477" s="89">
        <v>0</v>
      </c>
      <c r="C3477" s="90" t="str">
        <v/>
      </c>
      <c r="D3477" s="89" t="str">
        <v/>
      </c>
      <c r="E3477" s="89" t="str">
        <v/>
      </c>
      <c r="F3477" s="89" t="str">
        <v/>
      </c>
      <c r="G3477" s="89" t="str">
        <f ca="1"/>
        <v/>
      </c>
    </row>
    <row r="3478" spans="1:7" x14ac:dyDescent="0.3">
      <c r="A3478" s="89" t="str">
        <v/>
      </c>
      <c r="B3478" s="89">
        <v>0</v>
      </c>
      <c r="C3478" s="90" t="str">
        <v/>
      </c>
      <c r="D3478" s="89" t="str">
        <v/>
      </c>
      <c r="E3478" s="89" t="str">
        <v/>
      </c>
      <c r="F3478" s="89" t="str">
        <v/>
      </c>
      <c r="G3478" s="89" t="str">
        <f ca="1"/>
        <v/>
      </c>
    </row>
    <row r="3479" spans="1:7" x14ac:dyDescent="0.3">
      <c r="A3479" s="89" t="str">
        <v/>
      </c>
      <c r="B3479" s="89">
        <v>0</v>
      </c>
      <c r="C3479" s="90" t="str">
        <v/>
      </c>
      <c r="D3479" s="89" t="str">
        <v/>
      </c>
      <c r="E3479" s="89" t="str">
        <v/>
      </c>
      <c r="F3479" s="89" t="str">
        <v/>
      </c>
      <c r="G3479" s="89" t="str">
        <f ca="1"/>
        <v/>
      </c>
    </row>
    <row r="3480" spans="1:7" x14ac:dyDescent="0.3">
      <c r="A3480" s="89" t="str">
        <v/>
      </c>
      <c r="B3480" s="89">
        <v>0</v>
      </c>
      <c r="C3480" s="90" t="str">
        <v/>
      </c>
      <c r="D3480" s="89" t="str">
        <v/>
      </c>
      <c r="E3480" s="89" t="str">
        <v/>
      </c>
      <c r="F3480" s="89" t="str">
        <v/>
      </c>
      <c r="G3480" s="89" t="str">
        <f ca="1"/>
        <v/>
      </c>
    </row>
    <row r="3481" spans="1:7" x14ac:dyDescent="0.3">
      <c r="A3481" s="89" t="str">
        <v/>
      </c>
      <c r="B3481" s="89">
        <v>0</v>
      </c>
      <c r="C3481" s="90" t="str">
        <v/>
      </c>
      <c r="D3481" s="89" t="str">
        <v/>
      </c>
      <c r="E3481" s="89" t="str">
        <v/>
      </c>
      <c r="F3481" s="89" t="str">
        <v/>
      </c>
      <c r="G3481" s="89" t="str">
        <f ca="1"/>
        <v/>
      </c>
    </row>
    <row r="3482" spans="1:7" x14ac:dyDescent="0.3">
      <c r="A3482" s="89" t="str">
        <v/>
      </c>
      <c r="B3482" s="89" t="str">
        <v>Programa de Aire</v>
      </c>
      <c r="C3482" s="90" t="str">
        <v/>
      </c>
      <c r="D3482" s="89" t="str">
        <v>Evento</v>
      </c>
      <c r="E3482" s="89">
        <v>0</v>
      </c>
      <c r="F3482" s="89" t="str">
        <v/>
      </c>
      <c r="G3482" s="89" t="str">
        <f ca="1"/>
        <v/>
      </c>
    </row>
    <row r="3483" spans="1:7" x14ac:dyDescent="0.3">
      <c r="A3483" s="89" t="str">
        <v/>
      </c>
      <c r="B3483" s="89" t="str">
        <v>Conciencia Ambiental</v>
      </c>
      <c r="C3483" s="90" t="str">
        <v/>
      </c>
      <c r="D3483" s="89" t="str">
        <v>Periódica</v>
      </c>
      <c r="E3483" s="89">
        <v>365</v>
      </c>
      <c r="F3483" s="89" t="str">
        <v/>
      </c>
      <c r="G3483" s="89" t="str">
        <f ca="1"/>
        <v/>
      </c>
    </row>
    <row r="3484" spans="1:7" x14ac:dyDescent="0.3">
      <c r="A3484" s="89" t="str">
        <v/>
      </c>
      <c r="B3484" s="89" t="str">
        <v xml:space="preserve">Control de Documentos e Informacion de HSE </v>
      </c>
      <c r="C3484" s="90" t="str">
        <v/>
      </c>
      <c r="D3484" s="89" t="str">
        <v>Evento</v>
      </c>
      <c r="E3484" s="89">
        <v>0</v>
      </c>
      <c r="F3484" s="89" t="str">
        <v/>
      </c>
      <c r="G3484" s="89" t="str">
        <f ca="1"/>
        <v/>
      </c>
    </row>
    <row r="3485" spans="1:7" x14ac:dyDescent="0.3">
      <c r="A3485" s="89" t="str">
        <v/>
      </c>
      <c r="B3485" s="89" t="str">
        <v xml:space="preserve"> Acciones Correctivas y Preventivas (CAPA)</v>
      </c>
      <c r="C3485" s="90" t="str">
        <v/>
      </c>
      <c r="D3485" s="89" t="str">
        <v>Evento</v>
      </c>
      <c r="E3485" s="89">
        <v>0</v>
      </c>
      <c r="F3485" s="89" t="str">
        <v/>
      </c>
      <c r="G3485" s="89" t="str">
        <f ca="1"/>
        <v/>
      </c>
    </row>
    <row r="3486" spans="1:7" x14ac:dyDescent="0.3">
      <c r="A3486" s="89" t="str">
        <v/>
      </c>
      <c r="B3486" s="89" t="str">
        <v>Seguridad Basada en el Comportamiento (Observation Program) // HSMS.043 / Autoridad de Detener el Trabajo</v>
      </c>
      <c r="C3486" s="90" t="str">
        <v/>
      </c>
      <c r="D3486" s="89" t="str">
        <v>Periódica</v>
      </c>
      <c r="E3486" s="89">
        <v>365</v>
      </c>
      <c r="F3486" s="89" t="str">
        <v/>
      </c>
      <c r="G3486" s="89" t="str">
        <f ca="1"/>
        <v/>
      </c>
    </row>
    <row r="3487" spans="1:7" x14ac:dyDescent="0.3">
      <c r="A3487" s="89" t="str">
        <v/>
      </c>
      <c r="B3487" s="89" t="str">
        <v>Identificacion de Peligros y Evaluacion de Riesgos</v>
      </c>
      <c r="C3487" s="90" t="str">
        <v/>
      </c>
      <c r="D3487" s="89" t="str">
        <v>Evento</v>
      </c>
      <c r="E3487" s="89">
        <v>0</v>
      </c>
      <c r="F3487" s="89" t="str">
        <v/>
      </c>
      <c r="G3487" s="89" t="str">
        <f ca="1"/>
        <v/>
      </c>
    </row>
    <row r="3488" spans="1:7" x14ac:dyDescent="0.3">
      <c r="A3488" s="89" t="str">
        <v/>
      </c>
      <c r="B3488" s="89" t="str">
        <v xml:space="preserve"> Plan de Respuesta ante Eemergencias / HSMS.010 /Primeros Axulios &amp; RCP/DEA / HSMSWT-002 / Patogenos Trasnmitidos por la Sangre</v>
      </c>
      <c r="C3488" s="90" t="str">
        <v/>
      </c>
      <c r="D3488" s="89" t="str">
        <v>Periódica</v>
      </c>
      <c r="E3488" s="89">
        <v>365</v>
      </c>
      <c r="F3488" s="89" t="str">
        <v/>
      </c>
      <c r="G3488" s="89" t="str">
        <f ca="1"/>
        <v/>
      </c>
    </row>
    <row r="3489" spans="1:7" x14ac:dyDescent="0.3">
      <c r="A3489" s="89" t="str">
        <v/>
      </c>
      <c r="B3489" s="89" t="str">
        <v>Reporte y Gestion de Incidentes HSE (Todos)</v>
      </c>
      <c r="C3489" s="90" t="str">
        <v/>
      </c>
      <c r="D3489" s="89" t="str">
        <v>Periódica</v>
      </c>
      <c r="E3489" s="89">
        <v>365</v>
      </c>
      <c r="F3489" s="89" t="str">
        <v/>
      </c>
      <c r="G3489" s="89" t="str">
        <f ca="1"/>
        <v/>
      </c>
    </row>
    <row r="3490" spans="1:7" x14ac:dyDescent="0.3">
      <c r="A3490" s="89" t="str">
        <v/>
      </c>
      <c r="B3490" s="89" t="str">
        <v>Reporte, Gestion e Investigacion de Incidentes HSE (supervisores / investigadores (rol))</v>
      </c>
      <c r="C3490" s="90" t="str">
        <v/>
      </c>
      <c r="D3490" s="89" t="str">
        <v>Periódica</v>
      </c>
      <c r="E3490" s="89">
        <v>1095</v>
      </c>
      <c r="F3490" s="89" t="str">
        <v/>
      </c>
      <c r="G3490" s="89" t="str">
        <f ca="1"/>
        <v/>
      </c>
    </row>
    <row r="3491" spans="1:7" x14ac:dyDescent="0.3">
      <c r="A3491" s="89" t="str">
        <v/>
      </c>
      <c r="B3491" s="89" t="str">
        <v>Gruas y Equipos de Izaje (Todos)</v>
      </c>
      <c r="C3491" s="90" t="str">
        <v/>
      </c>
      <c r="D3491" s="89" t="str">
        <v>Periódica</v>
      </c>
      <c r="E3491" s="89">
        <v>365</v>
      </c>
      <c r="F3491" s="89" t="str">
        <v/>
      </c>
      <c r="G3491" s="89" t="str">
        <f ca="1"/>
        <v/>
      </c>
    </row>
    <row r="3492" spans="1:7" x14ac:dyDescent="0.3">
      <c r="A3492" s="89" t="str">
        <v/>
      </c>
      <c r="B3492" s="89" t="str">
        <v>HSMS.007 / Gruas y Equipos de Izaje (Operadores)</v>
      </c>
      <c r="C3492" s="90" t="str">
        <v/>
      </c>
      <c r="D3492" s="89" t="str">
        <v>Periódica</v>
      </c>
      <c r="E3492" s="89">
        <v>365</v>
      </c>
      <c r="F3492" s="89" t="str">
        <v/>
      </c>
      <c r="G3492" s="89" t="str">
        <f ca="1"/>
        <v/>
      </c>
    </row>
    <row r="3493" spans="1:7" x14ac:dyDescent="0.3">
      <c r="A3493" s="89" t="str">
        <v/>
      </c>
      <c r="B3493" s="89" t="str">
        <v>Proteccion Contra Incendios (Todos)</v>
      </c>
      <c r="C3493" s="90" t="str">
        <v/>
      </c>
      <c r="D3493" s="89" t="str">
        <v>Periódica</v>
      </c>
      <c r="E3493" s="89">
        <v>365</v>
      </c>
      <c r="F3493" s="89" t="str">
        <v/>
      </c>
      <c r="G3493" s="89" t="str">
        <f ca="1"/>
        <v/>
      </c>
    </row>
    <row r="3494" spans="1:7" x14ac:dyDescent="0.3">
      <c r="A3494" s="89" t="str">
        <v/>
      </c>
      <c r="B3494" s="89" t="str">
        <v>Proteccion Contra Incendios (Brigadistas)</v>
      </c>
      <c r="C3494" s="90" t="str">
        <v/>
      </c>
      <c r="D3494" s="89" t="str">
        <v>Periódica</v>
      </c>
      <c r="E3494" s="89">
        <v>365</v>
      </c>
      <c r="F3494" s="89" t="str">
        <v/>
      </c>
      <c r="G3494" s="89" t="str">
        <f ca="1"/>
        <v/>
      </c>
    </row>
    <row r="3495" spans="1:7" x14ac:dyDescent="0.3">
      <c r="A3495" s="89" t="str">
        <v/>
      </c>
      <c r="B3495" s="89" t="str">
        <v>Primeros Auxilios (Brigadistas)</v>
      </c>
      <c r="C3495" s="90" t="str">
        <v/>
      </c>
      <c r="D3495" s="89" t="str">
        <v>Periódica</v>
      </c>
      <c r="E3495" s="89">
        <v>365</v>
      </c>
      <c r="F3495" s="89" t="str">
        <v/>
      </c>
      <c r="G3495" s="89" t="str">
        <f ca="1"/>
        <v/>
      </c>
    </row>
    <row r="3496" spans="1:7" x14ac:dyDescent="0.3">
      <c r="A3496" s="89" t="str">
        <v/>
      </c>
      <c r="B3496" s="89" t="str">
        <v>Seguridad Electrica (Todos)</v>
      </c>
      <c r="C3496" s="90" t="str">
        <v/>
      </c>
      <c r="D3496" s="89" t="str">
        <v>Periódica</v>
      </c>
      <c r="E3496" s="89">
        <v>365</v>
      </c>
      <c r="F3496" s="89" t="str">
        <v/>
      </c>
      <c r="G3496" s="89" t="str">
        <f ca="1"/>
        <v/>
      </c>
    </row>
    <row r="3497" spans="1:7" x14ac:dyDescent="0.3">
      <c r="A3497" s="89" t="str">
        <v/>
      </c>
      <c r="B3497" s="89" t="str">
        <v>Seguridad Electrica (Personal Autorizado)</v>
      </c>
      <c r="C3497" s="90" t="str">
        <v/>
      </c>
      <c r="D3497" s="89" t="str">
        <v>Periódica</v>
      </c>
      <c r="E3497" s="89">
        <v>1095</v>
      </c>
      <c r="F3497" s="89" t="str">
        <v/>
      </c>
      <c r="G3497" s="89" t="str">
        <f ca="1"/>
        <v/>
      </c>
    </row>
    <row r="3498" spans="1:7" x14ac:dyDescent="0.3">
      <c r="A3498" s="89" t="str">
        <v/>
      </c>
      <c r="B3498" s="89" t="str">
        <v>Camiones Industriales Motorizados (PIT) (Todos)</v>
      </c>
      <c r="C3498" s="90" t="str">
        <v/>
      </c>
      <c r="D3498" s="89" t="str">
        <v>Periódica</v>
      </c>
      <c r="E3498" s="89">
        <v>365</v>
      </c>
      <c r="F3498" s="89" t="str">
        <v/>
      </c>
      <c r="G3498" s="89" t="str">
        <f ca="1"/>
        <v/>
      </c>
    </row>
    <row r="3499" spans="1:7" x14ac:dyDescent="0.3">
      <c r="A3499" s="89" t="str">
        <v/>
      </c>
      <c r="B3499" s="89" t="str">
        <v>Camiones Industriales Motorizados (PIT) (Op. Montacargas)</v>
      </c>
      <c r="C3499" s="90" t="str">
        <v/>
      </c>
      <c r="D3499" s="89" t="str">
        <v>Periódica</v>
      </c>
      <c r="E3499" s="89">
        <v>365</v>
      </c>
      <c r="F3499" s="89" t="str">
        <v/>
      </c>
      <c r="G3499" s="89" t="str">
        <f ca="1"/>
        <v/>
      </c>
    </row>
    <row r="3500" spans="1:7" x14ac:dyDescent="0.3">
      <c r="A3500" s="89" t="str">
        <v/>
      </c>
      <c r="B3500" s="89" t="str">
        <v>Control de Energias Peligrosas (LOTO) (Todos)</v>
      </c>
      <c r="C3500" s="90" t="str">
        <v/>
      </c>
      <c r="D3500" s="89" t="str">
        <v>Evento</v>
      </c>
      <c r="E3500" s="89">
        <v>0</v>
      </c>
      <c r="F3500" s="89" t="str">
        <v/>
      </c>
      <c r="G3500" s="89" t="str">
        <f ca="1"/>
        <v/>
      </c>
    </row>
    <row r="3501" spans="1:7" x14ac:dyDescent="0.3">
      <c r="A3501" s="89" t="str">
        <v/>
      </c>
      <c r="B3501" s="89" t="str">
        <v>Control de Energias Peligrosas (LOTO) (Empleados Autorizados)</v>
      </c>
      <c r="C3501" s="90" t="str">
        <v/>
      </c>
      <c r="D3501" s="89" t="str">
        <v>Periódica</v>
      </c>
      <c r="E3501" s="89">
        <v>365</v>
      </c>
      <c r="F3501" s="89" t="str">
        <v/>
      </c>
      <c r="G3501" s="89" t="str">
        <f ca="1"/>
        <v/>
      </c>
    </row>
    <row r="3502" spans="1:7" x14ac:dyDescent="0.3">
      <c r="A3502" s="89" t="str">
        <v/>
      </c>
      <c r="B3502" s="89" t="str">
        <v>Seguridad aplicada al Pozo &amp; Yacimiento</v>
      </c>
      <c r="C3502" s="90" t="str">
        <v/>
      </c>
      <c r="D3502" s="89" t="str">
        <v>Periódica</v>
      </c>
      <c r="E3502" s="89">
        <v>365</v>
      </c>
      <c r="F3502" s="89" t="str">
        <v/>
      </c>
      <c r="G3502" s="89" t="str">
        <f ca="1"/>
        <v/>
      </c>
    </row>
    <row r="3503" spans="1:7" x14ac:dyDescent="0.3">
      <c r="A3503" s="89" t="str">
        <v/>
      </c>
      <c r="B3503" s="89" t="str">
        <v>Las Reglas que Salvan Vidas</v>
      </c>
      <c r="C3503" s="90" t="str">
        <v/>
      </c>
      <c r="D3503" s="89" t="str">
        <v>Periódica</v>
      </c>
      <c r="E3503" s="89">
        <v>365</v>
      </c>
      <c r="F3503" s="89" t="str">
        <v/>
      </c>
      <c r="G3503" s="89" t="str">
        <f ca="1"/>
        <v/>
      </c>
    </row>
    <row r="3504" spans="1:7" x14ac:dyDescent="0.3">
      <c r="A3504" s="89" t="str">
        <v/>
      </c>
      <c r="B3504" s="89" t="str">
        <v xml:space="preserve">Resguardo de Maquinas &amp; Equipos </v>
      </c>
      <c r="C3504" s="90" t="str">
        <v/>
      </c>
      <c r="D3504" s="89" t="str">
        <v>Periódica</v>
      </c>
      <c r="E3504" s="89">
        <v>365</v>
      </c>
      <c r="F3504" s="89" t="str">
        <v/>
      </c>
      <c r="G3504" s="89" t="str">
        <f ca="1"/>
        <v/>
      </c>
    </row>
    <row r="3505" spans="1:7" x14ac:dyDescent="0.3">
      <c r="A3505" s="89" t="str">
        <v/>
      </c>
      <c r="B3505" s="89" t="str">
        <v>Conduccion y Gestion de Viajes (Todos)</v>
      </c>
      <c r="C3505" s="90" t="str">
        <v/>
      </c>
      <c r="D3505" s="89" t="str">
        <v>Periódica</v>
      </c>
      <c r="E3505" s="89">
        <v>730</v>
      </c>
      <c r="F3505" s="89" t="str">
        <v/>
      </c>
      <c r="G3505" s="89" t="str">
        <f ca="1"/>
        <v/>
      </c>
    </row>
    <row r="3506" spans="1:7" x14ac:dyDescent="0.3">
      <c r="A3506" s="89" t="str">
        <v/>
      </c>
      <c r="B3506" s="89" t="str">
        <v>Conduccion y Gestion de Viajes (Conductores)</v>
      </c>
      <c r="C3506" s="90" t="str">
        <v/>
      </c>
      <c r="D3506" s="89" t="str">
        <v>Periódica</v>
      </c>
      <c r="E3506" s="89">
        <v>1095</v>
      </c>
      <c r="F3506" s="89" t="str">
        <v/>
      </c>
      <c r="G3506" s="89" t="str">
        <f ca="1"/>
        <v/>
      </c>
    </row>
    <row r="3507" spans="1:7" x14ac:dyDescent="0.3">
      <c r="A3507" s="89" t="str">
        <v/>
      </c>
      <c r="B3507" s="89" t="str">
        <v>Patogenos Transmitidos por la Sangre</v>
      </c>
      <c r="C3507" s="90" t="str">
        <v/>
      </c>
      <c r="D3507" s="89" t="str">
        <v>Periódica</v>
      </c>
      <c r="E3507" s="89">
        <v>365</v>
      </c>
      <c r="F3507" s="89" t="str">
        <v/>
      </c>
      <c r="G3507" s="89" t="str">
        <f ca="1"/>
        <v/>
      </c>
    </row>
    <row r="3508" spans="1:7" x14ac:dyDescent="0.3">
      <c r="A3508" s="89" t="str">
        <v/>
      </c>
      <c r="B3508" s="89" t="str">
        <v>Conservacion Auditiva</v>
      </c>
      <c r="C3508" s="90" t="str">
        <v/>
      </c>
      <c r="D3508" s="89" t="str">
        <v>Periódica</v>
      </c>
      <c r="E3508" s="89">
        <v>365</v>
      </c>
      <c r="F3508" s="89" t="str">
        <v/>
      </c>
      <c r="G3508" s="89" t="str">
        <f ca="1"/>
        <v/>
      </c>
    </row>
    <row r="3509" spans="1:7" x14ac:dyDescent="0.3">
      <c r="A3509" s="89" t="str">
        <v/>
      </c>
      <c r="B3509" s="89" t="str">
        <v xml:space="preserve">Ergonomia //  / Levantamiento &amp; Seguridad en la Espalda </v>
      </c>
      <c r="C3509" s="90" t="str">
        <v/>
      </c>
      <c r="D3509" s="89" t="str">
        <v>Periódica</v>
      </c>
      <c r="E3509" s="89">
        <v>365</v>
      </c>
      <c r="F3509" s="89" t="str">
        <v/>
      </c>
      <c r="G3509" s="89" t="str">
        <f ca="1"/>
        <v/>
      </c>
    </row>
    <row r="3510" spans="1:7" x14ac:dyDescent="0.3">
      <c r="A3510" s="89" t="str">
        <v/>
      </c>
      <c r="B3510" s="89" t="str">
        <v>Superficies Elevadas (Todos)</v>
      </c>
      <c r="C3510" s="90" t="str">
        <v/>
      </c>
      <c r="D3510" s="89" t="str">
        <v>Periódica</v>
      </c>
      <c r="E3510" s="89">
        <v>365</v>
      </c>
      <c r="F3510" s="89" t="str">
        <v/>
      </c>
      <c r="G3510" s="89" t="str">
        <f ca="1"/>
        <v/>
      </c>
    </row>
    <row r="3511" spans="1:7" x14ac:dyDescent="0.3">
      <c r="A3511" s="89" t="str">
        <v/>
      </c>
      <c r="B3511" s="89" t="str">
        <v>Superficies Elevadas (Personal Habilitado)</v>
      </c>
      <c r="C3511" s="90" t="str">
        <v/>
      </c>
      <c r="D3511" s="89" t="str">
        <v>Periódica</v>
      </c>
      <c r="E3511" s="89">
        <v>365</v>
      </c>
      <c r="F3511" s="89" t="str">
        <v/>
      </c>
      <c r="G3511" s="89" t="str">
        <f ca="1"/>
        <v/>
      </c>
    </row>
    <row r="3512" spans="1:7" x14ac:dyDescent="0.3">
      <c r="A3512" s="89" t="str">
        <v/>
      </c>
      <c r="B3512" s="89" t="str">
        <v>Seguridad Quimica (Todos)</v>
      </c>
      <c r="C3512" s="90" t="str">
        <v/>
      </c>
      <c r="D3512" s="89" t="str">
        <v>Periódica</v>
      </c>
      <c r="E3512" s="89">
        <v>730</v>
      </c>
      <c r="F3512" s="89" t="str">
        <v/>
      </c>
      <c r="G3512" s="89" t="str">
        <f ca="1"/>
        <v/>
      </c>
    </row>
    <row r="3513" spans="1:7" x14ac:dyDescent="0.3">
      <c r="A3513" s="89" t="str">
        <v/>
      </c>
      <c r="B3513" s="89" t="str">
        <v>Seguridad Quimica (Mantenimiento)</v>
      </c>
      <c r="C3513" s="90" t="str">
        <v/>
      </c>
      <c r="D3513" s="89" t="str">
        <v>Periódica</v>
      </c>
      <c r="E3513" s="89">
        <v>365</v>
      </c>
      <c r="F3513" s="89" t="str">
        <v/>
      </c>
      <c r="G3513" s="89" t="str">
        <f ca="1"/>
        <v/>
      </c>
    </row>
    <row r="3514" spans="1:7" x14ac:dyDescent="0.3">
      <c r="A3514" s="89" t="str">
        <v/>
      </c>
      <c r="B3514" s="89" t="str">
        <v>Seguridad Quimica (Contratistas)</v>
      </c>
      <c r="C3514" s="90" t="str">
        <v/>
      </c>
      <c r="D3514" s="89" t="str">
        <v>Periódica</v>
      </c>
      <c r="E3514" s="89">
        <v>365</v>
      </c>
      <c r="F3514" s="89" t="str">
        <v/>
      </c>
      <c r="G3514" s="89" t="str">
        <f ca="1"/>
        <v/>
      </c>
    </row>
    <row r="3515" spans="1:7" x14ac:dyDescent="0.3">
      <c r="A3515" s="89" t="str">
        <v/>
      </c>
      <c r="B3515" s="89" t="str">
        <v>Seguridad para Trabajos en Caliente</v>
      </c>
      <c r="C3515" s="90" t="str">
        <v/>
      </c>
      <c r="D3515" s="89" t="str">
        <v>Periódica</v>
      </c>
      <c r="E3515" s="89">
        <v>365</v>
      </c>
      <c r="F3515" s="89" t="str">
        <v/>
      </c>
      <c r="G3515" s="89" t="str">
        <f ca="1"/>
        <v/>
      </c>
    </row>
    <row r="3516" spans="1:7" x14ac:dyDescent="0.3">
      <c r="A3516" s="89" t="str">
        <v/>
      </c>
      <c r="B3516" s="89" t="str">
        <v>Seguridad con la Radiacion</v>
      </c>
      <c r="C3516" s="90" t="str">
        <v/>
      </c>
      <c r="D3516" s="89" t="str">
        <v>Periódica</v>
      </c>
      <c r="E3516" s="89">
        <v>365</v>
      </c>
      <c r="F3516" s="89" t="str">
        <v/>
      </c>
      <c r="G3516" s="89" t="str">
        <f ca="1"/>
        <v/>
      </c>
    </row>
    <row r="3517" spans="1:7" x14ac:dyDescent="0.3">
      <c r="A3517" s="89" t="str">
        <v/>
      </c>
      <c r="B3517" s="89" t="str">
        <v>Equipo de Proteccion Personal (PPE)</v>
      </c>
      <c r="C3517" s="90" t="str">
        <v/>
      </c>
      <c r="D3517" s="89" t="str">
        <v>Periódica</v>
      </c>
      <c r="E3517" s="89">
        <v>365</v>
      </c>
      <c r="F3517" s="89" t="str">
        <v/>
      </c>
      <c r="G3517" s="89" t="str">
        <f ca="1"/>
        <v/>
      </c>
    </row>
    <row r="3518" spans="1:7" x14ac:dyDescent="0.3">
      <c r="A3518" s="89" t="str">
        <v/>
      </c>
      <c r="B3518" s="89" t="str">
        <v>Proteccion Respiratoria</v>
      </c>
      <c r="C3518" s="90" t="str">
        <v/>
      </c>
      <c r="D3518" s="89" t="str">
        <v>Periódica</v>
      </c>
      <c r="E3518" s="89">
        <v>365</v>
      </c>
      <c r="F3518" s="89" t="str">
        <v/>
      </c>
      <c r="G3518" s="89" t="str">
        <f ca="1"/>
        <v/>
      </c>
    </row>
    <row r="3519" spans="1:7" x14ac:dyDescent="0.3">
      <c r="A3519" s="89" t="str">
        <v/>
      </c>
      <c r="B3519" s="89" t="str">
        <v xml:space="preserve">Seguridad con Escaleras </v>
      </c>
      <c r="C3519" s="90" t="str">
        <v/>
      </c>
      <c r="D3519" s="89" t="str">
        <v>Periódica</v>
      </c>
      <c r="E3519" s="89">
        <v>365</v>
      </c>
      <c r="F3519" s="89" t="str">
        <v/>
      </c>
      <c r="G3519" s="89" t="str">
        <f ca="1"/>
        <v/>
      </c>
    </row>
    <row r="3520" spans="1:7" x14ac:dyDescent="0.3">
      <c r="A3520" s="89" t="str">
        <v/>
      </c>
      <c r="B3520" s="89" t="str">
        <v>Seguridad con Escaleras // Estantes de Almacenamiento</v>
      </c>
      <c r="C3520" s="90" t="str">
        <v/>
      </c>
      <c r="D3520" s="89" t="str">
        <v>Periódica</v>
      </c>
      <c r="E3520" s="89">
        <v>365</v>
      </c>
      <c r="F3520" s="89" t="str">
        <v/>
      </c>
      <c r="G3520" s="89" t="str">
        <f ca="1"/>
        <v/>
      </c>
    </row>
    <row r="3521" spans="1:7" x14ac:dyDescent="0.3">
      <c r="A3521" s="89" t="str">
        <v/>
      </c>
      <c r="B3521" s="89" t="str">
        <v>Responsabilidades del Supervisor</v>
      </c>
      <c r="C3521" s="90" t="str">
        <v/>
      </c>
      <c r="D3521" s="89" t="str">
        <v>Periódica</v>
      </c>
      <c r="E3521" s="89">
        <v>365</v>
      </c>
      <c r="F3521" s="89" t="str">
        <v/>
      </c>
      <c r="G3521" s="89" t="str">
        <f ca="1"/>
        <v/>
      </c>
    </row>
    <row r="3522" spans="1:7" x14ac:dyDescent="0.3">
      <c r="A3522" s="89" t="str">
        <v/>
      </c>
      <c r="B3522" s="89" t="str">
        <v>Espacios Confinados (Todos)</v>
      </c>
      <c r="C3522" s="90" t="str">
        <v/>
      </c>
      <c r="D3522" s="89" t="str">
        <v>Periódica</v>
      </c>
      <c r="E3522" s="89">
        <v>365</v>
      </c>
      <c r="F3522" s="89" t="str">
        <v/>
      </c>
      <c r="G3522" s="89" t="str">
        <f ca="1"/>
        <v/>
      </c>
    </row>
    <row r="3523" spans="1:7" x14ac:dyDescent="0.3">
      <c r="A3523" s="89" t="str">
        <v/>
      </c>
      <c r="B3523" s="89" t="str">
        <v>HSMS.017 / Espacios Confinados (Entrantes)</v>
      </c>
      <c r="C3523" s="90" t="str">
        <v/>
      </c>
      <c r="D3523" s="89" t="str">
        <v>Evento</v>
      </c>
      <c r="E3523" s="89">
        <v>0</v>
      </c>
      <c r="F3523" s="89" t="str">
        <v/>
      </c>
      <c r="G3523" s="89" t="str">
        <f ca="1"/>
        <v/>
      </c>
    </row>
    <row r="3524" spans="1:7" x14ac:dyDescent="0.3">
      <c r="A3524" s="89" t="str">
        <v/>
      </c>
      <c r="B3524" s="89" t="str">
        <v>Programa de Agua (Todos)</v>
      </c>
      <c r="C3524" s="90" t="str">
        <v/>
      </c>
      <c r="D3524" s="89" t="str">
        <v>Evento</v>
      </c>
      <c r="E3524" s="89">
        <v>0</v>
      </c>
      <c r="F3524" s="89" t="str">
        <v/>
      </c>
      <c r="G3524" s="89" t="str">
        <f ca="1"/>
        <v/>
      </c>
    </row>
    <row r="3525" spans="1:7" x14ac:dyDescent="0.3">
      <c r="A3525" s="89" t="str">
        <v/>
      </c>
      <c r="B3525" s="89" t="str">
        <v>Programa de Agua (HSE)</v>
      </c>
      <c r="C3525" s="90" t="str">
        <v/>
      </c>
      <c r="D3525" s="89" t="str">
        <v>Evento</v>
      </c>
      <c r="E3525" s="89">
        <v>0</v>
      </c>
      <c r="F3525" s="89" t="str">
        <v/>
      </c>
      <c r="G3525" s="89" t="str">
        <f ca="1"/>
        <v/>
      </c>
    </row>
    <row r="3526" spans="1:7" x14ac:dyDescent="0.3">
      <c r="A3526" s="89" t="str">
        <v/>
      </c>
      <c r="B3526" s="89" t="str">
        <v>HIV/SIDA y otras enfermedades de transmisión sexual (ETS)</v>
      </c>
      <c r="C3526" s="90" t="str">
        <v/>
      </c>
      <c r="D3526" s="89" t="str">
        <v>Periódica</v>
      </c>
      <c r="E3526" s="89">
        <v>365</v>
      </c>
      <c r="F3526" s="89" t="str">
        <v/>
      </c>
      <c r="G3526" s="89" t="str">
        <f ca="1"/>
        <v/>
      </c>
    </row>
    <row r="3527" spans="1:7" x14ac:dyDescent="0.3">
      <c r="A3527" s="89" t="str">
        <v/>
      </c>
      <c r="B3527" s="89" t="str">
        <v>Drogas de abuso (concientización y prevención)</v>
      </c>
      <c r="C3527" s="90" t="str">
        <v/>
      </c>
      <c r="D3527" s="89" t="str">
        <v>Periódica</v>
      </c>
      <c r="E3527" s="89">
        <v>365</v>
      </c>
      <c r="F3527" s="89" t="str">
        <v/>
      </c>
      <c r="G3527" s="89" t="str">
        <f ca="1"/>
        <v/>
      </c>
    </row>
    <row r="3528" spans="1:7" x14ac:dyDescent="0.3">
      <c r="A3528" s="89" t="str">
        <v/>
      </c>
      <c r="B3528" s="89" t="str">
        <v>Vida saludable (hábitos, autocuidado y bienestar)</v>
      </c>
      <c r="C3528" s="90" t="str">
        <v/>
      </c>
      <c r="D3528" s="89" t="str">
        <v>Periódica</v>
      </c>
      <c r="E3528" s="89">
        <v>365</v>
      </c>
      <c r="F3528" s="89" t="str">
        <v/>
      </c>
      <c r="G3528" s="89" t="str">
        <f ca="1"/>
        <v/>
      </c>
    </row>
    <row r="3529" spans="1:7" x14ac:dyDescent="0.3">
      <c r="A3529" s="89" t="str">
        <v/>
      </c>
      <c r="B3529" s="89" t="str">
        <v>Primeros auxilios y Reanimación Cardio Pulmonar (RCP)</v>
      </c>
      <c r="C3529" s="90" t="str">
        <v/>
      </c>
      <c r="D3529" s="89" t="str">
        <v>Periódica</v>
      </c>
      <c r="E3529" s="89">
        <v>365</v>
      </c>
      <c r="F3529" s="89" t="str">
        <v/>
      </c>
      <c r="G3529" s="89" t="str">
        <f ca="1"/>
        <v/>
      </c>
    </row>
    <row r="3530" spans="1:7" x14ac:dyDescent="0.3">
      <c r="A3530" s="89" t="str">
        <v/>
      </c>
      <c r="B3530" s="89" t="str">
        <v>Prevención cardiovascular (factores de riesgo y señales de alarma)</v>
      </c>
      <c r="C3530" s="90" t="str">
        <v/>
      </c>
      <c r="D3530" s="89" t="str">
        <v>Periódica</v>
      </c>
      <c r="E3530" s="89">
        <v>365</v>
      </c>
      <c r="F3530" s="89" t="str">
        <v/>
      </c>
      <c r="G3530" s="89" t="str">
        <f ca="1"/>
        <v/>
      </c>
    </row>
    <row r="3531" spans="1:7" x14ac:dyDescent="0.3">
      <c r="A3531" s="89" t="str">
        <v/>
      </c>
      <c r="B3531" s="89" t="str">
        <v>Efectos del tabaco sobre la salud</v>
      </c>
      <c r="C3531" s="90" t="str">
        <v/>
      </c>
      <c r="D3531" s="89" t="str">
        <v>Periódica</v>
      </c>
      <c r="E3531" s="89">
        <v>365</v>
      </c>
      <c r="F3531" s="89" t="str">
        <v/>
      </c>
      <c r="G3531" s="89" t="str">
        <f ca="1"/>
        <v/>
      </c>
    </row>
    <row r="3532" spans="1:7" x14ac:dyDescent="0.3">
      <c r="A3532" s="89" t="str">
        <v/>
      </c>
      <c r="B3532" s="89" t="str">
        <v>Cargadora (Op. Montacargas)</v>
      </c>
      <c r="C3532" s="90" t="str">
        <v/>
      </c>
      <c r="D3532" s="89" t="str">
        <v>Periódica</v>
      </c>
      <c r="E3532" s="89">
        <v>365</v>
      </c>
      <c r="F3532" s="89" t="str">
        <v/>
      </c>
      <c r="G3532" s="89" t="str">
        <f ca="1"/>
        <v/>
      </c>
    </row>
    <row r="3533" spans="1:7" x14ac:dyDescent="0.3">
      <c r="A3533" s="89" t="str">
        <v/>
      </c>
      <c r="B3533" s="89">
        <v>0</v>
      </c>
      <c r="C3533" s="90" t="str">
        <v/>
      </c>
      <c r="D3533" s="89" t="str">
        <v/>
      </c>
      <c r="E3533" s="89" t="str">
        <v/>
      </c>
      <c r="F3533" s="89" t="str">
        <v/>
      </c>
      <c r="G3533" s="89" t="str">
        <f ca="1"/>
        <v/>
      </c>
    </row>
    <row r="3534" spans="1:7" x14ac:dyDescent="0.3">
      <c r="A3534" s="89" t="str">
        <v/>
      </c>
      <c r="B3534" s="89">
        <v>0</v>
      </c>
      <c r="C3534" s="90" t="str">
        <v/>
      </c>
      <c r="D3534" s="89" t="str">
        <v/>
      </c>
      <c r="E3534" s="89" t="str">
        <v/>
      </c>
      <c r="F3534" s="89" t="str">
        <v/>
      </c>
      <c r="G3534" s="89" t="str">
        <f ca="1"/>
        <v/>
      </c>
    </row>
    <row r="3535" spans="1:7" x14ac:dyDescent="0.3">
      <c r="A3535" s="89" t="str">
        <v/>
      </c>
      <c r="B3535" s="89">
        <v>0</v>
      </c>
      <c r="C3535" s="90" t="str">
        <v/>
      </c>
      <c r="D3535" s="89" t="str">
        <v/>
      </c>
      <c r="E3535" s="89" t="str">
        <v/>
      </c>
      <c r="F3535" s="89" t="str">
        <v/>
      </c>
      <c r="G3535" s="89" t="str">
        <f ca="1"/>
        <v/>
      </c>
    </row>
    <row r="3536" spans="1:7" x14ac:dyDescent="0.3">
      <c r="A3536" s="89" t="str">
        <v/>
      </c>
      <c r="B3536" s="89">
        <v>0</v>
      </c>
      <c r="C3536" s="90" t="str">
        <v/>
      </c>
      <c r="D3536" s="89" t="str">
        <v/>
      </c>
      <c r="E3536" s="89" t="str">
        <v/>
      </c>
      <c r="F3536" s="89" t="str">
        <v/>
      </c>
      <c r="G3536" s="89" t="str">
        <f ca="1"/>
        <v/>
      </c>
    </row>
    <row r="3537" spans="1:7" x14ac:dyDescent="0.3">
      <c r="A3537" s="89" t="str">
        <v/>
      </c>
      <c r="B3537" s="89">
        <v>0</v>
      </c>
      <c r="C3537" s="90" t="str">
        <v/>
      </c>
      <c r="D3537" s="89" t="str">
        <v/>
      </c>
      <c r="E3537" s="89" t="str">
        <v/>
      </c>
      <c r="F3537" s="89" t="str">
        <v/>
      </c>
      <c r="G3537" s="89" t="str">
        <f ca="1"/>
        <v/>
      </c>
    </row>
    <row r="3538" spans="1:7" x14ac:dyDescent="0.3">
      <c r="A3538" s="89" t="str">
        <v/>
      </c>
      <c r="B3538" s="89">
        <v>0</v>
      </c>
      <c r="C3538" s="90" t="str">
        <v/>
      </c>
      <c r="D3538" s="89" t="str">
        <v/>
      </c>
      <c r="E3538" s="89" t="str">
        <v/>
      </c>
      <c r="F3538" s="89" t="str">
        <v/>
      </c>
      <c r="G3538" s="89" t="str">
        <f ca="1"/>
        <v/>
      </c>
    </row>
    <row r="3539" spans="1:7" x14ac:dyDescent="0.3">
      <c r="A3539" s="89" t="str">
        <v/>
      </c>
      <c r="B3539" s="89">
        <v>0</v>
      </c>
      <c r="C3539" s="90" t="str">
        <v/>
      </c>
      <c r="D3539" s="89" t="str">
        <v/>
      </c>
      <c r="E3539" s="89" t="str">
        <v/>
      </c>
      <c r="F3539" s="89" t="str">
        <v/>
      </c>
      <c r="G3539" s="89" t="str">
        <f ca="1"/>
        <v/>
      </c>
    </row>
    <row r="3540" spans="1:7" x14ac:dyDescent="0.3">
      <c r="A3540" s="89" t="str">
        <v/>
      </c>
      <c r="B3540" s="89">
        <v>0</v>
      </c>
      <c r="C3540" s="90" t="str">
        <v/>
      </c>
      <c r="D3540" s="89" t="str">
        <v/>
      </c>
      <c r="E3540" s="89" t="str">
        <v/>
      </c>
      <c r="F3540" s="89" t="str">
        <v/>
      </c>
      <c r="G3540" s="89" t="str">
        <f ca="1"/>
        <v/>
      </c>
    </row>
    <row r="3541" spans="1:7" x14ac:dyDescent="0.3">
      <c r="A3541" s="89" t="str">
        <v/>
      </c>
      <c r="B3541" s="89">
        <v>0</v>
      </c>
      <c r="C3541" s="90" t="str">
        <v/>
      </c>
      <c r="D3541" s="89" t="str">
        <v/>
      </c>
      <c r="E3541" s="89" t="str">
        <v/>
      </c>
      <c r="F3541" s="89" t="str">
        <v/>
      </c>
      <c r="G3541" s="89" t="str">
        <f ca="1"/>
        <v/>
      </c>
    </row>
    <row r="3542" spans="1:7" x14ac:dyDescent="0.3">
      <c r="A3542" s="89" t="str">
        <v/>
      </c>
      <c r="B3542" s="89" t="str">
        <v>Programa de Aire</v>
      </c>
      <c r="C3542" s="90" t="str">
        <v/>
      </c>
      <c r="D3542" s="89" t="str">
        <v>Evento</v>
      </c>
      <c r="E3542" s="89">
        <v>0</v>
      </c>
      <c r="F3542" s="89" t="str">
        <v/>
      </c>
      <c r="G3542" s="89" t="str">
        <f ca="1"/>
        <v/>
      </c>
    </row>
    <row r="3543" spans="1:7" x14ac:dyDescent="0.3">
      <c r="A3543" s="89" t="str">
        <v/>
      </c>
      <c r="B3543" s="89" t="str">
        <v>Conciencia Ambiental</v>
      </c>
      <c r="C3543" s="90" t="str">
        <v/>
      </c>
      <c r="D3543" s="89" t="str">
        <v>Periódica</v>
      </c>
      <c r="E3543" s="89">
        <v>365</v>
      </c>
      <c r="F3543" s="89" t="str">
        <v/>
      </c>
      <c r="G3543" s="89" t="str">
        <f ca="1"/>
        <v/>
      </c>
    </row>
    <row r="3544" spans="1:7" x14ac:dyDescent="0.3">
      <c r="A3544" s="89" t="str">
        <v/>
      </c>
      <c r="B3544" s="89" t="str">
        <v xml:space="preserve">Control de Documentos e Informacion de HSE </v>
      </c>
      <c r="C3544" s="90" t="str">
        <v/>
      </c>
      <c r="D3544" s="89" t="str">
        <v>Evento</v>
      </c>
      <c r="E3544" s="89">
        <v>0</v>
      </c>
      <c r="F3544" s="89" t="str">
        <v/>
      </c>
      <c r="G3544" s="89" t="str">
        <f ca="1"/>
        <v/>
      </c>
    </row>
    <row r="3545" spans="1:7" x14ac:dyDescent="0.3">
      <c r="A3545" s="89" t="str">
        <v/>
      </c>
      <c r="B3545" s="89" t="str">
        <v xml:space="preserve"> Acciones Correctivas y Preventivas (CAPA)</v>
      </c>
      <c r="C3545" s="90" t="str">
        <v/>
      </c>
      <c r="D3545" s="89" t="str">
        <v>Evento</v>
      </c>
      <c r="E3545" s="89">
        <v>0</v>
      </c>
      <c r="F3545" s="89" t="str">
        <v/>
      </c>
      <c r="G3545" s="89" t="str">
        <f ca="1"/>
        <v/>
      </c>
    </row>
    <row r="3546" spans="1:7" x14ac:dyDescent="0.3">
      <c r="A3546" s="89" t="str">
        <v/>
      </c>
      <c r="B3546" s="89" t="str">
        <v>Seguridad Basada en el Comportamiento (Observation Program) // HSMS.043 / Autoridad de Detener el Trabajo</v>
      </c>
      <c r="C3546" s="90" t="str">
        <v/>
      </c>
      <c r="D3546" s="89" t="str">
        <v>Periódica</v>
      </c>
      <c r="E3546" s="89">
        <v>365</v>
      </c>
      <c r="F3546" s="89" t="str">
        <v/>
      </c>
      <c r="G3546" s="89" t="str">
        <f ca="1"/>
        <v/>
      </c>
    </row>
    <row r="3547" spans="1:7" x14ac:dyDescent="0.3">
      <c r="A3547" s="89" t="str">
        <v/>
      </c>
      <c r="B3547" s="89" t="str">
        <v>Identificacion de Peligros y Evaluacion de Riesgos</v>
      </c>
      <c r="C3547" s="90" t="str">
        <v/>
      </c>
      <c r="D3547" s="89" t="str">
        <v>Evento</v>
      </c>
      <c r="E3547" s="89">
        <v>0</v>
      </c>
      <c r="F3547" s="89" t="str">
        <v/>
      </c>
      <c r="G3547" s="89" t="str">
        <f ca="1"/>
        <v/>
      </c>
    </row>
    <row r="3548" spans="1:7" x14ac:dyDescent="0.3">
      <c r="A3548" s="89" t="str">
        <v/>
      </c>
      <c r="B3548" s="89" t="str">
        <v xml:space="preserve"> Plan de Respuesta ante Eemergencias / HSMS.010 /Primeros Axulios &amp; RCP/DEA / HSMSWT-002 / Patogenos Trasnmitidos por la Sangre</v>
      </c>
      <c r="C3548" s="90" t="str">
        <v/>
      </c>
      <c r="D3548" s="89" t="str">
        <v>Periódica</v>
      </c>
      <c r="E3548" s="89">
        <v>365</v>
      </c>
      <c r="F3548" s="89" t="str">
        <v/>
      </c>
      <c r="G3548" s="89" t="str">
        <f ca="1"/>
        <v/>
      </c>
    </row>
    <row r="3549" spans="1:7" x14ac:dyDescent="0.3">
      <c r="A3549" s="89" t="str">
        <v/>
      </c>
      <c r="B3549" s="89" t="str">
        <v>Reporte y Gestion de Incidentes HSE (Todos)</v>
      </c>
      <c r="C3549" s="90" t="str">
        <v/>
      </c>
      <c r="D3549" s="89" t="str">
        <v>Periódica</v>
      </c>
      <c r="E3549" s="89">
        <v>365</v>
      </c>
      <c r="F3549" s="89" t="str">
        <v/>
      </c>
      <c r="G3549" s="89" t="str">
        <f ca="1"/>
        <v/>
      </c>
    </row>
    <row r="3550" spans="1:7" x14ac:dyDescent="0.3">
      <c r="A3550" s="89" t="str">
        <v/>
      </c>
      <c r="B3550" s="89" t="str">
        <v>Reporte, Gestion e Investigacion de Incidentes HSE (supervisores / investigadores (rol))</v>
      </c>
      <c r="C3550" s="90" t="str">
        <v/>
      </c>
      <c r="D3550" s="89" t="str">
        <v>Periódica</v>
      </c>
      <c r="E3550" s="89">
        <v>1095</v>
      </c>
      <c r="F3550" s="89" t="str">
        <v/>
      </c>
      <c r="G3550" s="89" t="str">
        <f ca="1"/>
        <v/>
      </c>
    </row>
    <row r="3551" spans="1:7" x14ac:dyDescent="0.3">
      <c r="A3551" s="89" t="str">
        <v/>
      </c>
      <c r="B3551" s="89" t="str">
        <v>Gruas y Equipos de Izaje (Todos)</v>
      </c>
      <c r="C3551" s="90" t="str">
        <v/>
      </c>
      <c r="D3551" s="89" t="str">
        <v>Periódica</v>
      </c>
      <c r="E3551" s="89">
        <v>365</v>
      </c>
      <c r="F3551" s="89" t="str">
        <v/>
      </c>
      <c r="G3551" s="89" t="str">
        <f ca="1"/>
        <v/>
      </c>
    </row>
    <row r="3552" spans="1:7" x14ac:dyDescent="0.3">
      <c r="A3552" s="89" t="str">
        <v/>
      </c>
      <c r="B3552" s="89" t="str">
        <v>HSMS.007 / Gruas y Equipos de Izaje (Operadores)</v>
      </c>
      <c r="C3552" s="90" t="str">
        <v/>
      </c>
      <c r="D3552" s="89" t="str">
        <v>Periódica</v>
      </c>
      <c r="E3552" s="89">
        <v>365</v>
      </c>
      <c r="F3552" s="89" t="str">
        <v/>
      </c>
      <c r="G3552" s="89" t="str">
        <f ca="1"/>
        <v/>
      </c>
    </row>
    <row r="3553" spans="1:7" x14ac:dyDescent="0.3">
      <c r="A3553" s="89" t="str">
        <v/>
      </c>
      <c r="B3553" s="89" t="str">
        <v>Proteccion Contra Incendios (Todos)</v>
      </c>
      <c r="C3553" s="90" t="str">
        <v/>
      </c>
      <c r="D3553" s="89" t="str">
        <v>Periódica</v>
      </c>
      <c r="E3553" s="89">
        <v>365</v>
      </c>
      <c r="F3553" s="89" t="str">
        <v/>
      </c>
      <c r="G3553" s="89" t="str">
        <f ca="1"/>
        <v/>
      </c>
    </row>
    <row r="3554" spans="1:7" x14ac:dyDescent="0.3">
      <c r="A3554" s="89" t="str">
        <v/>
      </c>
      <c r="B3554" s="89" t="str">
        <v>Proteccion Contra Incendios (Brigadistas)</v>
      </c>
      <c r="C3554" s="90" t="str">
        <v/>
      </c>
      <c r="D3554" s="89" t="str">
        <v>Periódica</v>
      </c>
      <c r="E3554" s="89">
        <v>365</v>
      </c>
      <c r="F3554" s="89" t="str">
        <v/>
      </c>
      <c r="G3554" s="89" t="str">
        <f ca="1"/>
        <v/>
      </c>
    </row>
    <row r="3555" spans="1:7" x14ac:dyDescent="0.3">
      <c r="A3555" s="89" t="str">
        <v/>
      </c>
      <c r="B3555" s="89" t="str">
        <v>Primeros Auxilios (Brigadistas)</v>
      </c>
      <c r="C3555" s="90" t="str">
        <v/>
      </c>
      <c r="D3555" s="89" t="str">
        <v>Periódica</v>
      </c>
      <c r="E3555" s="89">
        <v>365</v>
      </c>
      <c r="F3555" s="89" t="str">
        <v/>
      </c>
      <c r="G3555" s="89" t="str">
        <f ca="1"/>
        <v/>
      </c>
    </row>
    <row r="3556" spans="1:7" x14ac:dyDescent="0.3">
      <c r="A3556" s="89" t="str">
        <v/>
      </c>
      <c r="B3556" s="89" t="str">
        <v>Seguridad Electrica (Todos)</v>
      </c>
      <c r="C3556" s="90" t="str">
        <v/>
      </c>
      <c r="D3556" s="89" t="str">
        <v>Periódica</v>
      </c>
      <c r="E3556" s="89">
        <v>365</v>
      </c>
      <c r="F3556" s="89" t="str">
        <v/>
      </c>
      <c r="G3556" s="89" t="str">
        <f ca="1"/>
        <v/>
      </c>
    </row>
    <row r="3557" spans="1:7" x14ac:dyDescent="0.3">
      <c r="A3557" s="89" t="str">
        <v/>
      </c>
      <c r="B3557" s="89" t="str">
        <v>Seguridad Electrica (Personal Autorizado)</v>
      </c>
      <c r="C3557" s="90" t="str">
        <v/>
      </c>
      <c r="D3557" s="89" t="str">
        <v>Periódica</v>
      </c>
      <c r="E3557" s="89">
        <v>1095</v>
      </c>
      <c r="F3557" s="89" t="str">
        <v/>
      </c>
      <c r="G3557" s="89" t="str">
        <f ca="1"/>
        <v/>
      </c>
    </row>
    <row r="3558" spans="1:7" x14ac:dyDescent="0.3">
      <c r="A3558" s="89" t="str">
        <v/>
      </c>
      <c r="B3558" s="89" t="str">
        <v>Camiones Industriales Motorizados (PIT) (Todos)</v>
      </c>
      <c r="C3558" s="90" t="str">
        <v/>
      </c>
      <c r="D3558" s="89" t="str">
        <v>Periódica</v>
      </c>
      <c r="E3558" s="89">
        <v>365</v>
      </c>
      <c r="F3558" s="89" t="str">
        <v/>
      </c>
      <c r="G3558" s="89" t="str">
        <f ca="1"/>
        <v/>
      </c>
    </row>
    <row r="3559" spans="1:7" x14ac:dyDescent="0.3">
      <c r="A3559" s="89" t="str">
        <v/>
      </c>
      <c r="B3559" s="89" t="str">
        <v>Camiones Industriales Motorizados (PIT) (Op. Montacargas)</v>
      </c>
      <c r="C3559" s="90" t="str">
        <v/>
      </c>
      <c r="D3559" s="89" t="str">
        <v>Periódica</v>
      </c>
      <c r="E3559" s="89">
        <v>365</v>
      </c>
      <c r="F3559" s="89" t="str">
        <v/>
      </c>
      <c r="G3559" s="89" t="str">
        <f ca="1"/>
        <v/>
      </c>
    </row>
    <row r="3560" spans="1:7" x14ac:dyDescent="0.3">
      <c r="A3560" s="89" t="str">
        <v/>
      </c>
      <c r="B3560" s="89" t="str">
        <v>Control de Energias Peligrosas (LOTO) (Todos)</v>
      </c>
      <c r="C3560" s="90" t="str">
        <v/>
      </c>
      <c r="D3560" s="89" t="str">
        <v>Evento</v>
      </c>
      <c r="E3560" s="89">
        <v>0</v>
      </c>
      <c r="F3560" s="89" t="str">
        <v/>
      </c>
      <c r="G3560" s="89" t="str">
        <f ca="1"/>
        <v/>
      </c>
    </row>
    <row r="3561" spans="1:7" x14ac:dyDescent="0.3">
      <c r="A3561" s="89" t="str">
        <v/>
      </c>
      <c r="B3561" s="89" t="str">
        <v>Control de Energias Peligrosas (LOTO) (Empleados Autorizados)</v>
      </c>
      <c r="C3561" s="90" t="str">
        <v/>
      </c>
      <c r="D3561" s="89" t="str">
        <v>Periódica</v>
      </c>
      <c r="E3561" s="89">
        <v>365</v>
      </c>
      <c r="F3561" s="89" t="str">
        <v/>
      </c>
      <c r="G3561" s="89" t="str">
        <f ca="1"/>
        <v/>
      </c>
    </row>
    <row r="3562" spans="1:7" x14ac:dyDescent="0.3">
      <c r="A3562" s="89" t="str">
        <v/>
      </c>
      <c r="B3562" s="89" t="str">
        <v>Seguridad aplicada al Pozo &amp; Yacimiento</v>
      </c>
      <c r="C3562" s="90" t="str">
        <v/>
      </c>
      <c r="D3562" s="89" t="str">
        <v>Periódica</v>
      </c>
      <c r="E3562" s="89">
        <v>365</v>
      </c>
      <c r="F3562" s="89" t="str">
        <v/>
      </c>
      <c r="G3562" s="89" t="str">
        <f ca="1"/>
        <v/>
      </c>
    </row>
    <row r="3563" spans="1:7" x14ac:dyDescent="0.3">
      <c r="A3563" s="89" t="str">
        <v/>
      </c>
      <c r="B3563" s="89" t="str">
        <v>Las Reglas que Salvan Vidas</v>
      </c>
      <c r="C3563" s="90" t="str">
        <v/>
      </c>
      <c r="D3563" s="89" t="str">
        <v>Periódica</v>
      </c>
      <c r="E3563" s="89">
        <v>365</v>
      </c>
      <c r="F3563" s="89" t="str">
        <v/>
      </c>
      <c r="G3563" s="89" t="str">
        <f ca="1"/>
        <v/>
      </c>
    </row>
    <row r="3564" spans="1:7" x14ac:dyDescent="0.3">
      <c r="A3564" s="89" t="str">
        <v/>
      </c>
      <c r="B3564" s="89" t="str">
        <v xml:space="preserve">Resguardo de Maquinas &amp; Equipos </v>
      </c>
      <c r="C3564" s="90" t="str">
        <v/>
      </c>
      <c r="D3564" s="89" t="str">
        <v>Periódica</v>
      </c>
      <c r="E3564" s="89">
        <v>365</v>
      </c>
      <c r="F3564" s="89" t="str">
        <v/>
      </c>
      <c r="G3564" s="89" t="str">
        <f ca="1"/>
        <v/>
      </c>
    </row>
    <row r="3565" spans="1:7" x14ac:dyDescent="0.3">
      <c r="A3565" s="89" t="str">
        <v/>
      </c>
      <c r="B3565" s="89" t="str">
        <v>Conduccion y Gestion de Viajes (Todos)</v>
      </c>
      <c r="C3565" s="90" t="str">
        <v/>
      </c>
      <c r="D3565" s="89" t="str">
        <v>Periódica</v>
      </c>
      <c r="E3565" s="89">
        <v>730</v>
      </c>
      <c r="F3565" s="89" t="str">
        <v/>
      </c>
      <c r="G3565" s="89" t="str">
        <f ca="1"/>
        <v/>
      </c>
    </row>
    <row r="3566" spans="1:7" x14ac:dyDescent="0.3">
      <c r="A3566" s="89" t="str">
        <v/>
      </c>
      <c r="B3566" s="89" t="str">
        <v>Conduccion y Gestion de Viajes (Conductores)</v>
      </c>
      <c r="C3566" s="90" t="str">
        <v/>
      </c>
      <c r="D3566" s="89" t="str">
        <v>Periódica</v>
      </c>
      <c r="E3566" s="89">
        <v>1095</v>
      </c>
      <c r="F3566" s="89" t="str">
        <v/>
      </c>
      <c r="G3566" s="89" t="str">
        <f ca="1"/>
        <v/>
      </c>
    </row>
    <row r="3567" spans="1:7" x14ac:dyDescent="0.3">
      <c r="A3567" s="89" t="str">
        <v/>
      </c>
      <c r="B3567" s="89" t="str">
        <v>Patogenos Transmitidos por la Sangre</v>
      </c>
      <c r="C3567" s="90" t="str">
        <v/>
      </c>
      <c r="D3567" s="89" t="str">
        <v>Periódica</v>
      </c>
      <c r="E3567" s="89">
        <v>365</v>
      </c>
      <c r="F3567" s="89" t="str">
        <v/>
      </c>
      <c r="G3567" s="89" t="str">
        <f ca="1"/>
        <v/>
      </c>
    </row>
    <row r="3568" spans="1:7" x14ac:dyDescent="0.3">
      <c r="A3568" s="89" t="str">
        <v/>
      </c>
      <c r="B3568" s="89" t="str">
        <v>Conservacion Auditiva</v>
      </c>
      <c r="C3568" s="90" t="str">
        <v/>
      </c>
      <c r="D3568" s="89" t="str">
        <v>Periódica</v>
      </c>
      <c r="E3568" s="89">
        <v>365</v>
      </c>
      <c r="F3568" s="89" t="str">
        <v/>
      </c>
      <c r="G3568" s="89" t="str">
        <f ca="1"/>
        <v/>
      </c>
    </row>
    <row r="3569" spans="1:7" x14ac:dyDescent="0.3">
      <c r="A3569" s="89" t="str">
        <v/>
      </c>
      <c r="B3569" s="89" t="str">
        <v xml:space="preserve">Ergonomia //  / Levantamiento &amp; Seguridad en la Espalda </v>
      </c>
      <c r="C3569" s="90" t="str">
        <v/>
      </c>
      <c r="D3569" s="89" t="str">
        <v>Periódica</v>
      </c>
      <c r="E3569" s="89">
        <v>365</v>
      </c>
      <c r="F3569" s="89" t="str">
        <v/>
      </c>
      <c r="G3569" s="89" t="str">
        <f ca="1"/>
        <v/>
      </c>
    </row>
    <row r="3570" spans="1:7" x14ac:dyDescent="0.3">
      <c r="A3570" s="89" t="str">
        <v/>
      </c>
      <c r="B3570" s="89" t="str">
        <v>Superficies Elevadas (Todos)</v>
      </c>
      <c r="C3570" s="90" t="str">
        <v/>
      </c>
      <c r="D3570" s="89" t="str">
        <v>Periódica</v>
      </c>
      <c r="E3570" s="89">
        <v>365</v>
      </c>
      <c r="F3570" s="89" t="str">
        <v/>
      </c>
      <c r="G3570" s="89" t="str">
        <f ca="1"/>
        <v/>
      </c>
    </row>
    <row r="3571" spans="1:7" x14ac:dyDescent="0.3">
      <c r="A3571" s="89" t="str">
        <v/>
      </c>
      <c r="B3571" s="89" t="str">
        <v>Superficies Elevadas (Personal Habilitado)</v>
      </c>
      <c r="C3571" s="90" t="str">
        <v/>
      </c>
      <c r="D3571" s="89" t="str">
        <v>Periódica</v>
      </c>
      <c r="E3571" s="89">
        <v>365</v>
      </c>
      <c r="F3571" s="89" t="str">
        <v/>
      </c>
      <c r="G3571" s="89" t="str">
        <f ca="1"/>
        <v/>
      </c>
    </row>
    <row r="3572" spans="1:7" x14ac:dyDescent="0.3">
      <c r="A3572" s="89" t="str">
        <v/>
      </c>
      <c r="B3572" s="89" t="str">
        <v>Seguridad Quimica (Todos)</v>
      </c>
      <c r="C3572" s="90" t="str">
        <v/>
      </c>
      <c r="D3572" s="89" t="str">
        <v>Periódica</v>
      </c>
      <c r="E3572" s="89">
        <v>730</v>
      </c>
      <c r="F3572" s="89" t="str">
        <v/>
      </c>
      <c r="G3572" s="89" t="str">
        <f ca="1"/>
        <v/>
      </c>
    </row>
    <row r="3573" spans="1:7" x14ac:dyDescent="0.3">
      <c r="A3573" s="89" t="str">
        <v/>
      </c>
      <c r="B3573" s="89" t="str">
        <v>Seguridad Quimica (Mantenimiento)</v>
      </c>
      <c r="C3573" s="90" t="str">
        <v/>
      </c>
      <c r="D3573" s="89" t="str">
        <v>Periódica</v>
      </c>
      <c r="E3573" s="89">
        <v>365</v>
      </c>
      <c r="F3573" s="89" t="str">
        <v/>
      </c>
      <c r="G3573" s="89" t="str">
        <f ca="1"/>
        <v/>
      </c>
    </row>
    <row r="3574" spans="1:7" x14ac:dyDescent="0.3">
      <c r="A3574" s="89" t="str">
        <v/>
      </c>
      <c r="B3574" s="89" t="str">
        <v>Seguridad Quimica (Contratistas)</v>
      </c>
      <c r="C3574" s="90" t="str">
        <v/>
      </c>
      <c r="D3574" s="89" t="str">
        <v>Periódica</v>
      </c>
      <c r="E3574" s="89">
        <v>365</v>
      </c>
      <c r="F3574" s="89" t="str">
        <v/>
      </c>
      <c r="G3574" s="89" t="str">
        <f ca="1"/>
        <v/>
      </c>
    </row>
    <row r="3575" spans="1:7" x14ac:dyDescent="0.3">
      <c r="A3575" s="89" t="str">
        <v/>
      </c>
      <c r="B3575" s="89" t="str">
        <v>Seguridad para Trabajos en Caliente</v>
      </c>
      <c r="C3575" s="90" t="str">
        <v/>
      </c>
      <c r="D3575" s="89" t="str">
        <v>Periódica</v>
      </c>
      <c r="E3575" s="89">
        <v>365</v>
      </c>
      <c r="F3575" s="89" t="str">
        <v/>
      </c>
      <c r="G3575" s="89" t="str">
        <f ca="1"/>
        <v/>
      </c>
    </row>
    <row r="3576" spans="1:7" x14ac:dyDescent="0.3">
      <c r="A3576" s="89" t="str">
        <v/>
      </c>
      <c r="B3576" s="89" t="str">
        <v>Seguridad con la Radiacion</v>
      </c>
      <c r="C3576" s="90" t="str">
        <v/>
      </c>
      <c r="D3576" s="89" t="str">
        <v>Periódica</v>
      </c>
      <c r="E3576" s="89">
        <v>365</v>
      </c>
      <c r="F3576" s="89" t="str">
        <v/>
      </c>
      <c r="G3576" s="89" t="str">
        <f ca="1"/>
        <v/>
      </c>
    </row>
    <row r="3577" spans="1:7" x14ac:dyDescent="0.3">
      <c r="A3577" s="89" t="str">
        <v/>
      </c>
      <c r="B3577" s="89" t="str">
        <v>Equipo de Proteccion Personal (PPE)</v>
      </c>
      <c r="C3577" s="90" t="str">
        <v/>
      </c>
      <c r="D3577" s="89" t="str">
        <v>Periódica</v>
      </c>
      <c r="E3577" s="89">
        <v>365</v>
      </c>
      <c r="F3577" s="89" t="str">
        <v/>
      </c>
      <c r="G3577" s="89" t="str">
        <f ca="1"/>
        <v/>
      </c>
    </row>
    <row r="3578" spans="1:7" x14ac:dyDescent="0.3">
      <c r="A3578" s="89" t="str">
        <v/>
      </c>
      <c r="B3578" s="89" t="str">
        <v>Proteccion Respiratoria</v>
      </c>
      <c r="C3578" s="90" t="str">
        <v/>
      </c>
      <c r="D3578" s="89" t="str">
        <v>Periódica</v>
      </c>
      <c r="E3578" s="89">
        <v>365</v>
      </c>
      <c r="F3578" s="89" t="str">
        <v/>
      </c>
      <c r="G3578" s="89" t="str">
        <f ca="1"/>
        <v/>
      </c>
    </row>
    <row r="3579" spans="1:7" x14ac:dyDescent="0.3">
      <c r="A3579" s="89" t="str">
        <v/>
      </c>
      <c r="B3579" s="89" t="str">
        <v xml:space="preserve">Seguridad con Escaleras </v>
      </c>
      <c r="C3579" s="90" t="str">
        <v/>
      </c>
      <c r="D3579" s="89" t="str">
        <v>Periódica</v>
      </c>
      <c r="E3579" s="89">
        <v>365</v>
      </c>
      <c r="F3579" s="89" t="str">
        <v/>
      </c>
      <c r="G3579" s="89" t="str">
        <f ca="1"/>
        <v/>
      </c>
    </row>
    <row r="3580" spans="1:7" x14ac:dyDescent="0.3">
      <c r="A3580" s="89" t="str">
        <v/>
      </c>
      <c r="B3580" s="89" t="str">
        <v>Seguridad con Escaleras // Estantes de Almacenamiento</v>
      </c>
      <c r="C3580" s="90" t="str">
        <v/>
      </c>
      <c r="D3580" s="89" t="str">
        <v>Periódica</v>
      </c>
      <c r="E3580" s="89">
        <v>365</v>
      </c>
      <c r="F3580" s="89" t="str">
        <v/>
      </c>
      <c r="G3580" s="89" t="str">
        <f ca="1"/>
        <v/>
      </c>
    </row>
    <row r="3581" spans="1:7" x14ac:dyDescent="0.3">
      <c r="A3581" s="89" t="str">
        <v/>
      </c>
      <c r="B3581" s="89" t="str">
        <v>Responsabilidades del Supervisor</v>
      </c>
      <c r="C3581" s="90" t="str">
        <v/>
      </c>
      <c r="D3581" s="89" t="str">
        <v>Periódica</v>
      </c>
      <c r="E3581" s="89">
        <v>365</v>
      </c>
      <c r="F3581" s="89" t="str">
        <v/>
      </c>
      <c r="G3581" s="89" t="str">
        <f ca="1"/>
        <v/>
      </c>
    </row>
    <row r="3582" spans="1:7" x14ac:dyDescent="0.3">
      <c r="A3582" s="89" t="str">
        <v/>
      </c>
      <c r="B3582" s="89" t="str">
        <v>Espacios Confinados (Todos)</v>
      </c>
      <c r="C3582" s="90" t="str">
        <v/>
      </c>
      <c r="D3582" s="89" t="str">
        <v>Periódica</v>
      </c>
      <c r="E3582" s="89">
        <v>365</v>
      </c>
      <c r="F3582" s="89" t="str">
        <v/>
      </c>
      <c r="G3582" s="89" t="str">
        <f ca="1"/>
        <v/>
      </c>
    </row>
    <row r="3583" spans="1:7" x14ac:dyDescent="0.3">
      <c r="A3583" s="89" t="str">
        <v/>
      </c>
      <c r="B3583" s="89" t="str">
        <v>HSMS.017 / Espacios Confinados (Entrantes)</v>
      </c>
      <c r="C3583" s="90" t="str">
        <v/>
      </c>
      <c r="D3583" s="89" t="str">
        <v>Evento</v>
      </c>
      <c r="E3583" s="89">
        <v>0</v>
      </c>
      <c r="F3583" s="89" t="str">
        <v/>
      </c>
      <c r="G3583" s="89" t="str">
        <f ca="1"/>
        <v/>
      </c>
    </row>
    <row r="3584" spans="1:7" x14ac:dyDescent="0.3">
      <c r="A3584" s="89" t="str">
        <v/>
      </c>
      <c r="B3584" s="89" t="str">
        <v>Programa de Agua (Todos)</v>
      </c>
      <c r="C3584" s="90" t="str">
        <v/>
      </c>
      <c r="D3584" s="89" t="str">
        <v>Evento</v>
      </c>
      <c r="E3584" s="89">
        <v>0</v>
      </c>
      <c r="F3584" s="89" t="str">
        <v/>
      </c>
      <c r="G3584" s="89" t="str">
        <f ca="1"/>
        <v/>
      </c>
    </row>
    <row r="3585" spans="1:7" x14ac:dyDescent="0.3">
      <c r="A3585" s="89" t="str">
        <v/>
      </c>
      <c r="B3585" s="89" t="str">
        <v>Programa de Agua (HSE)</v>
      </c>
      <c r="C3585" s="90" t="str">
        <v/>
      </c>
      <c r="D3585" s="89" t="str">
        <v>Evento</v>
      </c>
      <c r="E3585" s="89">
        <v>0</v>
      </c>
      <c r="F3585" s="89" t="str">
        <v/>
      </c>
      <c r="G3585" s="89" t="str">
        <f ca="1"/>
        <v/>
      </c>
    </row>
    <row r="3586" spans="1:7" x14ac:dyDescent="0.3">
      <c r="A3586" s="89" t="str">
        <v/>
      </c>
      <c r="B3586" s="89" t="str">
        <v>HIV/SIDA y otras enfermedades de transmisión sexual (ETS)</v>
      </c>
      <c r="C3586" s="90" t="str">
        <v/>
      </c>
      <c r="D3586" s="89" t="str">
        <v>Periódica</v>
      </c>
      <c r="E3586" s="89">
        <v>365</v>
      </c>
      <c r="F3586" s="89" t="str">
        <v/>
      </c>
      <c r="G3586" s="89" t="str">
        <f ca="1"/>
        <v/>
      </c>
    </row>
    <row r="3587" spans="1:7" x14ac:dyDescent="0.3">
      <c r="A3587" s="89" t="str">
        <v/>
      </c>
      <c r="B3587" s="89" t="str">
        <v>Drogas de abuso (concientización y prevención)</v>
      </c>
      <c r="C3587" s="90" t="str">
        <v/>
      </c>
      <c r="D3587" s="89" t="str">
        <v>Periódica</v>
      </c>
      <c r="E3587" s="89">
        <v>365</v>
      </c>
      <c r="F3587" s="89" t="str">
        <v/>
      </c>
      <c r="G3587" s="89" t="str">
        <f ca="1"/>
        <v/>
      </c>
    </row>
    <row r="3588" spans="1:7" x14ac:dyDescent="0.3">
      <c r="A3588" s="89" t="str">
        <v/>
      </c>
      <c r="B3588" s="89" t="str">
        <v>Vida saludable (hábitos, autocuidado y bienestar)</v>
      </c>
      <c r="C3588" s="90" t="str">
        <v/>
      </c>
      <c r="D3588" s="89" t="str">
        <v>Periódica</v>
      </c>
      <c r="E3588" s="89">
        <v>365</v>
      </c>
      <c r="F3588" s="89" t="str">
        <v/>
      </c>
      <c r="G3588" s="89" t="str">
        <f ca="1"/>
        <v/>
      </c>
    </row>
    <row r="3589" spans="1:7" x14ac:dyDescent="0.3">
      <c r="A3589" s="89" t="str">
        <v/>
      </c>
      <c r="B3589" s="89" t="str">
        <v>Primeros auxilios y Reanimación Cardio Pulmonar (RCP)</v>
      </c>
      <c r="C3589" s="90" t="str">
        <v/>
      </c>
      <c r="D3589" s="89" t="str">
        <v>Periódica</v>
      </c>
      <c r="E3589" s="89">
        <v>365</v>
      </c>
      <c r="F3589" s="89" t="str">
        <v/>
      </c>
      <c r="G3589" s="89" t="str">
        <f ca="1"/>
        <v/>
      </c>
    </row>
    <row r="3590" spans="1:7" x14ac:dyDescent="0.3">
      <c r="A3590" s="89" t="str">
        <v/>
      </c>
      <c r="B3590" s="89" t="str">
        <v>Prevención cardiovascular (factores de riesgo y señales de alarma)</v>
      </c>
      <c r="C3590" s="90" t="str">
        <v/>
      </c>
      <c r="D3590" s="89" t="str">
        <v>Periódica</v>
      </c>
      <c r="E3590" s="89">
        <v>365</v>
      </c>
      <c r="F3590" s="89" t="str">
        <v/>
      </c>
      <c r="G3590" s="89" t="str">
        <f ca="1"/>
        <v/>
      </c>
    </row>
    <row r="3591" spans="1:7" x14ac:dyDescent="0.3">
      <c r="A3591" s="89" t="str">
        <v/>
      </c>
      <c r="B3591" s="89" t="str">
        <v>Efectos del tabaco sobre la salud</v>
      </c>
      <c r="C3591" s="90" t="str">
        <v/>
      </c>
      <c r="D3591" s="89" t="str">
        <v>Periódica</v>
      </c>
      <c r="E3591" s="89">
        <v>365</v>
      </c>
      <c r="F3591" s="89" t="str">
        <v/>
      </c>
      <c r="G3591" s="89" t="str">
        <f ca="1"/>
        <v/>
      </c>
    </row>
    <row r="3592" spans="1:7" x14ac:dyDescent="0.3">
      <c r="A3592" s="89" t="str">
        <v/>
      </c>
      <c r="B3592" s="89" t="str">
        <v>Cargadora (Op. Montacargas)</v>
      </c>
      <c r="C3592" s="90" t="str">
        <v/>
      </c>
      <c r="D3592" s="89" t="str">
        <v>Periódica</v>
      </c>
      <c r="E3592" s="89">
        <v>365</v>
      </c>
      <c r="F3592" s="89" t="str">
        <v/>
      </c>
      <c r="G3592" s="89" t="str">
        <f ca="1"/>
        <v/>
      </c>
    </row>
    <row r="3593" spans="1:7" x14ac:dyDescent="0.3">
      <c r="A3593" s="89" t="str">
        <v/>
      </c>
      <c r="B3593" s="89">
        <v>0</v>
      </c>
      <c r="C3593" s="90" t="str">
        <v/>
      </c>
      <c r="D3593" s="89" t="str">
        <v/>
      </c>
      <c r="E3593" s="89" t="str">
        <v/>
      </c>
      <c r="F3593" s="89" t="str">
        <v/>
      </c>
      <c r="G3593" s="89" t="str">
        <f ca="1"/>
        <v/>
      </c>
    </row>
    <row r="3594" spans="1:7" x14ac:dyDescent="0.3">
      <c r="A3594" s="89" t="str">
        <v/>
      </c>
      <c r="B3594" s="89">
        <v>0</v>
      </c>
      <c r="C3594" s="90" t="str">
        <v/>
      </c>
      <c r="D3594" s="89" t="str">
        <v/>
      </c>
      <c r="E3594" s="89" t="str">
        <v/>
      </c>
      <c r="F3594" s="89" t="str">
        <v/>
      </c>
      <c r="G3594" s="89" t="str">
        <f ca="1"/>
        <v/>
      </c>
    </row>
    <row r="3595" spans="1:7" x14ac:dyDescent="0.3">
      <c r="A3595" s="89" t="str">
        <v/>
      </c>
      <c r="B3595" s="89">
        <v>0</v>
      </c>
      <c r="C3595" s="90" t="str">
        <v/>
      </c>
      <c r="D3595" s="89" t="str">
        <v/>
      </c>
      <c r="E3595" s="89" t="str">
        <v/>
      </c>
      <c r="F3595" s="89" t="str">
        <v/>
      </c>
      <c r="G3595" s="89" t="str">
        <f ca="1"/>
        <v/>
      </c>
    </row>
    <row r="3596" spans="1:7" x14ac:dyDescent="0.3">
      <c r="A3596" s="89" t="str">
        <v/>
      </c>
      <c r="B3596" s="89">
        <v>0</v>
      </c>
      <c r="C3596" s="90" t="str">
        <v/>
      </c>
      <c r="D3596" s="89" t="str">
        <v/>
      </c>
      <c r="E3596" s="89" t="str">
        <v/>
      </c>
      <c r="F3596" s="89" t="str">
        <v/>
      </c>
      <c r="G3596" s="89" t="str">
        <f ca="1"/>
        <v/>
      </c>
    </row>
    <row r="3597" spans="1:7" x14ac:dyDescent="0.3">
      <c r="A3597" s="89" t="str">
        <v/>
      </c>
      <c r="B3597" s="89">
        <v>0</v>
      </c>
      <c r="C3597" s="90" t="str">
        <v/>
      </c>
      <c r="D3597" s="89" t="str">
        <v/>
      </c>
      <c r="E3597" s="89" t="str">
        <v/>
      </c>
      <c r="F3597" s="89" t="str">
        <v/>
      </c>
      <c r="G3597" s="89" t="str">
        <f ca="1"/>
        <v/>
      </c>
    </row>
    <row r="3598" spans="1:7" x14ac:dyDescent="0.3">
      <c r="A3598" s="89" t="str">
        <v/>
      </c>
      <c r="B3598" s="89">
        <v>0</v>
      </c>
      <c r="C3598" s="90" t="str">
        <v/>
      </c>
      <c r="D3598" s="89" t="str">
        <v/>
      </c>
      <c r="E3598" s="89" t="str">
        <v/>
      </c>
      <c r="F3598" s="89" t="str">
        <v/>
      </c>
      <c r="G3598" s="89" t="str">
        <f ca="1"/>
        <v/>
      </c>
    </row>
    <row r="3599" spans="1:7" x14ac:dyDescent="0.3">
      <c r="A3599" s="89" t="str">
        <v/>
      </c>
      <c r="B3599" s="89">
        <v>0</v>
      </c>
      <c r="C3599" s="90" t="str">
        <v/>
      </c>
      <c r="D3599" s="89" t="str">
        <v/>
      </c>
      <c r="E3599" s="89" t="str">
        <v/>
      </c>
      <c r="F3599" s="89" t="str">
        <v/>
      </c>
      <c r="G3599" s="89" t="str">
        <f ca="1"/>
        <v/>
      </c>
    </row>
    <row r="3600" spans="1:7" x14ac:dyDescent="0.3">
      <c r="A3600" s="89" t="str">
        <v/>
      </c>
      <c r="B3600" s="89">
        <v>0</v>
      </c>
      <c r="C3600" s="90" t="str">
        <v/>
      </c>
      <c r="D3600" s="89" t="str">
        <v/>
      </c>
      <c r="E3600" s="89" t="str">
        <v/>
      </c>
      <c r="F3600" s="89" t="str">
        <v/>
      </c>
      <c r="G3600" s="89" t="str">
        <f ca="1"/>
        <v/>
      </c>
    </row>
    <row r="3601" spans="1:7" x14ac:dyDescent="0.3">
      <c r="A3601" s="89" t="str">
        <v/>
      </c>
      <c r="B3601" s="89">
        <v>0</v>
      </c>
      <c r="C3601" s="90" t="str">
        <v/>
      </c>
      <c r="D3601" s="89" t="str">
        <v/>
      </c>
      <c r="E3601" s="89" t="str">
        <v/>
      </c>
      <c r="F3601" s="89" t="str">
        <v/>
      </c>
      <c r="G3601" s="89" t="str">
        <f ca="1"/>
        <v/>
      </c>
    </row>
    <row r="3602" spans="1:7" x14ac:dyDescent="0.3">
      <c r="A3602" s="89" t="str">
        <v/>
      </c>
      <c r="B3602" s="89" t="str">
        <v>Programa de Aire</v>
      </c>
      <c r="C3602" s="90" t="str">
        <v/>
      </c>
      <c r="D3602" s="89" t="str">
        <v>Evento</v>
      </c>
      <c r="E3602" s="89">
        <v>0</v>
      </c>
      <c r="F3602" s="89" t="str">
        <v/>
      </c>
      <c r="G3602" s="89" t="str">
        <f ca="1"/>
        <v/>
      </c>
    </row>
    <row r="3603" spans="1:7" x14ac:dyDescent="0.3">
      <c r="A3603" s="89" t="str">
        <v/>
      </c>
      <c r="B3603" s="89" t="str">
        <v>Conciencia Ambiental</v>
      </c>
      <c r="C3603" s="90" t="str">
        <v/>
      </c>
      <c r="D3603" s="89" t="str">
        <v>Periódica</v>
      </c>
      <c r="E3603" s="89">
        <v>365</v>
      </c>
      <c r="F3603" s="89" t="str">
        <v/>
      </c>
      <c r="G3603" s="89" t="str">
        <f ca="1"/>
        <v/>
      </c>
    </row>
    <row r="3604" spans="1:7" x14ac:dyDescent="0.3">
      <c r="A3604" s="89" t="str">
        <v/>
      </c>
      <c r="B3604" s="89" t="str">
        <v xml:space="preserve">Control de Documentos e Informacion de HSE </v>
      </c>
      <c r="C3604" s="90" t="str">
        <v/>
      </c>
      <c r="D3604" s="89" t="str">
        <v>Evento</v>
      </c>
      <c r="E3604" s="89">
        <v>0</v>
      </c>
      <c r="F3604" s="89" t="str">
        <v/>
      </c>
      <c r="G3604" s="89" t="str">
        <f ca="1"/>
        <v/>
      </c>
    </row>
    <row r="3605" spans="1:7" x14ac:dyDescent="0.3">
      <c r="A3605" s="89" t="str">
        <v/>
      </c>
      <c r="B3605" s="89" t="str">
        <v xml:space="preserve"> Acciones Correctivas y Preventivas (CAPA)</v>
      </c>
      <c r="C3605" s="90" t="str">
        <v/>
      </c>
      <c r="D3605" s="89" t="str">
        <v>Evento</v>
      </c>
      <c r="E3605" s="89">
        <v>0</v>
      </c>
      <c r="F3605" s="89" t="str">
        <v/>
      </c>
      <c r="G3605" s="89" t="str">
        <f ca="1"/>
        <v/>
      </c>
    </row>
    <row r="3606" spans="1:7" x14ac:dyDescent="0.3">
      <c r="A3606" s="89" t="str">
        <v/>
      </c>
      <c r="B3606" s="89" t="str">
        <v>Seguridad Basada en el Comportamiento (Observation Program) // HSMS.043 / Autoridad de Detener el Trabajo</v>
      </c>
      <c r="C3606" s="90" t="str">
        <v/>
      </c>
      <c r="D3606" s="89" t="str">
        <v>Periódica</v>
      </c>
      <c r="E3606" s="89">
        <v>365</v>
      </c>
      <c r="F3606" s="89" t="str">
        <v/>
      </c>
      <c r="G3606" s="89" t="str">
        <f ca="1"/>
        <v/>
      </c>
    </row>
    <row r="3607" spans="1:7" x14ac:dyDescent="0.3">
      <c r="A3607" s="89" t="str">
        <v/>
      </c>
      <c r="B3607" s="89" t="str">
        <v>Identificacion de Peligros y Evaluacion de Riesgos</v>
      </c>
      <c r="C3607" s="90" t="str">
        <v/>
      </c>
      <c r="D3607" s="89" t="str">
        <v>Evento</v>
      </c>
      <c r="E3607" s="89">
        <v>0</v>
      </c>
      <c r="F3607" s="89" t="str">
        <v/>
      </c>
      <c r="G3607" s="89" t="str">
        <f ca="1"/>
        <v/>
      </c>
    </row>
    <row r="3608" spans="1:7" x14ac:dyDescent="0.3">
      <c r="A3608" s="89" t="str">
        <v/>
      </c>
      <c r="B3608" s="89" t="str">
        <v xml:space="preserve"> Plan de Respuesta ante Eemergencias / HSMS.010 /Primeros Axulios &amp; RCP/DEA / HSMSWT-002 / Patogenos Trasnmitidos por la Sangre</v>
      </c>
      <c r="C3608" s="90" t="str">
        <v/>
      </c>
      <c r="D3608" s="89" t="str">
        <v>Periódica</v>
      </c>
      <c r="E3608" s="89">
        <v>365</v>
      </c>
      <c r="F3608" s="89" t="str">
        <v/>
      </c>
      <c r="G3608" s="89" t="str">
        <f ca="1"/>
        <v/>
      </c>
    </row>
    <row r="3609" spans="1:7" x14ac:dyDescent="0.3">
      <c r="A3609" s="89" t="str">
        <v/>
      </c>
      <c r="B3609" s="89" t="str">
        <v>Reporte y Gestion de Incidentes HSE (Todos)</v>
      </c>
      <c r="C3609" s="90" t="str">
        <v/>
      </c>
      <c r="D3609" s="89" t="str">
        <v>Periódica</v>
      </c>
      <c r="E3609" s="89">
        <v>365</v>
      </c>
      <c r="F3609" s="89" t="str">
        <v/>
      </c>
      <c r="G3609" s="89" t="str">
        <f ca="1"/>
        <v/>
      </c>
    </row>
    <row r="3610" spans="1:7" x14ac:dyDescent="0.3">
      <c r="A3610" s="89" t="str">
        <v/>
      </c>
      <c r="B3610" s="89" t="str">
        <v>Reporte, Gestion e Investigacion de Incidentes HSE (supervisores / investigadores (rol))</v>
      </c>
      <c r="C3610" s="90" t="str">
        <v/>
      </c>
      <c r="D3610" s="89" t="str">
        <v>Periódica</v>
      </c>
      <c r="E3610" s="89">
        <v>1095</v>
      </c>
      <c r="F3610" s="89" t="str">
        <v/>
      </c>
      <c r="G3610" s="89" t="str">
        <f ca="1"/>
        <v/>
      </c>
    </row>
    <row r="3611" spans="1:7" x14ac:dyDescent="0.3">
      <c r="A3611" s="89" t="str">
        <v/>
      </c>
      <c r="B3611" s="89" t="str">
        <v>Gruas y Equipos de Izaje (Todos)</v>
      </c>
      <c r="C3611" s="90" t="str">
        <v/>
      </c>
      <c r="D3611" s="89" t="str">
        <v>Periódica</v>
      </c>
      <c r="E3611" s="89">
        <v>365</v>
      </c>
      <c r="F3611" s="89" t="str">
        <v/>
      </c>
      <c r="G3611" s="89" t="str">
        <f ca="1"/>
        <v/>
      </c>
    </row>
    <row r="3612" spans="1:7" x14ac:dyDescent="0.3">
      <c r="A3612" s="89" t="str">
        <v/>
      </c>
      <c r="B3612" s="89" t="str">
        <v>HSMS.007 / Gruas y Equipos de Izaje (Operadores)</v>
      </c>
      <c r="C3612" s="90" t="str">
        <v/>
      </c>
      <c r="D3612" s="89" t="str">
        <v>Periódica</v>
      </c>
      <c r="E3612" s="89">
        <v>365</v>
      </c>
      <c r="F3612" s="89" t="str">
        <v/>
      </c>
      <c r="G3612" s="89" t="str">
        <f ca="1"/>
        <v/>
      </c>
    </row>
    <row r="3613" spans="1:7" x14ac:dyDescent="0.3">
      <c r="A3613" s="89" t="str">
        <v/>
      </c>
      <c r="B3613" s="89" t="str">
        <v>Proteccion Contra Incendios (Todos)</v>
      </c>
      <c r="C3613" s="90" t="str">
        <v/>
      </c>
      <c r="D3613" s="89" t="str">
        <v>Periódica</v>
      </c>
      <c r="E3613" s="89">
        <v>365</v>
      </c>
      <c r="F3613" s="89" t="str">
        <v/>
      </c>
      <c r="G3613" s="89" t="str">
        <f ca="1"/>
        <v/>
      </c>
    </row>
    <row r="3614" spans="1:7" x14ac:dyDescent="0.3">
      <c r="A3614" s="89" t="str">
        <v/>
      </c>
      <c r="B3614" s="89" t="str">
        <v>Proteccion Contra Incendios (Brigadistas)</v>
      </c>
      <c r="C3614" s="90" t="str">
        <v/>
      </c>
      <c r="D3614" s="89" t="str">
        <v>Periódica</v>
      </c>
      <c r="E3614" s="89">
        <v>365</v>
      </c>
      <c r="F3614" s="89" t="str">
        <v/>
      </c>
      <c r="G3614" s="89" t="str">
        <f ca="1"/>
        <v/>
      </c>
    </row>
    <row r="3615" spans="1:7" x14ac:dyDescent="0.3">
      <c r="A3615" s="89" t="str">
        <v/>
      </c>
      <c r="B3615" s="89" t="str">
        <v>Primeros Auxilios (Brigadistas)</v>
      </c>
      <c r="C3615" s="90" t="str">
        <v/>
      </c>
      <c r="D3615" s="89" t="str">
        <v>Periódica</v>
      </c>
      <c r="E3615" s="89">
        <v>365</v>
      </c>
      <c r="F3615" s="89" t="str">
        <v/>
      </c>
      <c r="G3615" s="89" t="str">
        <f ca="1"/>
        <v/>
      </c>
    </row>
    <row r="3616" spans="1:7" x14ac:dyDescent="0.3">
      <c r="A3616" s="89" t="str">
        <v/>
      </c>
      <c r="B3616" s="89" t="str">
        <v>Seguridad Electrica (Todos)</v>
      </c>
      <c r="C3616" s="90" t="str">
        <v/>
      </c>
      <c r="D3616" s="89" t="str">
        <v>Periódica</v>
      </c>
      <c r="E3616" s="89">
        <v>365</v>
      </c>
      <c r="F3616" s="89" t="str">
        <v/>
      </c>
      <c r="G3616" s="89" t="str">
        <f ca="1"/>
        <v/>
      </c>
    </row>
    <row r="3617" spans="1:7" x14ac:dyDescent="0.3">
      <c r="A3617" s="89" t="str">
        <v/>
      </c>
      <c r="B3617" s="89" t="str">
        <v>Seguridad Electrica (Personal Autorizado)</v>
      </c>
      <c r="C3617" s="90" t="str">
        <v/>
      </c>
      <c r="D3617" s="89" t="str">
        <v>Periódica</v>
      </c>
      <c r="E3617" s="89">
        <v>1095</v>
      </c>
      <c r="F3617" s="89" t="str">
        <v/>
      </c>
      <c r="G3617" s="89" t="str">
        <f ca="1"/>
        <v/>
      </c>
    </row>
    <row r="3618" spans="1:7" x14ac:dyDescent="0.3">
      <c r="A3618" s="89" t="str">
        <v/>
      </c>
      <c r="B3618" s="89" t="str">
        <v>Camiones Industriales Motorizados (PIT) (Todos)</v>
      </c>
      <c r="C3618" s="90" t="str">
        <v/>
      </c>
      <c r="D3618" s="89" t="str">
        <v>Periódica</v>
      </c>
      <c r="E3618" s="89">
        <v>365</v>
      </c>
      <c r="F3618" s="89" t="str">
        <v/>
      </c>
      <c r="G3618" s="89" t="str">
        <f ca="1"/>
        <v/>
      </c>
    </row>
    <row r="3619" spans="1:7" x14ac:dyDescent="0.3">
      <c r="A3619" s="89" t="str">
        <v/>
      </c>
      <c r="B3619" s="89" t="str">
        <v>Camiones Industriales Motorizados (PIT) (Op. Montacargas)</v>
      </c>
      <c r="C3619" s="90" t="str">
        <v/>
      </c>
      <c r="D3619" s="89" t="str">
        <v>Periódica</v>
      </c>
      <c r="E3619" s="89">
        <v>365</v>
      </c>
      <c r="F3619" s="89" t="str">
        <v/>
      </c>
      <c r="G3619" s="89" t="str">
        <f ca="1"/>
        <v/>
      </c>
    </row>
    <row r="3620" spans="1:7" x14ac:dyDescent="0.3">
      <c r="A3620" s="89" t="str">
        <v/>
      </c>
      <c r="B3620" s="89" t="str">
        <v>Control de Energias Peligrosas (LOTO) (Todos)</v>
      </c>
      <c r="C3620" s="90" t="str">
        <v/>
      </c>
      <c r="D3620" s="89" t="str">
        <v>Evento</v>
      </c>
      <c r="E3620" s="89">
        <v>0</v>
      </c>
      <c r="F3620" s="89" t="str">
        <v/>
      </c>
      <c r="G3620" s="89" t="str">
        <f ca="1"/>
        <v/>
      </c>
    </row>
    <row r="3621" spans="1:7" x14ac:dyDescent="0.3">
      <c r="A3621" s="89" t="str">
        <v/>
      </c>
      <c r="B3621" s="89" t="str">
        <v>Control de Energias Peligrosas (LOTO) (Empleados Autorizados)</v>
      </c>
      <c r="C3621" s="90" t="str">
        <v/>
      </c>
      <c r="D3621" s="89" t="str">
        <v>Periódica</v>
      </c>
      <c r="E3621" s="89">
        <v>365</v>
      </c>
      <c r="F3621" s="89" t="str">
        <v/>
      </c>
      <c r="G3621" s="89" t="str">
        <f ca="1"/>
        <v/>
      </c>
    </row>
    <row r="3622" spans="1:7" x14ac:dyDescent="0.3">
      <c r="A3622" s="89" t="str">
        <v/>
      </c>
      <c r="B3622" s="89" t="str">
        <v>Seguridad aplicada al Pozo &amp; Yacimiento</v>
      </c>
      <c r="C3622" s="90" t="str">
        <v/>
      </c>
      <c r="D3622" s="89" t="str">
        <v>Periódica</v>
      </c>
      <c r="E3622" s="89">
        <v>365</v>
      </c>
      <c r="F3622" s="89" t="str">
        <v/>
      </c>
      <c r="G3622" s="89" t="str">
        <f ca="1"/>
        <v/>
      </c>
    </row>
    <row r="3623" spans="1:7" x14ac:dyDescent="0.3">
      <c r="A3623" s="89" t="str">
        <v/>
      </c>
      <c r="B3623" s="89" t="str">
        <v>Las Reglas que Salvan Vidas</v>
      </c>
      <c r="C3623" s="90" t="str">
        <v/>
      </c>
      <c r="D3623" s="89" t="str">
        <v>Periódica</v>
      </c>
      <c r="E3623" s="89">
        <v>365</v>
      </c>
      <c r="F3623" s="89" t="str">
        <v/>
      </c>
      <c r="G3623" s="89" t="str">
        <f ca="1"/>
        <v/>
      </c>
    </row>
    <row r="3624" spans="1:7" x14ac:dyDescent="0.3">
      <c r="A3624" s="89" t="str">
        <v/>
      </c>
      <c r="B3624" s="89" t="str">
        <v xml:space="preserve">Resguardo de Maquinas &amp; Equipos </v>
      </c>
      <c r="C3624" s="90" t="str">
        <v/>
      </c>
      <c r="D3624" s="89" t="str">
        <v>Periódica</v>
      </c>
      <c r="E3624" s="89">
        <v>365</v>
      </c>
      <c r="F3624" s="89" t="str">
        <v/>
      </c>
      <c r="G3624" s="89" t="str">
        <f ca="1"/>
        <v/>
      </c>
    </row>
    <row r="3625" spans="1:7" x14ac:dyDescent="0.3">
      <c r="A3625" s="89" t="str">
        <v/>
      </c>
      <c r="B3625" s="89" t="str">
        <v>Conduccion y Gestion de Viajes (Todos)</v>
      </c>
      <c r="C3625" s="90" t="str">
        <v/>
      </c>
      <c r="D3625" s="89" t="str">
        <v>Periódica</v>
      </c>
      <c r="E3625" s="89">
        <v>730</v>
      </c>
      <c r="F3625" s="89" t="str">
        <v/>
      </c>
      <c r="G3625" s="89" t="str">
        <f ca="1"/>
        <v/>
      </c>
    </row>
    <row r="3626" spans="1:7" x14ac:dyDescent="0.3">
      <c r="A3626" s="89" t="str">
        <v/>
      </c>
      <c r="B3626" s="89" t="str">
        <v>Conduccion y Gestion de Viajes (Conductores)</v>
      </c>
      <c r="C3626" s="90" t="str">
        <v/>
      </c>
      <c r="D3626" s="89" t="str">
        <v>Periódica</v>
      </c>
      <c r="E3626" s="89">
        <v>1095</v>
      </c>
      <c r="F3626" s="89" t="str">
        <v/>
      </c>
      <c r="G3626" s="89" t="str">
        <f ca="1"/>
        <v/>
      </c>
    </row>
    <row r="3627" spans="1:7" x14ac:dyDescent="0.3">
      <c r="A3627" s="89" t="str">
        <v/>
      </c>
      <c r="B3627" s="89" t="str">
        <v>Patogenos Transmitidos por la Sangre</v>
      </c>
      <c r="C3627" s="90" t="str">
        <v/>
      </c>
      <c r="D3627" s="89" t="str">
        <v>Periódica</v>
      </c>
      <c r="E3627" s="89">
        <v>365</v>
      </c>
      <c r="F3627" s="89" t="str">
        <v/>
      </c>
      <c r="G3627" s="89" t="str">
        <f ca="1"/>
        <v/>
      </c>
    </row>
    <row r="3628" spans="1:7" x14ac:dyDescent="0.3">
      <c r="A3628" s="89" t="str">
        <v/>
      </c>
      <c r="B3628" s="89" t="str">
        <v>Conservacion Auditiva</v>
      </c>
      <c r="C3628" s="90" t="str">
        <v/>
      </c>
      <c r="D3628" s="89" t="str">
        <v>Periódica</v>
      </c>
      <c r="E3628" s="89">
        <v>365</v>
      </c>
      <c r="F3628" s="89" t="str">
        <v/>
      </c>
      <c r="G3628" s="89" t="str">
        <f ca="1"/>
        <v/>
      </c>
    </row>
    <row r="3629" spans="1:7" x14ac:dyDescent="0.3">
      <c r="A3629" s="89" t="str">
        <v/>
      </c>
      <c r="B3629" s="89" t="str">
        <v xml:space="preserve">Ergonomia //  / Levantamiento &amp; Seguridad en la Espalda </v>
      </c>
      <c r="C3629" s="90" t="str">
        <v/>
      </c>
      <c r="D3629" s="89" t="str">
        <v>Periódica</v>
      </c>
      <c r="E3629" s="89">
        <v>365</v>
      </c>
      <c r="F3629" s="89" t="str">
        <v/>
      </c>
      <c r="G3629" s="89" t="str">
        <f ca="1"/>
        <v/>
      </c>
    </row>
    <row r="3630" spans="1:7" x14ac:dyDescent="0.3">
      <c r="A3630" s="89" t="str">
        <v/>
      </c>
      <c r="B3630" s="89" t="str">
        <v>Superficies Elevadas (Todos)</v>
      </c>
      <c r="C3630" s="90" t="str">
        <v/>
      </c>
      <c r="D3630" s="89" t="str">
        <v>Periódica</v>
      </c>
      <c r="E3630" s="89">
        <v>365</v>
      </c>
      <c r="F3630" s="89" t="str">
        <v/>
      </c>
      <c r="G3630" s="89" t="str">
        <f ca="1"/>
        <v/>
      </c>
    </row>
    <row r="3631" spans="1:7" x14ac:dyDescent="0.3">
      <c r="A3631" s="89" t="str">
        <v/>
      </c>
      <c r="B3631" s="89" t="str">
        <v>Superficies Elevadas (Personal Habilitado)</v>
      </c>
      <c r="C3631" s="90" t="str">
        <v/>
      </c>
      <c r="D3631" s="89" t="str">
        <v>Periódica</v>
      </c>
      <c r="E3631" s="89">
        <v>365</v>
      </c>
      <c r="F3631" s="89" t="str">
        <v/>
      </c>
      <c r="G3631" s="89" t="str">
        <f ca="1"/>
        <v/>
      </c>
    </row>
    <row r="3632" spans="1:7" x14ac:dyDescent="0.3">
      <c r="A3632" s="89" t="str">
        <v/>
      </c>
      <c r="B3632" s="89" t="str">
        <v>Seguridad Quimica (Todos)</v>
      </c>
      <c r="C3632" s="90" t="str">
        <v/>
      </c>
      <c r="D3632" s="89" t="str">
        <v>Periódica</v>
      </c>
      <c r="E3632" s="89">
        <v>730</v>
      </c>
      <c r="F3632" s="89" t="str">
        <v/>
      </c>
      <c r="G3632" s="89" t="str">
        <f ca="1"/>
        <v/>
      </c>
    </row>
    <row r="3633" spans="1:7" x14ac:dyDescent="0.3">
      <c r="A3633" s="89" t="str">
        <v/>
      </c>
      <c r="B3633" s="89" t="str">
        <v>Seguridad Quimica (Mantenimiento)</v>
      </c>
      <c r="C3633" s="90" t="str">
        <v/>
      </c>
      <c r="D3633" s="89" t="str">
        <v>Periódica</v>
      </c>
      <c r="E3633" s="89">
        <v>365</v>
      </c>
      <c r="F3633" s="89" t="str">
        <v/>
      </c>
      <c r="G3633" s="89" t="str">
        <f ca="1"/>
        <v/>
      </c>
    </row>
    <row r="3634" spans="1:7" x14ac:dyDescent="0.3">
      <c r="A3634" s="89" t="str">
        <v/>
      </c>
      <c r="B3634" s="89" t="str">
        <v>Seguridad Quimica (Contratistas)</v>
      </c>
      <c r="C3634" s="90" t="str">
        <v/>
      </c>
      <c r="D3634" s="89" t="str">
        <v>Periódica</v>
      </c>
      <c r="E3634" s="89">
        <v>365</v>
      </c>
      <c r="F3634" s="89" t="str">
        <v/>
      </c>
      <c r="G3634" s="89" t="str">
        <f ca="1"/>
        <v/>
      </c>
    </row>
    <row r="3635" spans="1:7" x14ac:dyDescent="0.3">
      <c r="A3635" s="89" t="str">
        <v/>
      </c>
      <c r="B3635" s="89" t="str">
        <v>Seguridad para Trabajos en Caliente</v>
      </c>
      <c r="C3635" s="90" t="str">
        <v/>
      </c>
      <c r="D3635" s="89" t="str">
        <v>Periódica</v>
      </c>
      <c r="E3635" s="89">
        <v>365</v>
      </c>
      <c r="F3635" s="89" t="str">
        <v/>
      </c>
      <c r="G3635" s="89" t="str">
        <f ca="1"/>
        <v/>
      </c>
    </row>
    <row r="3636" spans="1:7" x14ac:dyDescent="0.3">
      <c r="A3636" s="89" t="str">
        <v/>
      </c>
      <c r="B3636" s="89" t="str">
        <v>Seguridad con la Radiacion</v>
      </c>
      <c r="C3636" s="90" t="str">
        <v/>
      </c>
      <c r="D3636" s="89" t="str">
        <v>Periódica</v>
      </c>
      <c r="E3636" s="89">
        <v>365</v>
      </c>
      <c r="F3636" s="89" t="str">
        <v/>
      </c>
      <c r="G3636" s="89" t="str">
        <f ca="1"/>
        <v/>
      </c>
    </row>
    <row r="3637" spans="1:7" x14ac:dyDescent="0.3">
      <c r="A3637" s="89" t="str">
        <v/>
      </c>
      <c r="B3637" s="89" t="str">
        <v>Equipo de Proteccion Personal (PPE)</v>
      </c>
      <c r="C3637" s="90" t="str">
        <v/>
      </c>
      <c r="D3637" s="89" t="str">
        <v>Periódica</v>
      </c>
      <c r="E3637" s="89">
        <v>365</v>
      </c>
      <c r="F3637" s="89" t="str">
        <v/>
      </c>
      <c r="G3637" s="89" t="str">
        <f ca="1"/>
        <v/>
      </c>
    </row>
    <row r="3638" spans="1:7" x14ac:dyDescent="0.3">
      <c r="A3638" s="89" t="str">
        <v/>
      </c>
      <c r="B3638" s="89" t="str">
        <v>Proteccion Respiratoria</v>
      </c>
      <c r="C3638" s="90" t="str">
        <v/>
      </c>
      <c r="D3638" s="89" t="str">
        <v>Periódica</v>
      </c>
      <c r="E3638" s="89">
        <v>365</v>
      </c>
      <c r="F3638" s="89" t="str">
        <v/>
      </c>
      <c r="G3638" s="89" t="str">
        <f ca="1"/>
        <v/>
      </c>
    </row>
    <row r="3639" spans="1:7" x14ac:dyDescent="0.3">
      <c r="A3639" s="89" t="str">
        <v/>
      </c>
      <c r="B3639" s="89" t="str">
        <v xml:space="preserve">Seguridad con Escaleras </v>
      </c>
      <c r="C3639" s="90" t="str">
        <v/>
      </c>
      <c r="D3639" s="89" t="str">
        <v>Periódica</v>
      </c>
      <c r="E3639" s="89">
        <v>365</v>
      </c>
      <c r="F3639" s="89" t="str">
        <v/>
      </c>
      <c r="G3639" s="89" t="str">
        <f ca="1"/>
        <v/>
      </c>
    </row>
    <row r="3640" spans="1:7" x14ac:dyDescent="0.3">
      <c r="A3640" s="89" t="str">
        <v/>
      </c>
      <c r="B3640" s="89" t="str">
        <v>Seguridad con Escaleras // Estantes de Almacenamiento</v>
      </c>
      <c r="C3640" s="90" t="str">
        <v/>
      </c>
      <c r="D3640" s="89" t="str">
        <v>Periódica</v>
      </c>
      <c r="E3640" s="89">
        <v>365</v>
      </c>
      <c r="F3640" s="89" t="str">
        <v/>
      </c>
      <c r="G3640" s="89" t="str">
        <f ca="1"/>
        <v/>
      </c>
    </row>
    <row r="3641" spans="1:7" x14ac:dyDescent="0.3">
      <c r="A3641" s="89" t="str">
        <v/>
      </c>
      <c r="B3641" s="89" t="str">
        <v>Responsabilidades del Supervisor</v>
      </c>
      <c r="C3641" s="90" t="str">
        <v/>
      </c>
      <c r="D3641" s="89" t="str">
        <v>Periódica</v>
      </c>
      <c r="E3641" s="89">
        <v>365</v>
      </c>
      <c r="F3641" s="89" t="str">
        <v/>
      </c>
      <c r="G3641" s="89" t="str">
        <f ca="1"/>
        <v/>
      </c>
    </row>
    <row r="3642" spans="1:7" x14ac:dyDescent="0.3">
      <c r="A3642" s="89" t="str">
        <v/>
      </c>
      <c r="B3642" s="89" t="str">
        <v>Espacios Confinados (Todos)</v>
      </c>
      <c r="C3642" s="90" t="str">
        <v/>
      </c>
      <c r="D3642" s="89" t="str">
        <v>Periódica</v>
      </c>
      <c r="E3642" s="89">
        <v>365</v>
      </c>
      <c r="F3642" s="89" t="str">
        <v/>
      </c>
      <c r="G3642" s="89" t="str">
        <f ca="1"/>
        <v/>
      </c>
    </row>
    <row r="3643" spans="1:7" x14ac:dyDescent="0.3">
      <c r="A3643" s="89" t="str">
        <v/>
      </c>
      <c r="B3643" s="89" t="str">
        <v>HSMS.017 / Espacios Confinados (Entrantes)</v>
      </c>
      <c r="C3643" s="90" t="str">
        <v/>
      </c>
      <c r="D3643" s="89" t="str">
        <v>Evento</v>
      </c>
      <c r="E3643" s="89">
        <v>0</v>
      </c>
      <c r="F3643" s="89" t="str">
        <v/>
      </c>
      <c r="G3643" s="89" t="str">
        <f ca="1"/>
        <v/>
      </c>
    </row>
    <row r="3644" spans="1:7" x14ac:dyDescent="0.3">
      <c r="A3644" s="89" t="str">
        <v/>
      </c>
      <c r="B3644" s="89" t="str">
        <v>Programa de Agua (Todos)</v>
      </c>
      <c r="C3644" s="90" t="str">
        <v/>
      </c>
      <c r="D3644" s="89" t="str">
        <v>Evento</v>
      </c>
      <c r="E3644" s="89">
        <v>0</v>
      </c>
      <c r="F3644" s="89" t="str">
        <v/>
      </c>
      <c r="G3644" s="89" t="str">
        <f ca="1"/>
        <v/>
      </c>
    </row>
    <row r="3645" spans="1:7" x14ac:dyDescent="0.3">
      <c r="A3645" s="89" t="str">
        <v/>
      </c>
      <c r="B3645" s="89" t="str">
        <v>Programa de Agua (HSE)</v>
      </c>
      <c r="C3645" s="90" t="str">
        <v/>
      </c>
      <c r="D3645" s="89" t="str">
        <v>Evento</v>
      </c>
      <c r="E3645" s="89">
        <v>0</v>
      </c>
      <c r="F3645" s="89" t="str">
        <v/>
      </c>
      <c r="G3645" s="89" t="str">
        <f ca="1"/>
        <v/>
      </c>
    </row>
    <row r="3646" spans="1:7" x14ac:dyDescent="0.3">
      <c r="A3646" s="89" t="str">
        <v/>
      </c>
      <c r="B3646" s="89" t="str">
        <v>HIV/SIDA y otras enfermedades de transmisión sexual (ETS)</v>
      </c>
      <c r="C3646" s="90" t="str">
        <v/>
      </c>
      <c r="D3646" s="89" t="str">
        <v>Periódica</v>
      </c>
      <c r="E3646" s="89">
        <v>365</v>
      </c>
      <c r="F3646" s="89" t="str">
        <v/>
      </c>
      <c r="G3646" s="89" t="str">
        <f ca="1"/>
        <v/>
      </c>
    </row>
    <row r="3647" spans="1:7" x14ac:dyDescent="0.3">
      <c r="A3647" s="89" t="str">
        <v/>
      </c>
      <c r="B3647" s="89" t="str">
        <v>Drogas de abuso (concientización y prevención)</v>
      </c>
      <c r="C3647" s="90" t="str">
        <v/>
      </c>
      <c r="D3647" s="89" t="str">
        <v>Periódica</v>
      </c>
      <c r="E3647" s="89">
        <v>365</v>
      </c>
      <c r="F3647" s="89" t="str">
        <v/>
      </c>
      <c r="G3647" s="89" t="str">
        <f ca="1"/>
        <v/>
      </c>
    </row>
    <row r="3648" spans="1:7" x14ac:dyDescent="0.3">
      <c r="A3648" s="89" t="str">
        <v/>
      </c>
      <c r="B3648" s="89" t="str">
        <v>Vida saludable (hábitos, autocuidado y bienestar)</v>
      </c>
      <c r="C3648" s="90" t="str">
        <v/>
      </c>
      <c r="D3648" s="89" t="str">
        <v>Periódica</v>
      </c>
      <c r="E3648" s="89">
        <v>365</v>
      </c>
      <c r="F3648" s="89" t="str">
        <v/>
      </c>
      <c r="G3648" s="89" t="str">
        <f ca="1"/>
        <v/>
      </c>
    </row>
    <row r="3649" spans="1:7" x14ac:dyDescent="0.3">
      <c r="A3649" s="89" t="str">
        <v/>
      </c>
      <c r="B3649" s="89" t="str">
        <v>Primeros auxilios y Reanimación Cardio Pulmonar (RCP)</v>
      </c>
      <c r="C3649" s="90" t="str">
        <v/>
      </c>
      <c r="D3649" s="89" t="str">
        <v>Periódica</v>
      </c>
      <c r="E3649" s="89">
        <v>365</v>
      </c>
      <c r="F3649" s="89" t="str">
        <v/>
      </c>
      <c r="G3649" s="89" t="str">
        <f ca="1"/>
        <v/>
      </c>
    </row>
    <row r="3650" spans="1:7" x14ac:dyDescent="0.3">
      <c r="A3650" s="89" t="str">
        <v/>
      </c>
      <c r="B3650" s="89" t="str">
        <v>Prevención cardiovascular (factores de riesgo y señales de alarma)</v>
      </c>
      <c r="C3650" s="90" t="str">
        <v/>
      </c>
      <c r="D3650" s="89" t="str">
        <v>Periódica</v>
      </c>
      <c r="E3650" s="89">
        <v>365</v>
      </c>
      <c r="F3650" s="89" t="str">
        <v/>
      </c>
      <c r="G3650" s="89" t="str">
        <f ca="1"/>
        <v/>
      </c>
    </row>
    <row r="3651" spans="1:7" x14ac:dyDescent="0.3">
      <c r="A3651" s="89" t="str">
        <v/>
      </c>
      <c r="B3651" s="89" t="str">
        <v>Efectos del tabaco sobre la salud</v>
      </c>
      <c r="C3651" s="90" t="str">
        <v/>
      </c>
      <c r="D3651" s="89" t="str">
        <v>Periódica</v>
      </c>
      <c r="E3651" s="89">
        <v>365</v>
      </c>
      <c r="F3651" s="89" t="str">
        <v/>
      </c>
      <c r="G3651" s="89" t="str">
        <f ca="1"/>
        <v/>
      </c>
    </row>
    <row r="3652" spans="1:7" x14ac:dyDescent="0.3">
      <c r="A3652" s="89" t="str">
        <v/>
      </c>
      <c r="B3652" s="89" t="str">
        <v>Cargadora (Op. Montacargas)</v>
      </c>
      <c r="C3652" s="90" t="str">
        <v/>
      </c>
      <c r="D3652" s="89" t="str">
        <v>Periódica</v>
      </c>
      <c r="E3652" s="89">
        <v>365</v>
      </c>
      <c r="F3652" s="89" t="str">
        <v/>
      </c>
      <c r="G3652" s="89" t="str">
        <f ca="1"/>
        <v/>
      </c>
    </row>
    <row r="3653" spans="1:7" x14ac:dyDescent="0.3">
      <c r="A3653" s="89" t="str">
        <v/>
      </c>
      <c r="B3653" s="89">
        <v>0</v>
      </c>
      <c r="C3653" s="90" t="str">
        <v/>
      </c>
      <c r="D3653" s="89" t="str">
        <v/>
      </c>
      <c r="E3653" s="89" t="str">
        <v/>
      </c>
      <c r="F3653" s="89" t="str">
        <v/>
      </c>
      <c r="G3653" s="89" t="str">
        <f ca="1"/>
        <v/>
      </c>
    </row>
    <row r="3654" spans="1:7" x14ac:dyDescent="0.3">
      <c r="A3654" s="89" t="str">
        <v/>
      </c>
      <c r="B3654" s="89">
        <v>0</v>
      </c>
      <c r="C3654" s="90" t="str">
        <v/>
      </c>
      <c r="D3654" s="89" t="str">
        <v/>
      </c>
      <c r="E3654" s="89" t="str">
        <v/>
      </c>
      <c r="F3654" s="89" t="str">
        <v/>
      </c>
      <c r="G3654" s="89" t="str">
        <f ca="1"/>
        <v/>
      </c>
    </row>
    <row r="3655" spans="1:7" x14ac:dyDescent="0.3">
      <c r="A3655" s="89" t="str">
        <v/>
      </c>
      <c r="B3655" s="89">
        <v>0</v>
      </c>
      <c r="C3655" s="90" t="str">
        <v/>
      </c>
      <c r="D3655" s="89" t="str">
        <v/>
      </c>
      <c r="E3655" s="89" t="str">
        <v/>
      </c>
      <c r="F3655" s="89" t="str">
        <v/>
      </c>
      <c r="G3655" s="89" t="str">
        <f ca="1"/>
        <v/>
      </c>
    </row>
    <row r="3656" spans="1:7" x14ac:dyDescent="0.3">
      <c r="A3656" s="89" t="str">
        <v/>
      </c>
      <c r="B3656" s="89">
        <v>0</v>
      </c>
      <c r="C3656" s="90" t="str">
        <v/>
      </c>
      <c r="D3656" s="89" t="str">
        <v/>
      </c>
      <c r="E3656" s="89" t="str">
        <v/>
      </c>
      <c r="F3656" s="89" t="str">
        <v/>
      </c>
      <c r="G3656" s="89" t="str">
        <f ca="1"/>
        <v/>
      </c>
    </row>
    <row r="3657" spans="1:7" x14ac:dyDescent="0.3">
      <c r="A3657" s="89" t="str">
        <v/>
      </c>
      <c r="B3657" s="89">
        <v>0</v>
      </c>
      <c r="C3657" s="90" t="str">
        <v/>
      </c>
      <c r="D3657" s="89" t="str">
        <v/>
      </c>
      <c r="E3657" s="89" t="str">
        <v/>
      </c>
      <c r="F3657" s="89" t="str">
        <v/>
      </c>
      <c r="G3657" s="89" t="str">
        <f ca="1"/>
        <v/>
      </c>
    </row>
    <row r="3658" spans="1:7" x14ac:dyDescent="0.3">
      <c r="A3658" s="89" t="str">
        <v/>
      </c>
      <c r="B3658" s="89">
        <v>0</v>
      </c>
      <c r="C3658" s="90" t="str">
        <v/>
      </c>
      <c r="D3658" s="89" t="str">
        <v/>
      </c>
      <c r="E3658" s="89" t="str">
        <v/>
      </c>
      <c r="F3658" s="89" t="str">
        <v/>
      </c>
      <c r="G3658" s="89" t="str">
        <f ca="1"/>
        <v/>
      </c>
    </row>
    <row r="3659" spans="1:7" x14ac:dyDescent="0.3">
      <c r="A3659" s="89" t="str">
        <v/>
      </c>
      <c r="B3659" s="89">
        <v>0</v>
      </c>
      <c r="C3659" s="90" t="str">
        <v/>
      </c>
      <c r="D3659" s="89" t="str">
        <v/>
      </c>
      <c r="E3659" s="89" t="str">
        <v/>
      </c>
      <c r="F3659" s="89" t="str">
        <v/>
      </c>
      <c r="G3659" s="89" t="str">
        <f ca="1"/>
        <v/>
      </c>
    </row>
    <row r="3660" spans="1:7" x14ac:dyDescent="0.3">
      <c r="A3660" s="89" t="str">
        <v/>
      </c>
      <c r="B3660" s="89">
        <v>0</v>
      </c>
      <c r="C3660" s="90" t="str">
        <v/>
      </c>
      <c r="D3660" s="89" t="str">
        <v/>
      </c>
      <c r="E3660" s="89" t="str">
        <v/>
      </c>
      <c r="F3660" s="89" t="str">
        <v/>
      </c>
      <c r="G3660" s="89" t="str">
        <f ca="1"/>
        <v/>
      </c>
    </row>
    <row r="3661" spans="1:7" x14ac:dyDescent="0.3">
      <c r="A3661" s="89" t="str">
        <v/>
      </c>
      <c r="B3661" s="89">
        <v>0</v>
      </c>
      <c r="C3661" s="90" t="str">
        <v/>
      </c>
      <c r="D3661" s="89" t="str">
        <v/>
      </c>
      <c r="E3661" s="89" t="str">
        <v/>
      </c>
      <c r="F3661" s="89" t="str">
        <v/>
      </c>
      <c r="G3661" s="89" t="str">
        <f ca="1"/>
        <v/>
      </c>
    </row>
    <row r="3662" spans="1:7" x14ac:dyDescent="0.3">
      <c r="A3662" s="89" t="str">
        <v/>
      </c>
      <c r="B3662" s="89" t="str">
        <v>Programa de Aire</v>
      </c>
      <c r="C3662" s="90" t="str">
        <v/>
      </c>
      <c r="D3662" s="89" t="str">
        <v>Evento</v>
      </c>
      <c r="E3662" s="89">
        <v>0</v>
      </c>
      <c r="F3662" s="89" t="str">
        <v/>
      </c>
      <c r="G3662" s="89" t="str">
        <f ca="1"/>
        <v/>
      </c>
    </row>
    <row r="3663" spans="1:7" x14ac:dyDescent="0.3">
      <c r="A3663" s="89" t="str">
        <v/>
      </c>
      <c r="B3663" s="89" t="str">
        <v>Conciencia Ambiental</v>
      </c>
      <c r="C3663" s="90" t="str">
        <v/>
      </c>
      <c r="D3663" s="89" t="str">
        <v>Periódica</v>
      </c>
      <c r="E3663" s="89">
        <v>365</v>
      </c>
      <c r="F3663" s="89" t="str">
        <v/>
      </c>
      <c r="G3663" s="89" t="str">
        <f ca="1"/>
        <v/>
      </c>
    </row>
    <row r="3664" spans="1:7" x14ac:dyDescent="0.3">
      <c r="A3664" s="89" t="str">
        <v/>
      </c>
      <c r="B3664" s="89" t="str">
        <v xml:space="preserve">Control de Documentos e Informacion de HSE </v>
      </c>
      <c r="C3664" s="90" t="str">
        <v/>
      </c>
      <c r="D3664" s="89" t="str">
        <v>Evento</v>
      </c>
      <c r="E3664" s="89">
        <v>0</v>
      </c>
      <c r="F3664" s="89" t="str">
        <v/>
      </c>
      <c r="G3664" s="89" t="str">
        <f ca="1"/>
        <v/>
      </c>
    </row>
    <row r="3665" spans="1:7" x14ac:dyDescent="0.3">
      <c r="A3665" s="89" t="str">
        <v/>
      </c>
      <c r="B3665" s="89" t="str">
        <v xml:space="preserve"> Acciones Correctivas y Preventivas (CAPA)</v>
      </c>
      <c r="C3665" s="90" t="str">
        <v/>
      </c>
      <c r="D3665" s="89" t="str">
        <v>Evento</v>
      </c>
      <c r="E3665" s="89">
        <v>0</v>
      </c>
      <c r="F3665" s="89" t="str">
        <v/>
      </c>
      <c r="G3665" s="89" t="str">
        <f ca="1"/>
        <v/>
      </c>
    </row>
    <row r="3666" spans="1:7" x14ac:dyDescent="0.3">
      <c r="A3666" s="89" t="str">
        <v/>
      </c>
      <c r="B3666" s="89" t="str">
        <v>Seguridad Basada en el Comportamiento (Observation Program) // HSMS.043 / Autoridad de Detener el Trabajo</v>
      </c>
      <c r="C3666" s="90" t="str">
        <v/>
      </c>
      <c r="D3666" s="89" t="str">
        <v>Periódica</v>
      </c>
      <c r="E3666" s="89">
        <v>365</v>
      </c>
      <c r="F3666" s="89" t="str">
        <v/>
      </c>
      <c r="G3666" s="89" t="str">
        <f ca="1"/>
        <v/>
      </c>
    </row>
    <row r="3667" spans="1:7" x14ac:dyDescent="0.3">
      <c r="A3667" s="89" t="str">
        <v/>
      </c>
      <c r="B3667" s="89" t="str">
        <v>Identificacion de Peligros y Evaluacion de Riesgos</v>
      </c>
      <c r="C3667" s="90" t="str">
        <v/>
      </c>
      <c r="D3667" s="89" t="str">
        <v>Evento</v>
      </c>
      <c r="E3667" s="89">
        <v>0</v>
      </c>
      <c r="F3667" s="89" t="str">
        <v/>
      </c>
      <c r="G3667" s="89" t="str">
        <f ca="1"/>
        <v/>
      </c>
    </row>
    <row r="3668" spans="1:7" x14ac:dyDescent="0.3">
      <c r="A3668" s="89" t="str">
        <v/>
      </c>
      <c r="B3668" s="89" t="str">
        <v xml:space="preserve"> Plan de Respuesta ante Eemergencias / HSMS.010 /Primeros Axulios &amp; RCP/DEA / HSMSWT-002 / Patogenos Trasnmitidos por la Sangre</v>
      </c>
      <c r="C3668" s="90" t="str">
        <v/>
      </c>
      <c r="D3668" s="89" t="str">
        <v>Periódica</v>
      </c>
      <c r="E3668" s="89">
        <v>365</v>
      </c>
      <c r="F3668" s="89" t="str">
        <v/>
      </c>
      <c r="G3668" s="89" t="str">
        <f ca="1"/>
        <v/>
      </c>
    </row>
    <row r="3669" spans="1:7" x14ac:dyDescent="0.3">
      <c r="A3669" s="89" t="str">
        <v/>
      </c>
      <c r="B3669" s="89" t="str">
        <v>Reporte y Gestion de Incidentes HSE (Todos)</v>
      </c>
      <c r="C3669" s="90" t="str">
        <v/>
      </c>
      <c r="D3669" s="89" t="str">
        <v>Periódica</v>
      </c>
      <c r="E3669" s="89">
        <v>365</v>
      </c>
      <c r="F3669" s="89" t="str">
        <v/>
      </c>
      <c r="G3669" s="89" t="str">
        <f ca="1"/>
        <v/>
      </c>
    </row>
    <row r="3670" spans="1:7" x14ac:dyDescent="0.3">
      <c r="A3670" s="89" t="str">
        <v/>
      </c>
      <c r="B3670" s="89" t="str">
        <v>Reporte, Gestion e Investigacion de Incidentes HSE (supervisores / investigadores (rol))</v>
      </c>
      <c r="C3670" s="90" t="str">
        <v/>
      </c>
      <c r="D3670" s="89" t="str">
        <v>Periódica</v>
      </c>
      <c r="E3670" s="89">
        <v>1095</v>
      </c>
      <c r="F3670" s="89" t="str">
        <v/>
      </c>
      <c r="G3670" s="89" t="str">
        <f ca="1"/>
        <v/>
      </c>
    </row>
    <row r="3671" spans="1:7" x14ac:dyDescent="0.3">
      <c r="A3671" s="89" t="str">
        <v/>
      </c>
      <c r="B3671" s="89" t="str">
        <v>Gruas y Equipos de Izaje (Todos)</v>
      </c>
      <c r="C3671" s="90" t="str">
        <v/>
      </c>
      <c r="D3671" s="89" t="str">
        <v>Periódica</v>
      </c>
      <c r="E3671" s="89">
        <v>365</v>
      </c>
      <c r="F3671" s="89" t="str">
        <v/>
      </c>
      <c r="G3671" s="89" t="str">
        <f ca="1"/>
        <v/>
      </c>
    </row>
    <row r="3672" spans="1:7" x14ac:dyDescent="0.3">
      <c r="A3672" s="89" t="str">
        <v/>
      </c>
      <c r="B3672" s="89" t="str">
        <v>HSMS.007 / Gruas y Equipos de Izaje (Operadores)</v>
      </c>
      <c r="C3672" s="90" t="str">
        <v/>
      </c>
      <c r="D3672" s="89" t="str">
        <v>Periódica</v>
      </c>
      <c r="E3672" s="89">
        <v>365</v>
      </c>
      <c r="F3672" s="89" t="str">
        <v/>
      </c>
      <c r="G3672" s="89" t="str">
        <f ca="1"/>
        <v/>
      </c>
    </row>
    <row r="3673" spans="1:7" x14ac:dyDescent="0.3">
      <c r="A3673" s="89" t="str">
        <v/>
      </c>
      <c r="B3673" s="89" t="str">
        <v>Proteccion Contra Incendios (Todos)</v>
      </c>
      <c r="C3673" s="90" t="str">
        <v/>
      </c>
      <c r="D3673" s="89" t="str">
        <v>Periódica</v>
      </c>
      <c r="E3673" s="89">
        <v>365</v>
      </c>
      <c r="F3673" s="89" t="str">
        <v/>
      </c>
      <c r="G3673" s="89" t="str">
        <f ca="1"/>
        <v/>
      </c>
    </row>
    <row r="3674" spans="1:7" x14ac:dyDescent="0.3">
      <c r="A3674" s="89" t="str">
        <v/>
      </c>
      <c r="B3674" s="89" t="str">
        <v>Proteccion Contra Incendios (Brigadistas)</v>
      </c>
      <c r="C3674" s="90" t="str">
        <v/>
      </c>
      <c r="D3674" s="89" t="str">
        <v>Periódica</v>
      </c>
      <c r="E3674" s="89">
        <v>365</v>
      </c>
      <c r="F3674" s="89" t="str">
        <v/>
      </c>
      <c r="G3674" s="89" t="str">
        <f ca="1"/>
        <v/>
      </c>
    </row>
    <row r="3675" spans="1:7" x14ac:dyDescent="0.3">
      <c r="A3675" s="89" t="str">
        <v/>
      </c>
      <c r="B3675" s="89" t="str">
        <v>Primeros Auxilios (Brigadistas)</v>
      </c>
      <c r="C3675" s="90" t="str">
        <v/>
      </c>
      <c r="D3675" s="89" t="str">
        <v>Periódica</v>
      </c>
      <c r="E3675" s="89">
        <v>365</v>
      </c>
      <c r="F3675" s="89" t="str">
        <v/>
      </c>
      <c r="G3675" s="89" t="str">
        <f ca="1"/>
        <v/>
      </c>
    </row>
    <row r="3676" spans="1:7" x14ac:dyDescent="0.3">
      <c r="A3676" s="89" t="str">
        <v/>
      </c>
      <c r="B3676" s="89" t="str">
        <v>Seguridad Electrica (Todos)</v>
      </c>
      <c r="C3676" s="90" t="str">
        <v/>
      </c>
      <c r="D3676" s="89" t="str">
        <v>Periódica</v>
      </c>
      <c r="E3676" s="89">
        <v>365</v>
      </c>
      <c r="F3676" s="89" t="str">
        <v/>
      </c>
      <c r="G3676" s="89" t="str">
        <f ca="1"/>
        <v/>
      </c>
    </row>
    <row r="3677" spans="1:7" x14ac:dyDescent="0.3">
      <c r="A3677" s="89" t="str">
        <v/>
      </c>
      <c r="B3677" s="89" t="str">
        <v>Seguridad Electrica (Personal Autorizado)</v>
      </c>
      <c r="C3677" s="90" t="str">
        <v/>
      </c>
      <c r="D3677" s="89" t="str">
        <v>Periódica</v>
      </c>
      <c r="E3677" s="89">
        <v>1095</v>
      </c>
      <c r="F3677" s="89" t="str">
        <v/>
      </c>
      <c r="G3677" s="89" t="str">
        <f ca="1"/>
        <v/>
      </c>
    </row>
    <row r="3678" spans="1:7" x14ac:dyDescent="0.3">
      <c r="A3678" s="89" t="str">
        <v/>
      </c>
      <c r="B3678" s="89" t="str">
        <v>Camiones Industriales Motorizados (PIT) (Todos)</v>
      </c>
      <c r="C3678" s="90" t="str">
        <v/>
      </c>
      <c r="D3678" s="89" t="str">
        <v>Periódica</v>
      </c>
      <c r="E3678" s="89">
        <v>365</v>
      </c>
      <c r="F3678" s="89" t="str">
        <v/>
      </c>
      <c r="G3678" s="89" t="str">
        <f ca="1"/>
        <v/>
      </c>
    </row>
    <row r="3679" spans="1:7" x14ac:dyDescent="0.3">
      <c r="A3679" s="89" t="str">
        <v/>
      </c>
      <c r="B3679" s="89" t="str">
        <v>Camiones Industriales Motorizados (PIT) (Op. Montacargas)</v>
      </c>
      <c r="C3679" s="90" t="str">
        <v/>
      </c>
      <c r="D3679" s="89" t="str">
        <v>Periódica</v>
      </c>
      <c r="E3679" s="89">
        <v>365</v>
      </c>
      <c r="F3679" s="89" t="str">
        <v/>
      </c>
      <c r="G3679" s="89" t="str">
        <f ca="1"/>
        <v/>
      </c>
    </row>
    <row r="3680" spans="1:7" x14ac:dyDescent="0.3">
      <c r="A3680" s="89" t="str">
        <v/>
      </c>
      <c r="B3680" s="89" t="str">
        <v>Control de Energias Peligrosas (LOTO) (Todos)</v>
      </c>
      <c r="C3680" s="90" t="str">
        <v/>
      </c>
      <c r="D3680" s="89" t="str">
        <v>Evento</v>
      </c>
      <c r="E3680" s="89">
        <v>0</v>
      </c>
      <c r="F3680" s="89" t="str">
        <v/>
      </c>
      <c r="G3680" s="89" t="str">
        <f ca="1"/>
        <v/>
      </c>
    </row>
    <row r="3681" spans="1:7" x14ac:dyDescent="0.3">
      <c r="A3681" s="89" t="str">
        <v/>
      </c>
      <c r="B3681" s="89" t="str">
        <v>Control de Energias Peligrosas (LOTO) (Empleados Autorizados)</v>
      </c>
      <c r="C3681" s="90" t="str">
        <v/>
      </c>
      <c r="D3681" s="89" t="str">
        <v>Periódica</v>
      </c>
      <c r="E3681" s="89">
        <v>365</v>
      </c>
      <c r="F3681" s="89" t="str">
        <v/>
      </c>
      <c r="G3681" s="89" t="str">
        <f ca="1"/>
        <v/>
      </c>
    </row>
    <row r="3682" spans="1:7" x14ac:dyDescent="0.3">
      <c r="A3682" s="89" t="str">
        <v/>
      </c>
      <c r="B3682" s="89" t="str">
        <v>Seguridad aplicada al Pozo &amp; Yacimiento</v>
      </c>
      <c r="C3682" s="90" t="str">
        <v/>
      </c>
      <c r="D3682" s="89" t="str">
        <v>Periódica</v>
      </c>
      <c r="E3682" s="89">
        <v>365</v>
      </c>
      <c r="F3682" s="89" t="str">
        <v/>
      </c>
      <c r="G3682" s="89" t="str">
        <f ca="1"/>
        <v/>
      </c>
    </row>
    <row r="3683" spans="1:7" x14ac:dyDescent="0.3">
      <c r="A3683" s="89" t="str">
        <v/>
      </c>
      <c r="B3683" s="89" t="str">
        <v>Las Reglas que Salvan Vidas</v>
      </c>
      <c r="C3683" s="90" t="str">
        <v/>
      </c>
      <c r="D3683" s="89" t="str">
        <v>Periódica</v>
      </c>
      <c r="E3683" s="89">
        <v>365</v>
      </c>
      <c r="F3683" s="89" t="str">
        <v/>
      </c>
      <c r="G3683" s="89" t="str">
        <f ca="1"/>
        <v/>
      </c>
    </row>
    <row r="3684" spans="1:7" x14ac:dyDescent="0.3">
      <c r="A3684" s="89" t="str">
        <v/>
      </c>
      <c r="B3684" s="89" t="str">
        <v xml:space="preserve">Resguardo de Maquinas &amp; Equipos </v>
      </c>
      <c r="C3684" s="90" t="str">
        <v/>
      </c>
      <c r="D3684" s="89" t="str">
        <v>Periódica</v>
      </c>
      <c r="E3684" s="89">
        <v>365</v>
      </c>
      <c r="F3684" s="89" t="str">
        <v/>
      </c>
      <c r="G3684" s="89" t="str">
        <f ca="1"/>
        <v/>
      </c>
    </row>
    <row r="3685" spans="1:7" x14ac:dyDescent="0.3">
      <c r="A3685" s="89" t="str">
        <v/>
      </c>
      <c r="B3685" s="89" t="str">
        <v>Conduccion y Gestion de Viajes (Todos)</v>
      </c>
      <c r="C3685" s="90" t="str">
        <v/>
      </c>
      <c r="D3685" s="89" t="str">
        <v>Periódica</v>
      </c>
      <c r="E3685" s="89">
        <v>730</v>
      </c>
      <c r="F3685" s="89" t="str">
        <v/>
      </c>
      <c r="G3685" s="89" t="str">
        <f ca="1"/>
        <v/>
      </c>
    </row>
    <row r="3686" spans="1:7" x14ac:dyDescent="0.3">
      <c r="A3686" s="89" t="str">
        <v/>
      </c>
      <c r="B3686" s="89" t="str">
        <v>Conduccion y Gestion de Viajes (Conductores)</v>
      </c>
      <c r="C3686" s="90" t="str">
        <v/>
      </c>
      <c r="D3686" s="89" t="str">
        <v>Periódica</v>
      </c>
      <c r="E3686" s="89">
        <v>1095</v>
      </c>
      <c r="F3686" s="89" t="str">
        <v/>
      </c>
      <c r="G3686" s="89" t="str">
        <f ca="1"/>
        <v/>
      </c>
    </row>
    <row r="3687" spans="1:7" x14ac:dyDescent="0.3">
      <c r="A3687" s="89" t="str">
        <v/>
      </c>
      <c r="B3687" s="89" t="str">
        <v>Patogenos Transmitidos por la Sangre</v>
      </c>
      <c r="C3687" s="90" t="str">
        <v/>
      </c>
      <c r="D3687" s="89" t="str">
        <v>Periódica</v>
      </c>
      <c r="E3687" s="89">
        <v>365</v>
      </c>
      <c r="F3687" s="89" t="str">
        <v/>
      </c>
      <c r="G3687" s="89" t="str">
        <f ca="1"/>
        <v/>
      </c>
    </row>
    <row r="3688" spans="1:7" x14ac:dyDescent="0.3">
      <c r="A3688" s="89" t="str">
        <v/>
      </c>
      <c r="B3688" s="89" t="str">
        <v>Conservacion Auditiva</v>
      </c>
      <c r="C3688" s="90" t="str">
        <v/>
      </c>
      <c r="D3688" s="89" t="str">
        <v>Periódica</v>
      </c>
      <c r="E3688" s="89">
        <v>365</v>
      </c>
      <c r="F3688" s="89" t="str">
        <v/>
      </c>
      <c r="G3688" s="89" t="str">
        <f ca="1"/>
        <v/>
      </c>
    </row>
    <row r="3689" spans="1:7" x14ac:dyDescent="0.3">
      <c r="A3689" s="89" t="str">
        <v/>
      </c>
      <c r="B3689" s="89" t="str">
        <v xml:space="preserve">Ergonomia //  / Levantamiento &amp; Seguridad en la Espalda </v>
      </c>
      <c r="C3689" s="90" t="str">
        <v/>
      </c>
      <c r="D3689" s="89" t="str">
        <v>Periódica</v>
      </c>
      <c r="E3689" s="89">
        <v>365</v>
      </c>
      <c r="F3689" s="89" t="str">
        <v/>
      </c>
      <c r="G3689" s="89" t="str">
        <f ca="1"/>
        <v/>
      </c>
    </row>
    <row r="3690" spans="1:7" x14ac:dyDescent="0.3">
      <c r="A3690" s="89" t="str">
        <v/>
      </c>
      <c r="B3690" s="89" t="str">
        <v>Superficies Elevadas (Todos)</v>
      </c>
      <c r="C3690" s="90" t="str">
        <v/>
      </c>
      <c r="D3690" s="89" t="str">
        <v>Periódica</v>
      </c>
      <c r="E3690" s="89">
        <v>365</v>
      </c>
      <c r="F3690" s="89" t="str">
        <v/>
      </c>
      <c r="G3690" s="89" t="str">
        <f ca="1"/>
        <v/>
      </c>
    </row>
    <row r="3691" spans="1:7" x14ac:dyDescent="0.3">
      <c r="A3691" s="89" t="str">
        <v/>
      </c>
      <c r="B3691" s="89" t="str">
        <v>Superficies Elevadas (Personal Habilitado)</v>
      </c>
      <c r="C3691" s="90" t="str">
        <v/>
      </c>
      <c r="D3691" s="89" t="str">
        <v>Periódica</v>
      </c>
      <c r="E3691" s="89">
        <v>365</v>
      </c>
      <c r="F3691" s="89" t="str">
        <v/>
      </c>
      <c r="G3691" s="89" t="str">
        <f ca="1"/>
        <v/>
      </c>
    </row>
    <row r="3692" spans="1:7" x14ac:dyDescent="0.3">
      <c r="A3692" s="89" t="str">
        <v/>
      </c>
      <c r="B3692" s="89" t="str">
        <v>Seguridad Quimica (Todos)</v>
      </c>
      <c r="C3692" s="90" t="str">
        <v/>
      </c>
      <c r="D3692" s="89" t="str">
        <v>Periódica</v>
      </c>
      <c r="E3692" s="89">
        <v>730</v>
      </c>
      <c r="F3692" s="89" t="str">
        <v/>
      </c>
      <c r="G3692" s="89" t="str">
        <f ca="1"/>
        <v/>
      </c>
    </row>
    <row r="3693" spans="1:7" x14ac:dyDescent="0.3">
      <c r="A3693" s="89" t="str">
        <v/>
      </c>
      <c r="B3693" s="89" t="str">
        <v>Seguridad Quimica (Mantenimiento)</v>
      </c>
      <c r="C3693" s="90" t="str">
        <v/>
      </c>
      <c r="D3693" s="89" t="str">
        <v>Periódica</v>
      </c>
      <c r="E3693" s="89">
        <v>365</v>
      </c>
      <c r="F3693" s="89" t="str">
        <v/>
      </c>
      <c r="G3693" s="89" t="str">
        <f ca="1"/>
        <v/>
      </c>
    </row>
    <row r="3694" spans="1:7" x14ac:dyDescent="0.3">
      <c r="A3694" s="89" t="str">
        <v/>
      </c>
      <c r="B3694" s="89" t="str">
        <v>Seguridad Quimica (Contratistas)</v>
      </c>
      <c r="C3694" s="90" t="str">
        <v/>
      </c>
      <c r="D3694" s="89" t="str">
        <v>Periódica</v>
      </c>
      <c r="E3694" s="89">
        <v>365</v>
      </c>
      <c r="F3694" s="89" t="str">
        <v/>
      </c>
      <c r="G3694" s="89" t="str">
        <f ca="1"/>
        <v/>
      </c>
    </row>
    <row r="3695" spans="1:7" x14ac:dyDescent="0.3">
      <c r="A3695" s="89" t="str">
        <v/>
      </c>
      <c r="B3695" s="89" t="str">
        <v>Seguridad para Trabajos en Caliente</v>
      </c>
      <c r="C3695" s="90" t="str">
        <v/>
      </c>
      <c r="D3695" s="89" t="str">
        <v>Periódica</v>
      </c>
      <c r="E3695" s="89">
        <v>365</v>
      </c>
      <c r="F3695" s="89" t="str">
        <v/>
      </c>
      <c r="G3695" s="89" t="str">
        <f ca="1"/>
        <v/>
      </c>
    </row>
    <row r="3696" spans="1:7" x14ac:dyDescent="0.3">
      <c r="A3696" s="89" t="str">
        <v/>
      </c>
      <c r="B3696" s="89" t="str">
        <v>Seguridad con la Radiacion</v>
      </c>
      <c r="C3696" s="90" t="str">
        <v/>
      </c>
      <c r="D3696" s="89" t="str">
        <v>Periódica</v>
      </c>
      <c r="E3696" s="89">
        <v>365</v>
      </c>
      <c r="F3696" s="89" t="str">
        <v/>
      </c>
      <c r="G3696" s="89" t="str">
        <f ca="1"/>
        <v/>
      </c>
    </row>
    <row r="3697" spans="1:7" x14ac:dyDescent="0.3">
      <c r="A3697" s="89" t="str">
        <v/>
      </c>
      <c r="B3697" s="89" t="str">
        <v>Equipo de Proteccion Personal (PPE)</v>
      </c>
      <c r="C3697" s="90" t="str">
        <v/>
      </c>
      <c r="D3697" s="89" t="str">
        <v>Periódica</v>
      </c>
      <c r="E3697" s="89">
        <v>365</v>
      </c>
      <c r="F3697" s="89" t="str">
        <v/>
      </c>
      <c r="G3697" s="89" t="str">
        <f ca="1"/>
        <v/>
      </c>
    </row>
    <row r="3698" spans="1:7" x14ac:dyDescent="0.3">
      <c r="A3698" s="89" t="str">
        <v/>
      </c>
      <c r="B3698" s="89" t="str">
        <v>Proteccion Respiratoria</v>
      </c>
      <c r="C3698" s="90" t="str">
        <v/>
      </c>
      <c r="D3698" s="89" t="str">
        <v>Periódica</v>
      </c>
      <c r="E3698" s="89">
        <v>365</v>
      </c>
      <c r="F3698" s="89" t="str">
        <v/>
      </c>
      <c r="G3698" s="89" t="str">
        <f ca="1"/>
        <v/>
      </c>
    </row>
    <row r="3699" spans="1:7" x14ac:dyDescent="0.3">
      <c r="A3699" s="89" t="str">
        <v/>
      </c>
      <c r="B3699" s="89" t="str">
        <v xml:space="preserve">Seguridad con Escaleras </v>
      </c>
      <c r="C3699" s="90" t="str">
        <v/>
      </c>
      <c r="D3699" s="89" t="str">
        <v>Periódica</v>
      </c>
      <c r="E3699" s="89">
        <v>365</v>
      </c>
      <c r="F3699" s="89" t="str">
        <v/>
      </c>
      <c r="G3699" s="89" t="str">
        <f ca="1"/>
        <v/>
      </c>
    </row>
    <row r="3700" spans="1:7" x14ac:dyDescent="0.3">
      <c r="A3700" s="89" t="str">
        <v/>
      </c>
      <c r="B3700" s="89" t="str">
        <v>Seguridad con Escaleras // Estantes de Almacenamiento</v>
      </c>
      <c r="C3700" s="90" t="str">
        <v/>
      </c>
      <c r="D3700" s="89" t="str">
        <v>Periódica</v>
      </c>
      <c r="E3700" s="89">
        <v>365</v>
      </c>
      <c r="F3700" s="89" t="str">
        <v/>
      </c>
      <c r="G3700" s="89" t="str">
        <f ca="1"/>
        <v/>
      </c>
    </row>
    <row r="3701" spans="1:7" x14ac:dyDescent="0.3">
      <c r="A3701" s="89" t="str">
        <v/>
      </c>
      <c r="B3701" s="89" t="str">
        <v>Responsabilidades del Supervisor</v>
      </c>
      <c r="C3701" s="90" t="str">
        <v/>
      </c>
      <c r="D3701" s="89" t="str">
        <v>Periódica</v>
      </c>
      <c r="E3701" s="89">
        <v>365</v>
      </c>
      <c r="F3701" s="89" t="str">
        <v/>
      </c>
      <c r="G3701" s="89" t="str">
        <f ca="1"/>
        <v/>
      </c>
    </row>
    <row r="3702" spans="1:7" x14ac:dyDescent="0.3">
      <c r="A3702" s="89" t="str">
        <v/>
      </c>
      <c r="B3702" s="89" t="str">
        <v>Espacios Confinados (Todos)</v>
      </c>
      <c r="C3702" s="90" t="str">
        <v/>
      </c>
      <c r="D3702" s="89" t="str">
        <v>Periódica</v>
      </c>
      <c r="E3702" s="89">
        <v>365</v>
      </c>
      <c r="F3702" s="89" t="str">
        <v/>
      </c>
      <c r="G3702" s="89" t="str">
        <f ca="1"/>
        <v/>
      </c>
    </row>
    <row r="3703" spans="1:7" x14ac:dyDescent="0.3">
      <c r="A3703" s="89" t="str">
        <v/>
      </c>
      <c r="B3703" s="89" t="str">
        <v>HSMS.017 / Espacios Confinados (Entrantes)</v>
      </c>
      <c r="C3703" s="90" t="str">
        <v/>
      </c>
      <c r="D3703" s="89" t="str">
        <v>Evento</v>
      </c>
      <c r="E3703" s="89">
        <v>0</v>
      </c>
      <c r="F3703" s="89" t="str">
        <v/>
      </c>
      <c r="G3703" s="89" t="str">
        <f ca="1"/>
        <v/>
      </c>
    </row>
    <row r="3704" spans="1:7" x14ac:dyDescent="0.3">
      <c r="A3704" s="89" t="str">
        <v/>
      </c>
      <c r="B3704" s="89" t="str">
        <v>Programa de Agua (Todos)</v>
      </c>
      <c r="C3704" s="90" t="str">
        <v/>
      </c>
      <c r="D3704" s="89" t="str">
        <v>Evento</v>
      </c>
      <c r="E3704" s="89">
        <v>0</v>
      </c>
      <c r="F3704" s="89" t="str">
        <v/>
      </c>
      <c r="G3704" s="89" t="str">
        <f ca="1"/>
        <v/>
      </c>
    </row>
    <row r="3705" spans="1:7" x14ac:dyDescent="0.3">
      <c r="A3705" s="89" t="str">
        <v/>
      </c>
      <c r="B3705" s="89" t="str">
        <v>Programa de Agua (HSE)</v>
      </c>
      <c r="C3705" s="90" t="str">
        <v/>
      </c>
      <c r="D3705" s="89" t="str">
        <v>Evento</v>
      </c>
      <c r="E3705" s="89">
        <v>0</v>
      </c>
      <c r="F3705" s="89" t="str">
        <v/>
      </c>
      <c r="G3705" s="89" t="str">
        <f ca="1"/>
        <v/>
      </c>
    </row>
    <row r="3706" spans="1:7" x14ac:dyDescent="0.3">
      <c r="A3706" s="89" t="str">
        <v/>
      </c>
      <c r="B3706" s="89" t="str">
        <v>HIV/SIDA y otras enfermedades de transmisión sexual (ETS)</v>
      </c>
      <c r="C3706" s="90" t="str">
        <v/>
      </c>
      <c r="D3706" s="89" t="str">
        <v>Periódica</v>
      </c>
      <c r="E3706" s="89">
        <v>365</v>
      </c>
      <c r="F3706" s="89" t="str">
        <v/>
      </c>
      <c r="G3706" s="89" t="str">
        <f ca="1"/>
        <v/>
      </c>
    </row>
    <row r="3707" spans="1:7" x14ac:dyDescent="0.3">
      <c r="A3707" s="89" t="str">
        <v/>
      </c>
      <c r="B3707" s="89" t="str">
        <v>Drogas de abuso (concientización y prevención)</v>
      </c>
      <c r="C3707" s="90" t="str">
        <v/>
      </c>
      <c r="D3707" s="89" t="str">
        <v>Periódica</v>
      </c>
      <c r="E3707" s="89">
        <v>365</v>
      </c>
      <c r="F3707" s="89" t="str">
        <v/>
      </c>
      <c r="G3707" s="89" t="str">
        <f ca="1"/>
        <v/>
      </c>
    </row>
    <row r="3708" spans="1:7" x14ac:dyDescent="0.3">
      <c r="A3708" s="89" t="str">
        <v/>
      </c>
      <c r="B3708" s="89" t="str">
        <v>Vida saludable (hábitos, autocuidado y bienestar)</v>
      </c>
      <c r="C3708" s="90" t="str">
        <v/>
      </c>
      <c r="D3708" s="89" t="str">
        <v>Periódica</v>
      </c>
      <c r="E3708" s="89">
        <v>365</v>
      </c>
      <c r="F3708" s="89" t="str">
        <v/>
      </c>
      <c r="G3708" s="89" t="str">
        <f ca="1"/>
        <v/>
      </c>
    </row>
    <row r="3709" spans="1:7" x14ac:dyDescent="0.3">
      <c r="A3709" s="89" t="str">
        <v/>
      </c>
      <c r="B3709" s="89" t="str">
        <v>Primeros auxilios y Reanimación Cardio Pulmonar (RCP)</v>
      </c>
      <c r="C3709" s="90" t="str">
        <v/>
      </c>
      <c r="D3709" s="89" t="str">
        <v>Periódica</v>
      </c>
      <c r="E3709" s="89">
        <v>365</v>
      </c>
      <c r="F3709" s="89" t="str">
        <v/>
      </c>
      <c r="G3709" s="89" t="str">
        <f ca="1"/>
        <v/>
      </c>
    </row>
    <row r="3710" spans="1:7" x14ac:dyDescent="0.3">
      <c r="A3710" s="89" t="str">
        <v/>
      </c>
      <c r="B3710" s="89" t="str">
        <v>Prevención cardiovascular (factores de riesgo y señales de alarma)</v>
      </c>
      <c r="C3710" s="90" t="str">
        <v/>
      </c>
      <c r="D3710" s="89" t="str">
        <v>Periódica</v>
      </c>
      <c r="E3710" s="89">
        <v>365</v>
      </c>
      <c r="F3710" s="89" t="str">
        <v/>
      </c>
      <c r="G3710" s="89" t="str">
        <f ca="1"/>
        <v/>
      </c>
    </row>
    <row r="3711" spans="1:7" x14ac:dyDescent="0.3">
      <c r="A3711" s="89" t="str">
        <v/>
      </c>
      <c r="B3711" s="89" t="str">
        <v>Efectos del tabaco sobre la salud</v>
      </c>
      <c r="C3711" s="90" t="str">
        <v/>
      </c>
      <c r="D3711" s="89" t="str">
        <v>Periódica</v>
      </c>
      <c r="E3711" s="89">
        <v>365</v>
      </c>
      <c r="F3711" s="89" t="str">
        <v/>
      </c>
      <c r="G3711" s="89" t="str">
        <f ca="1"/>
        <v/>
      </c>
    </row>
    <row r="3712" spans="1:7" x14ac:dyDescent="0.3">
      <c r="A3712" s="89" t="str">
        <v/>
      </c>
      <c r="B3712" s="89" t="str">
        <v>Cargadora (Op. Montacargas)</v>
      </c>
      <c r="C3712" s="90" t="str">
        <v/>
      </c>
      <c r="D3712" s="89" t="str">
        <v>Periódica</v>
      </c>
      <c r="E3712" s="89">
        <v>365</v>
      </c>
      <c r="F3712" s="89" t="str">
        <v/>
      </c>
      <c r="G3712" s="89" t="str">
        <f ca="1"/>
        <v/>
      </c>
    </row>
    <row r="3713" spans="1:7" x14ac:dyDescent="0.3">
      <c r="A3713" s="89" t="str">
        <v/>
      </c>
      <c r="B3713" s="89">
        <v>0</v>
      </c>
      <c r="C3713" s="90" t="str">
        <v/>
      </c>
      <c r="D3713" s="89" t="str">
        <v/>
      </c>
      <c r="E3713" s="89" t="str">
        <v/>
      </c>
      <c r="F3713" s="89" t="str">
        <v/>
      </c>
      <c r="G3713" s="89" t="str">
        <f ca="1"/>
        <v/>
      </c>
    </row>
    <row r="3714" spans="1:7" x14ac:dyDescent="0.3">
      <c r="A3714" s="89" t="str">
        <v/>
      </c>
      <c r="B3714" s="89">
        <v>0</v>
      </c>
      <c r="C3714" s="90" t="str">
        <v/>
      </c>
      <c r="D3714" s="89" t="str">
        <v/>
      </c>
      <c r="E3714" s="89" t="str">
        <v/>
      </c>
      <c r="F3714" s="89" t="str">
        <v/>
      </c>
      <c r="G3714" s="89" t="str">
        <f ca="1"/>
        <v/>
      </c>
    </row>
    <row r="3715" spans="1:7" x14ac:dyDescent="0.3">
      <c r="A3715" s="89" t="str">
        <v/>
      </c>
      <c r="B3715" s="89">
        <v>0</v>
      </c>
      <c r="C3715" s="90" t="str">
        <v/>
      </c>
      <c r="D3715" s="89" t="str">
        <v/>
      </c>
      <c r="E3715" s="89" t="str">
        <v/>
      </c>
      <c r="F3715" s="89" t="str">
        <v/>
      </c>
      <c r="G3715" s="89" t="str">
        <f ca="1"/>
        <v/>
      </c>
    </row>
    <row r="3716" spans="1:7" x14ac:dyDescent="0.3">
      <c r="A3716" s="89" t="str">
        <v/>
      </c>
      <c r="B3716" s="89">
        <v>0</v>
      </c>
      <c r="C3716" s="90" t="str">
        <v/>
      </c>
      <c r="D3716" s="89" t="str">
        <v/>
      </c>
      <c r="E3716" s="89" t="str">
        <v/>
      </c>
      <c r="F3716" s="89" t="str">
        <v/>
      </c>
      <c r="G3716" s="89" t="str">
        <f ca="1"/>
        <v/>
      </c>
    </row>
    <row r="3717" spans="1:7" x14ac:dyDescent="0.3">
      <c r="A3717" s="89" t="str">
        <v/>
      </c>
      <c r="B3717" s="89">
        <v>0</v>
      </c>
      <c r="C3717" s="90" t="str">
        <v/>
      </c>
      <c r="D3717" s="89" t="str">
        <v/>
      </c>
      <c r="E3717" s="89" t="str">
        <v/>
      </c>
      <c r="F3717" s="89" t="str">
        <v/>
      </c>
      <c r="G3717" s="89" t="str">
        <f ca="1"/>
        <v/>
      </c>
    </row>
    <row r="3718" spans="1:7" x14ac:dyDescent="0.3">
      <c r="A3718" s="89" t="str">
        <v/>
      </c>
      <c r="B3718" s="89">
        <v>0</v>
      </c>
      <c r="C3718" s="90" t="str">
        <v/>
      </c>
      <c r="D3718" s="89" t="str">
        <v/>
      </c>
      <c r="E3718" s="89" t="str">
        <v/>
      </c>
      <c r="F3718" s="89" t="str">
        <v/>
      </c>
      <c r="G3718" s="89" t="str">
        <f ca="1"/>
        <v/>
      </c>
    </row>
    <row r="3719" spans="1:7" x14ac:dyDescent="0.3">
      <c r="A3719" s="89" t="str">
        <v/>
      </c>
      <c r="B3719" s="89">
        <v>0</v>
      </c>
      <c r="C3719" s="90" t="str">
        <v/>
      </c>
      <c r="D3719" s="89" t="str">
        <v/>
      </c>
      <c r="E3719" s="89" t="str">
        <v/>
      </c>
      <c r="F3719" s="89" t="str">
        <v/>
      </c>
      <c r="G3719" s="89" t="str">
        <f ca="1"/>
        <v/>
      </c>
    </row>
    <row r="3720" spans="1:7" x14ac:dyDescent="0.3">
      <c r="A3720" s="89" t="str">
        <v/>
      </c>
      <c r="B3720" s="89">
        <v>0</v>
      </c>
      <c r="C3720" s="90" t="str">
        <v/>
      </c>
      <c r="D3720" s="89" t="str">
        <v/>
      </c>
      <c r="E3720" s="89" t="str">
        <v/>
      </c>
      <c r="F3720" s="89" t="str">
        <v/>
      </c>
      <c r="G3720" s="89" t="str">
        <f ca="1"/>
        <v/>
      </c>
    </row>
    <row r="3721" spans="1:7" x14ac:dyDescent="0.3">
      <c r="A3721" s="89" t="str">
        <v/>
      </c>
      <c r="B3721" s="89">
        <v>0</v>
      </c>
      <c r="C3721" s="90" t="str">
        <v/>
      </c>
      <c r="D3721" s="89" t="str">
        <v/>
      </c>
      <c r="E3721" s="89" t="str">
        <v/>
      </c>
      <c r="F3721" s="89" t="str">
        <v/>
      </c>
      <c r="G3721" s="89" t="str">
        <f ca="1"/>
        <v/>
      </c>
    </row>
    <row r="3722" spans="1:7" x14ac:dyDescent="0.3">
      <c r="A3722" s="89" t="str">
        <v/>
      </c>
      <c r="B3722" s="89" t="str">
        <v>Programa de Aire</v>
      </c>
      <c r="C3722" s="90" t="str">
        <v/>
      </c>
      <c r="D3722" s="89" t="str">
        <v>Evento</v>
      </c>
      <c r="E3722" s="89">
        <v>0</v>
      </c>
      <c r="F3722" s="89" t="str">
        <v/>
      </c>
      <c r="G3722" s="89" t="str">
        <f ca="1"/>
        <v/>
      </c>
    </row>
    <row r="3723" spans="1:7" x14ac:dyDescent="0.3">
      <c r="A3723" s="89" t="str">
        <v/>
      </c>
      <c r="B3723" s="89" t="str">
        <v>Conciencia Ambiental</v>
      </c>
      <c r="C3723" s="90" t="str">
        <v/>
      </c>
      <c r="D3723" s="89" t="str">
        <v>Periódica</v>
      </c>
      <c r="E3723" s="89">
        <v>365</v>
      </c>
      <c r="F3723" s="89" t="str">
        <v/>
      </c>
      <c r="G3723" s="89" t="str">
        <f ca="1"/>
        <v/>
      </c>
    </row>
    <row r="3724" spans="1:7" x14ac:dyDescent="0.3">
      <c r="A3724" s="89" t="str">
        <v/>
      </c>
      <c r="B3724" s="89" t="str">
        <v xml:space="preserve">Control de Documentos e Informacion de HSE </v>
      </c>
      <c r="C3724" s="90" t="str">
        <v/>
      </c>
      <c r="D3724" s="89" t="str">
        <v>Evento</v>
      </c>
      <c r="E3724" s="89">
        <v>0</v>
      </c>
      <c r="F3724" s="89" t="str">
        <v/>
      </c>
      <c r="G3724" s="89" t="str">
        <f ca="1"/>
        <v/>
      </c>
    </row>
    <row r="3725" spans="1:7" x14ac:dyDescent="0.3">
      <c r="A3725" s="89" t="str">
        <v/>
      </c>
      <c r="B3725" s="89" t="str">
        <v xml:space="preserve"> Acciones Correctivas y Preventivas (CAPA)</v>
      </c>
      <c r="C3725" s="90" t="str">
        <v/>
      </c>
      <c r="D3725" s="89" t="str">
        <v>Evento</v>
      </c>
      <c r="E3725" s="89">
        <v>0</v>
      </c>
      <c r="F3725" s="89" t="str">
        <v/>
      </c>
      <c r="G3725" s="89" t="str">
        <f ca="1"/>
        <v/>
      </c>
    </row>
    <row r="3726" spans="1:7" x14ac:dyDescent="0.3">
      <c r="A3726" s="89" t="str">
        <v/>
      </c>
      <c r="B3726" s="89" t="str">
        <v>Seguridad Basada en el Comportamiento (Observation Program) // HSMS.043 / Autoridad de Detener el Trabajo</v>
      </c>
      <c r="C3726" s="90" t="str">
        <v/>
      </c>
      <c r="D3726" s="89" t="str">
        <v>Periódica</v>
      </c>
      <c r="E3726" s="89">
        <v>365</v>
      </c>
      <c r="F3726" s="89" t="str">
        <v/>
      </c>
      <c r="G3726" s="89" t="str">
        <f ca="1"/>
        <v/>
      </c>
    </row>
    <row r="3727" spans="1:7" x14ac:dyDescent="0.3">
      <c r="A3727" s="89" t="str">
        <v/>
      </c>
      <c r="B3727" s="89" t="str">
        <v>Identificacion de Peligros y Evaluacion de Riesgos</v>
      </c>
      <c r="C3727" s="90" t="str">
        <v/>
      </c>
      <c r="D3727" s="89" t="str">
        <v>Evento</v>
      </c>
      <c r="E3727" s="89">
        <v>0</v>
      </c>
      <c r="F3727" s="89" t="str">
        <v/>
      </c>
      <c r="G3727" s="89" t="str">
        <f ca="1"/>
        <v/>
      </c>
    </row>
    <row r="3728" spans="1:7" x14ac:dyDescent="0.3">
      <c r="A3728" s="89" t="str">
        <v/>
      </c>
      <c r="B3728" s="89" t="str">
        <v xml:space="preserve"> Plan de Respuesta ante Eemergencias / HSMS.010 /Primeros Axulios &amp; RCP/DEA / HSMSWT-002 / Patogenos Trasnmitidos por la Sangre</v>
      </c>
      <c r="C3728" s="90" t="str">
        <v/>
      </c>
      <c r="D3728" s="89" t="str">
        <v>Periódica</v>
      </c>
      <c r="E3728" s="89">
        <v>365</v>
      </c>
      <c r="F3728" s="89" t="str">
        <v/>
      </c>
      <c r="G3728" s="89" t="str">
        <f ca="1"/>
        <v/>
      </c>
    </row>
    <row r="3729" spans="1:7" x14ac:dyDescent="0.3">
      <c r="A3729" s="89" t="str">
        <v/>
      </c>
      <c r="B3729" s="89" t="str">
        <v>Reporte y Gestion de Incidentes HSE (Todos)</v>
      </c>
      <c r="C3729" s="90" t="str">
        <v/>
      </c>
      <c r="D3729" s="89" t="str">
        <v>Periódica</v>
      </c>
      <c r="E3729" s="89">
        <v>365</v>
      </c>
      <c r="F3729" s="89" t="str">
        <v/>
      </c>
      <c r="G3729" s="89" t="str">
        <f ca="1"/>
        <v/>
      </c>
    </row>
    <row r="3730" spans="1:7" x14ac:dyDescent="0.3">
      <c r="A3730" s="89" t="str">
        <v/>
      </c>
      <c r="B3730" s="89" t="str">
        <v>Reporte, Gestion e Investigacion de Incidentes HSE (supervisores / investigadores (rol))</v>
      </c>
      <c r="C3730" s="90" t="str">
        <v/>
      </c>
      <c r="D3730" s="89" t="str">
        <v>Periódica</v>
      </c>
      <c r="E3730" s="89">
        <v>1095</v>
      </c>
      <c r="F3730" s="89" t="str">
        <v/>
      </c>
      <c r="G3730" s="89" t="str">
        <f ca="1"/>
        <v/>
      </c>
    </row>
    <row r="3731" spans="1:7" x14ac:dyDescent="0.3">
      <c r="A3731" s="89" t="str">
        <v/>
      </c>
      <c r="B3731" s="89" t="str">
        <v>Gruas y Equipos de Izaje (Todos)</v>
      </c>
      <c r="C3731" s="90" t="str">
        <v/>
      </c>
      <c r="D3731" s="89" t="str">
        <v>Periódica</v>
      </c>
      <c r="E3731" s="89">
        <v>365</v>
      </c>
      <c r="F3731" s="89" t="str">
        <v/>
      </c>
      <c r="G3731" s="89" t="str">
        <f ca="1"/>
        <v/>
      </c>
    </row>
    <row r="3732" spans="1:7" x14ac:dyDescent="0.3">
      <c r="A3732" s="89" t="str">
        <v/>
      </c>
      <c r="B3732" s="89" t="str">
        <v>HSMS.007 / Gruas y Equipos de Izaje (Operadores)</v>
      </c>
      <c r="C3732" s="90" t="str">
        <v/>
      </c>
      <c r="D3732" s="89" t="str">
        <v>Periódica</v>
      </c>
      <c r="E3732" s="89">
        <v>365</v>
      </c>
      <c r="F3732" s="89" t="str">
        <v/>
      </c>
      <c r="G3732" s="89" t="str">
        <f ca="1"/>
        <v/>
      </c>
    </row>
    <row r="3733" spans="1:7" x14ac:dyDescent="0.3">
      <c r="A3733" s="89" t="str">
        <v/>
      </c>
      <c r="B3733" s="89" t="str">
        <v>Proteccion Contra Incendios (Todos)</v>
      </c>
      <c r="C3733" s="90" t="str">
        <v/>
      </c>
      <c r="D3733" s="89" t="str">
        <v>Periódica</v>
      </c>
      <c r="E3733" s="89">
        <v>365</v>
      </c>
      <c r="F3733" s="89" t="str">
        <v/>
      </c>
      <c r="G3733" s="89" t="str">
        <f ca="1"/>
        <v/>
      </c>
    </row>
    <row r="3734" spans="1:7" x14ac:dyDescent="0.3">
      <c r="A3734" s="89" t="str">
        <v/>
      </c>
      <c r="B3734" s="89" t="str">
        <v>Proteccion Contra Incendios (Brigadistas)</v>
      </c>
      <c r="C3734" s="90" t="str">
        <v/>
      </c>
      <c r="D3734" s="89" t="str">
        <v>Periódica</v>
      </c>
      <c r="E3734" s="89">
        <v>365</v>
      </c>
      <c r="F3734" s="89" t="str">
        <v/>
      </c>
      <c r="G3734" s="89" t="str">
        <f ca="1"/>
        <v/>
      </c>
    </row>
    <row r="3735" spans="1:7" x14ac:dyDescent="0.3">
      <c r="A3735" s="89" t="str">
        <v/>
      </c>
      <c r="B3735" s="89" t="str">
        <v>Primeros Auxilios (Brigadistas)</v>
      </c>
      <c r="C3735" s="90" t="str">
        <v/>
      </c>
      <c r="D3735" s="89" t="str">
        <v>Periódica</v>
      </c>
      <c r="E3735" s="89">
        <v>365</v>
      </c>
      <c r="F3735" s="89" t="str">
        <v/>
      </c>
      <c r="G3735" s="89" t="str">
        <f ca="1"/>
        <v/>
      </c>
    </row>
    <row r="3736" spans="1:7" x14ac:dyDescent="0.3">
      <c r="A3736" s="89" t="str">
        <v/>
      </c>
      <c r="B3736" s="89" t="str">
        <v>Seguridad Electrica (Todos)</v>
      </c>
      <c r="C3736" s="90" t="str">
        <v/>
      </c>
      <c r="D3736" s="89" t="str">
        <v>Periódica</v>
      </c>
      <c r="E3736" s="89">
        <v>365</v>
      </c>
      <c r="F3736" s="89" t="str">
        <v/>
      </c>
      <c r="G3736" s="89" t="str">
        <f ca="1"/>
        <v/>
      </c>
    </row>
    <row r="3737" spans="1:7" x14ac:dyDescent="0.3">
      <c r="A3737" s="89" t="str">
        <v/>
      </c>
      <c r="B3737" s="89" t="str">
        <v>Seguridad Electrica (Personal Autorizado)</v>
      </c>
      <c r="C3737" s="90" t="str">
        <v/>
      </c>
      <c r="D3737" s="89" t="str">
        <v>Periódica</v>
      </c>
      <c r="E3737" s="89">
        <v>1095</v>
      </c>
      <c r="F3737" s="89" t="str">
        <v/>
      </c>
      <c r="G3737" s="89" t="str">
        <f ca="1"/>
        <v/>
      </c>
    </row>
    <row r="3738" spans="1:7" x14ac:dyDescent="0.3">
      <c r="A3738" s="89" t="str">
        <v/>
      </c>
      <c r="B3738" s="89" t="str">
        <v>Camiones Industriales Motorizados (PIT) (Todos)</v>
      </c>
      <c r="C3738" s="90" t="str">
        <v/>
      </c>
      <c r="D3738" s="89" t="str">
        <v>Periódica</v>
      </c>
      <c r="E3738" s="89">
        <v>365</v>
      </c>
      <c r="F3738" s="89" t="str">
        <v/>
      </c>
      <c r="G3738" s="89" t="str">
        <f ca="1"/>
        <v/>
      </c>
    </row>
    <row r="3739" spans="1:7" x14ac:dyDescent="0.3">
      <c r="A3739" s="89" t="str">
        <v/>
      </c>
      <c r="B3739" s="89" t="str">
        <v>Camiones Industriales Motorizados (PIT) (Op. Montacargas)</v>
      </c>
      <c r="C3739" s="90" t="str">
        <v/>
      </c>
      <c r="D3739" s="89" t="str">
        <v>Periódica</v>
      </c>
      <c r="E3739" s="89">
        <v>365</v>
      </c>
      <c r="F3739" s="89" t="str">
        <v/>
      </c>
      <c r="G3739" s="89" t="str">
        <f ca="1"/>
        <v/>
      </c>
    </row>
    <row r="3740" spans="1:7" x14ac:dyDescent="0.3">
      <c r="A3740" s="89" t="str">
        <v/>
      </c>
      <c r="B3740" s="89" t="str">
        <v>Control de Energias Peligrosas (LOTO) (Todos)</v>
      </c>
      <c r="C3740" s="90" t="str">
        <v/>
      </c>
      <c r="D3740" s="89" t="str">
        <v>Evento</v>
      </c>
      <c r="E3740" s="89">
        <v>0</v>
      </c>
      <c r="F3740" s="89" t="str">
        <v/>
      </c>
      <c r="G3740" s="89" t="str">
        <f ca="1"/>
        <v/>
      </c>
    </row>
    <row r="3741" spans="1:7" x14ac:dyDescent="0.3">
      <c r="A3741" s="89" t="str">
        <v/>
      </c>
      <c r="B3741" s="89" t="str">
        <v>Control de Energias Peligrosas (LOTO) (Empleados Autorizados)</v>
      </c>
      <c r="C3741" s="90" t="str">
        <v/>
      </c>
      <c r="D3741" s="89" t="str">
        <v>Periódica</v>
      </c>
      <c r="E3741" s="89">
        <v>365</v>
      </c>
      <c r="F3741" s="89" t="str">
        <v/>
      </c>
      <c r="G3741" s="89" t="str">
        <f ca="1"/>
        <v/>
      </c>
    </row>
    <row r="3742" spans="1:7" x14ac:dyDescent="0.3">
      <c r="A3742" s="89" t="str">
        <v/>
      </c>
      <c r="B3742" s="89" t="str">
        <v>Seguridad aplicada al Pozo &amp; Yacimiento</v>
      </c>
      <c r="C3742" s="90" t="str">
        <v/>
      </c>
      <c r="D3742" s="89" t="str">
        <v>Periódica</v>
      </c>
      <c r="E3742" s="89">
        <v>365</v>
      </c>
      <c r="F3742" s="89" t="str">
        <v/>
      </c>
      <c r="G3742" s="89" t="str">
        <f ca="1"/>
        <v/>
      </c>
    </row>
    <row r="3743" spans="1:7" x14ac:dyDescent="0.3">
      <c r="A3743" s="89" t="str">
        <v/>
      </c>
      <c r="B3743" s="89" t="str">
        <v>Las Reglas que Salvan Vidas</v>
      </c>
      <c r="C3743" s="90" t="str">
        <v/>
      </c>
      <c r="D3743" s="89" t="str">
        <v>Periódica</v>
      </c>
      <c r="E3743" s="89">
        <v>365</v>
      </c>
      <c r="F3743" s="89" t="str">
        <v/>
      </c>
      <c r="G3743" s="89" t="str">
        <f ca="1"/>
        <v/>
      </c>
    </row>
    <row r="3744" spans="1:7" x14ac:dyDescent="0.3">
      <c r="A3744" s="89" t="str">
        <v/>
      </c>
      <c r="B3744" s="89" t="str">
        <v xml:space="preserve">Resguardo de Maquinas &amp; Equipos </v>
      </c>
      <c r="C3744" s="90" t="str">
        <v/>
      </c>
      <c r="D3744" s="89" t="str">
        <v>Periódica</v>
      </c>
      <c r="E3744" s="89">
        <v>365</v>
      </c>
      <c r="F3744" s="89" t="str">
        <v/>
      </c>
      <c r="G3744" s="89" t="str">
        <f ca="1"/>
        <v/>
      </c>
    </row>
    <row r="3745" spans="1:7" x14ac:dyDescent="0.3">
      <c r="A3745" s="89" t="str">
        <v/>
      </c>
      <c r="B3745" s="89" t="str">
        <v>Conduccion y Gestion de Viajes (Todos)</v>
      </c>
      <c r="C3745" s="90" t="str">
        <v/>
      </c>
      <c r="D3745" s="89" t="str">
        <v>Periódica</v>
      </c>
      <c r="E3745" s="89">
        <v>730</v>
      </c>
      <c r="F3745" s="89" t="str">
        <v/>
      </c>
      <c r="G3745" s="89" t="str">
        <f ca="1"/>
        <v/>
      </c>
    </row>
    <row r="3746" spans="1:7" x14ac:dyDescent="0.3">
      <c r="A3746" s="89" t="str">
        <v/>
      </c>
      <c r="B3746" s="89" t="str">
        <v>Conduccion y Gestion de Viajes (Conductores)</v>
      </c>
      <c r="C3746" s="90" t="str">
        <v/>
      </c>
      <c r="D3746" s="89" t="str">
        <v>Periódica</v>
      </c>
      <c r="E3746" s="89">
        <v>1095</v>
      </c>
      <c r="F3746" s="89" t="str">
        <v/>
      </c>
      <c r="G3746" s="89" t="str">
        <f ca="1"/>
        <v/>
      </c>
    </row>
    <row r="3747" spans="1:7" x14ac:dyDescent="0.3">
      <c r="A3747" s="89" t="str">
        <v/>
      </c>
      <c r="B3747" s="89" t="str">
        <v>Patogenos Transmitidos por la Sangre</v>
      </c>
      <c r="C3747" s="90" t="str">
        <v/>
      </c>
      <c r="D3747" s="89" t="str">
        <v>Periódica</v>
      </c>
      <c r="E3747" s="89">
        <v>365</v>
      </c>
      <c r="F3747" s="89" t="str">
        <v/>
      </c>
      <c r="G3747" s="89" t="str">
        <f ca="1"/>
        <v/>
      </c>
    </row>
    <row r="3748" spans="1:7" x14ac:dyDescent="0.3">
      <c r="A3748" s="89" t="str">
        <v/>
      </c>
      <c r="B3748" s="89" t="str">
        <v>Conservacion Auditiva</v>
      </c>
      <c r="C3748" s="90" t="str">
        <v/>
      </c>
      <c r="D3748" s="89" t="str">
        <v>Periódica</v>
      </c>
      <c r="E3748" s="89">
        <v>365</v>
      </c>
      <c r="F3748" s="89" t="str">
        <v/>
      </c>
      <c r="G3748" s="89" t="str">
        <f ca="1"/>
        <v/>
      </c>
    </row>
    <row r="3749" spans="1:7" x14ac:dyDescent="0.3">
      <c r="A3749" s="89" t="str">
        <v/>
      </c>
      <c r="B3749" s="89" t="str">
        <v xml:space="preserve">Ergonomia //  / Levantamiento &amp; Seguridad en la Espalda </v>
      </c>
      <c r="C3749" s="90" t="str">
        <v/>
      </c>
      <c r="D3749" s="89" t="str">
        <v>Periódica</v>
      </c>
      <c r="E3749" s="89">
        <v>365</v>
      </c>
      <c r="F3749" s="89" t="str">
        <v/>
      </c>
      <c r="G3749" s="89" t="str">
        <f ca="1"/>
        <v/>
      </c>
    </row>
    <row r="3750" spans="1:7" x14ac:dyDescent="0.3">
      <c r="A3750" s="89" t="str">
        <v/>
      </c>
      <c r="B3750" s="89" t="str">
        <v>Superficies Elevadas (Todos)</v>
      </c>
      <c r="C3750" s="90" t="str">
        <v/>
      </c>
      <c r="D3750" s="89" t="str">
        <v>Periódica</v>
      </c>
      <c r="E3750" s="89">
        <v>365</v>
      </c>
      <c r="F3750" s="89" t="str">
        <v/>
      </c>
      <c r="G3750" s="89" t="str">
        <f ca="1"/>
        <v/>
      </c>
    </row>
    <row r="3751" spans="1:7" x14ac:dyDescent="0.3">
      <c r="A3751" s="89" t="str">
        <v/>
      </c>
      <c r="B3751" s="89" t="str">
        <v>Superficies Elevadas (Personal Habilitado)</v>
      </c>
      <c r="C3751" s="90" t="str">
        <v/>
      </c>
      <c r="D3751" s="89" t="str">
        <v>Periódica</v>
      </c>
      <c r="E3751" s="89">
        <v>365</v>
      </c>
      <c r="F3751" s="89" t="str">
        <v/>
      </c>
      <c r="G3751" s="89" t="str">
        <f ca="1"/>
        <v/>
      </c>
    </row>
    <row r="3752" spans="1:7" x14ac:dyDescent="0.3">
      <c r="A3752" s="89" t="str">
        <v/>
      </c>
      <c r="B3752" s="89" t="str">
        <v>Seguridad Quimica (Todos)</v>
      </c>
      <c r="C3752" s="90" t="str">
        <v/>
      </c>
      <c r="D3752" s="89" t="str">
        <v>Periódica</v>
      </c>
      <c r="E3752" s="89">
        <v>730</v>
      </c>
      <c r="F3752" s="89" t="str">
        <v/>
      </c>
      <c r="G3752" s="89" t="str">
        <f ca="1"/>
        <v/>
      </c>
    </row>
    <row r="3753" spans="1:7" x14ac:dyDescent="0.3">
      <c r="A3753" s="89" t="str">
        <v/>
      </c>
      <c r="B3753" s="89" t="str">
        <v>Seguridad Quimica (Mantenimiento)</v>
      </c>
      <c r="C3753" s="90" t="str">
        <v/>
      </c>
      <c r="D3753" s="89" t="str">
        <v>Periódica</v>
      </c>
      <c r="E3753" s="89">
        <v>365</v>
      </c>
      <c r="F3753" s="89" t="str">
        <v/>
      </c>
      <c r="G3753" s="89" t="str">
        <f ca="1"/>
        <v/>
      </c>
    </row>
    <row r="3754" spans="1:7" x14ac:dyDescent="0.3">
      <c r="A3754" s="89" t="str">
        <v/>
      </c>
      <c r="B3754" s="89" t="str">
        <v>Seguridad Quimica (Contratistas)</v>
      </c>
      <c r="C3754" s="90" t="str">
        <v/>
      </c>
      <c r="D3754" s="89" t="str">
        <v>Periódica</v>
      </c>
      <c r="E3754" s="89">
        <v>365</v>
      </c>
      <c r="F3754" s="89" t="str">
        <v/>
      </c>
      <c r="G3754" s="89" t="str">
        <f ca="1"/>
        <v/>
      </c>
    </row>
    <row r="3755" spans="1:7" x14ac:dyDescent="0.3">
      <c r="A3755" s="89" t="str">
        <v/>
      </c>
      <c r="B3755" s="89" t="str">
        <v>Seguridad para Trabajos en Caliente</v>
      </c>
      <c r="C3755" s="90" t="str">
        <v/>
      </c>
      <c r="D3755" s="89" t="str">
        <v>Periódica</v>
      </c>
      <c r="E3755" s="89">
        <v>365</v>
      </c>
      <c r="F3755" s="89" t="str">
        <v/>
      </c>
      <c r="G3755" s="89" t="str">
        <f ca="1"/>
        <v/>
      </c>
    </row>
    <row r="3756" spans="1:7" x14ac:dyDescent="0.3">
      <c r="A3756" s="89" t="str">
        <v/>
      </c>
      <c r="B3756" s="89" t="str">
        <v>Seguridad con la Radiacion</v>
      </c>
      <c r="C3756" s="90" t="str">
        <v/>
      </c>
      <c r="D3756" s="89" t="str">
        <v>Periódica</v>
      </c>
      <c r="E3756" s="89">
        <v>365</v>
      </c>
      <c r="F3756" s="89" t="str">
        <v/>
      </c>
      <c r="G3756" s="89" t="str">
        <f ca="1"/>
        <v/>
      </c>
    </row>
    <row r="3757" spans="1:7" x14ac:dyDescent="0.3">
      <c r="A3757" s="89" t="str">
        <v/>
      </c>
      <c r="B3757" s="89" t="str">
        <v>Equipo de Proteccion Personal (PPE)</v>
      </c>
      <c r="C3757" s="90" t="str">
        <v/>
      </c>
      <c r="D3757" s="89" t="str">
        <v>Periódica</v>
      </c>
      <c r="E3757" s="89">
        <v>365</v>
      </c>
      <c r="F3757" s="89" t="str">
        <v/>
      </c>
      <c r="G3757" s="89" t="str">
        <f ca="1"/>
        <v/>
      </c>
    </row>
    <row r="3758" spans="1:7" x14ac:dyDescent="0.3">
      <c r="A3758" s="89" t="str">
        <v/>
      </c>
      <c r="B3758" s="89" t="str">
        <v>Proteccion Respiratoria</v>
      </c>
      <c r="C3758" s="90" t="str">
        <v/>
      </c>
      <c r="D3758" s="89" t="str">
        <v>Periódica</v>
      </c>
      <c r="E3758" s="89">
        <v>365</v>
      </c>
      <c r="F3758" s="89" t="str">
        <v/>
      </c>
      <c r="G3758" s="89" t="str">
        <f ca="1"/>
        <v/>
      </c>
    </row>
    <row r="3759" spans="1:7" x14ac:dyDescent="0.3">
      <c r="A3759" s="89" t="str">
        <v/>
      </c>
      <c r="B3759" s="89" t="str">
        <v xml:space="preserve">Seguridad con Escaleras </v>
      </c>
      <c r="C3759" s="90" t="str">
        <v/>
      </c>
      <c r="D3759" s="89" t="str">
        <v>Periódica</v>
      </c>
      <c r="E3759" s="89">
        <v>365</v>
      </c>
      <c r="F3759" s="89" t="str">
        <v/>
      </c>
      <c r="G3759" s="89" t="str">
        <f ca="1"/>
        <v/>
      </c>
    </row>
    <row r="3760" spans="1:7" x14ac:dyDescent="0.3">
      <c r="A3760" s="89" t="str">
        <v/>
      </c>
      <c r="B3760" s="89" t="str">
        <v>Seguridad con Escaleras // Estantes de Almacenamiento</v>
      </c>
      <c r="C3760" s="90" t="str">
        <v/>
      </c>
      <c r="D3760" s="89" t="str">
        <v>Periódica</v>
      </c>
      <c r="E3760" s="89">
        <v>365</v>
      </c>
      <c r="F3760" s="89" t="str">
        <v/>
      </c>
      <c r="G3760" s="89" t="str">
        <f ca="1"/>
        <v/>
      </c>
    </row>
    <row r="3761" spans="1:7" x14ac:dyDescent="0.3">
      <c r="A3761" s="89" t="str">
        <v/>
      </c>
      <c r="B3761" s="89" t="str">
        <v>Responsabilidades del Supervisor</v>
      </c>
      <c r="C3761" s="90" t="str">
        <v/>
      </c>
      <c r="D3761" s="89" t="str">
        <v>Periódica</v>
      </c>
      <c r="E3761" s="89">
        <v>365</v>
      </c>
      <c r="F3761" s="89" t="str">
        <v/>
      </c>
      <c r="G3761" s="89" t="str">
        <f ca="1"/>
        <v/>
      </c>
    </row>
    <row r="3762" spans="1:7" x14ac:dyDescent="0.3">
      <c r="A3762" s="89" t="str">
        <v/>
      </c>
      <c r="B3762" s="89" t="str">
        <v>Espacios Confinados (Todos)</v>
      </c>
      <c r="C3762" s="90" t="str">
        <v/>
      </c>
      <c r="D3762" s="89" t="str">
        <v>Periódica</v>
      </c>
      <c r="E3762" s="89">
        <v>365</v>
      </c>
      <c r="F3762" s="89" t="str">
        <v/>
      </c>
      <c r="G3762" s="89" t="str">
        <f ca="1"/>
        <v/>
      </c>
    </row>
    <row r="3763" spans="1:7" x14ac:dyDescent="0.3">
      <c r="A3763" s="89" t="str">
        <v/>
      </c>
      <c r="B3763" s="89" t="str">
        <v>HSMS.017 / Espacios Confinados (Entrantes)</v>
      </c>
      <c r="C3763" s="90" t="str">
        <v/>
      </c>
      <c r="D3763" s="89" t="str">
        <v>Evento</v>
      </c>
      <c r="E3763" s="89">
        <v>0</v>
      </c>
      <c r="F3763" s="89" t="str">
        <v/>
      </c>
      <c r="G3763" s="89" t="str">
        <f ca="1"/>
        <v/>
      </c>
    </row>
    <row r="3764" spans="1:7" x14ac:dyDescent="0.3">
      <c r="A3764" s="89" t="str">
        <v/>
      </c>
      <c r="B3764" s="89" t="str">
        <v>Programa de Agua (Todos)</v>
      </c>
      <c r="C3764" s="90" t="str">
        <v/>
      </c>
      <c r="D3764" s="89" t="str">
        <v>Evento</v>
      </c>
      <c r="E3764" s="89">
        <v>0</v>
      </c>
      <c r="F3764" s="89" t="str">
        <v/>
      </c>
      <c r="G3764" s="89" t="str">
        <f ca="1"/>
        <v/>
      </c>
    </row>
    <row r="3765" spans="1:7" x14ac:dyDescent="0.3">
      <c r="A3765" s="89" t="str">
        <v/>
      </c>
      <c r="B3765" s="89" t="str">
        <v>Programa de Agua (HSE)</v>
      </c>
      <c r="C3765" s="90" t="str">
        <v/>
      </c>
      <c r="D3765" s="89" t="str">
        <v>Evento</v>
      </c>
      <c r="E3765" s="89">
        <v>0</v>
      </c>
      <c r="F3765" s="89" t="str">
        <v/>
      </c>
      <c r="G3765" s="89" t="str">
        <f ca="1"/>
        <v/>
      </c>
    </row>
    <row r="3766" spans="1:7" x14ac:dyDescent="0.3">
      <c r="A3766" s="89" t="str">
        <v/>
      </c>
      <c r="B3766" s="89" t="str">
        <v>HIV/SIDA y otras enfermedades de transmisión sexual (ETS)</v>
      </c>
      <c r="C3766" s="90" t="str">
        <v/>
      </c>
      <c r="D3766" s="89" t="str">
        <v>Periódica</v>
      </c>
      <c r="E3766" s="89">
        <v>365</v>
      </c>
      <c r="F3766" s="89" t="str">
        <v/>
      </c>
      <c r="G3766" s="89" t="str">
        <f ca="1"/>
        <v/>
      </c>
    </row>
    <row r="3767" spans="1:7" x14ac:dyDescent="0.3">
      <c r="A3767" s="89" t="str">
        <v/>
      </c>
      <c r="B3767" s="89" t="str">
        <v>Drogas de abuso (concientización y prevención)</v>
      </c>
      <c r="C3767" s="90" t="str">
        <v/>
      </c>
      <c r="D3767" s="89" t="str">
        <v>Periódica</v>
      </c>
      <c r="E3767" s="89">
        <v>365</v>
      </c>
      <c r="F3767" s="89" t="str">
        <v/>
      </c>
      <c r="G3767" s="89" t="str">
        <f ca="1"/>
        <v/>
      </c>
    </row>
    <row r="3768" spans="1:7" x14ac:dyDescent="0.3">
      <c r="A3768" s="89" t="str">
        <v/>
      </c>
      <c r="B3768" s="89" t="str">
        <v>Vida saludable (hábitos, autocuidado y bienestar)</v>
      </c>
      <c r="C3768" s="90" t="str">
        <v/>
      </c>
      <c r="D3768" s="89" t="str">
        <v>Periódica</v>
      </c>
      <c r="E3768" s="89">
        <v>365</v>
      </c>
      <c r="F3768" s="89" t="str">
        <v/>
      </c>
      <c r="G3768" s="89" t="str">
        <f ca="1"/>
        <v/>
      </c>
    </row>
    <row r="3769" spans="1:7" x14ac:dyDescent="0.3">
      <c r="A3769" s="89" t="str">
        <v/>
      </c>
      <c r="B3769" s="89" t="str">
        <v>Primeros auxilios y Reanimación Cardio Pulmonar (RCP)</v>
      </c>
      <c r="C3769" s="90" t="str">
        <v/>
      </c>
      <c r="D3769" s="89" t="str">
        <v>Periódica</v>
      </c>
      <c r="E3769" s="89">
        <v>365</v>
      </c>
      <c r="F3769" s="89" t="str">
        <v/>
      </c>
      <c r="G3769" s="89" t="str">
        <f ca="1"/>
        <v/>
      </c>
    </row>
    <row r="3770" spans="1:7" x14ac:dyDescent="0.3">
      <c r="A3770" s="89" t="str">
        <v/>
      </c>
      <c r="B3770" s="89" t="str">
        <v>Prevención cardiovascular (factores de riesgo y señales de alarma)</v>
      </c>
      <c r="C3770" s="90" t="str">
        <v/>
      </c>
      <c r="D3770" s="89" t="str">
        <v>Periódica</v>
      </c>
      <c r="E3770" s="89">
        <v>365</v>
      </c>
      <c r="F3770" s="89" t="str">
        <v/>
      </c>
      <c r="G3770" s="89" t="str">
        <f ca="1"/>
        <v/>
      </c>
    </row>
    <row r="3771" spans="1:7" x14ac:dyDescent="0.3">
      <c r="A3771" s="89" t="str">
        <v/>
      </c>
      <c r="B3771" s="89" t="str">
        <v>Efectos del tabaco sobre la salud</v>
      </c>
      <c r="C3771" s="90" t="str">
        <v/>
      </c>
      <c r="D3771" s="89" t="str">
        <v>Periódica</v>
      </c>
      <c r="E3771" s="89">
        <v>365</v>
      </c>
      <c r="F3771" s="89" t="str">
        <v/>
      </c>
      <c r="G3771" s="89" t="str">
        <f ca="1"/>
        <v/>
      </c>
    </row>
    <row r="3772" spans="1:7" x14ac:dyDescent="0.3">
      <c r="A3772" s="89" t="str">
        <v/>
      </c>
      <c r="B3772" s="89" t="str">
        <v>Cargadora (Op. Montacargas)</v>
      </c>
      <c r="C3772" s="90" t="str">
        <v/>
      </c>
      <c r="D3772" s="89" t="str">
        <v>Periódica</v>
      </c>
      <c r="E3772" s="89">
        <v>365</v>
      </c>
      <c r="F3772" s="89" t="str">
        <v/>
      </c>
      <c r="G3772" s="89" t="str">
        <f ca="1"/>
        <v/>
      </c>
    </row>
    <row r="3773" spans="1:7" x14ac:dyDescent="0.3">
      <c r="A3773" s="89" t="str">
        <v/>
      </c>
      <c r="B3773" s="89">
        <v>0</v>
      </c>
      <c r="C3773" s="90" t="str">
        <v/>
      </c>
      <c r="D3773" s="89" t="str">
        <v/>
      </c>
      <c r="E3773" s="89" t="str">
        <v/>
      </c>
      <c r="F3773" s="89" t="str">
        <v/>
      </c>
      <c r="G3773" s="89" t="str">
        <f ca="1"/>
        <v/>
      </c>
    </row>
    <row r="3774" spans="1:7" x14ac:dyDescent="0.3">
      <c r="A3774" s="89" t="str">
        <v/>
      </c>
      <c r="B3774" s="89">
        <v>0</v>
      </c>
      <c r="C3774" s="90" t="str">
        <v/>
      </c>
      <c r="D3774" s="89" t="str">
        <v/>
      </c>
      <c r="E3774" s="89" t="str">
        <v/>
      </c>
      <c r="F3774" s="89" t="str">
        <v/>
      </c>
      <c r="G3774" s="89" t="str">
        <f ca="1"/>
        <v/>
      </c>
    </row>
    <row r="3775" spans="1:7" x14ac:dyDescent="0.3">
      <c r="A3775" s="89" t="str">
        <v/>
      </c>
      <c r="B3775" s="89">
        <v>0</v>
      </c>
      <c r="C3775" s="90" t="str">
        <v/>
      </c>
      <c r="D3775" s="89" t="str">
        <v/>
      </c>
      <c r="E3775" s="89" t="str">
        <v/>
      </c>
      <c r="F3775" s="89" t="str">
        <v/>
      </c>
      <c r="G3775" s="89" t="str">
        <f ca="1"/>
        <v/>
      </c>
    </row>
    <row r="3776" spans="1:7" x14ac:dyDescent="0.3">
      <c r="A3776" s="89" t="str">
        <v/>
      </c>
      <c r="B3776" s="89">
        <v>0</v>
      </c>
      <c r="C3776" s="90" t="str">
        <v/>
      </c>
      <c r="D3776" s="89" t="str">
        <v/>
      </c>
      <c r="E3776" s="89" t="str">
        <v/>
      </c>
      <c r="F3776" s="89" t="str">
        <v/>
      </c>
      <c r="G3776" s="89" t="str">
        <f ca="1"/>
        <v/>
      </c>
    </row>
    <row r="3777" spans="1:7" x14ac:dyDescent="0.3">
      <c r="A3777" s="89" t="str">
        <v/>
      </c>
      <c r="B3777" s="89">
        <v>0</v>
      </c>
      <c r="C3777" s="90" t="str">
        <v/>
      </c>
      <c r="D3777" s="89" t="str">
        <v/>
      </c>
      <c r="E3777" s="89" t="str">
        <v/>
      </c>
      <c r="F3777" s="89" t="str">
        <v/>
      </c>
      <c r="G3777" s="89" t="str">
        <f ca="1"/>
        <v/>
      </c>
    </row>
    <row r="3778" spans="1:7" x14ac:dyDescent="0.3">
      <c r="A3778" s="89" t="str">
        <v/>
      </c>
      <c r="B3778" s="89">
        <v>0</v>
      </c>
      <c r="C3778" s="90" t="str">
        <v/>
      </c>
      <c r="D3778" s="89" t="str">
        <v/>
      </c>
      <c r="E3778" s="89" t="str">
        <v/>
      </c>
      <c r="F3778" s="89" t="str">
        <v/>
      </c>
      <c r="G3778" s="89" t="str">
        <f ca="1"/>
        <v/>
      </c>
    </row>
    <row r="3779" spans="1:7" x14ac:dyDescent="0.3">
      <c r="A3779" s="89" t="str">
        <v/>
      </c>
      <c r="B3779" s="89">
        <v>0</v>
      </c>
      <c r="C3779" s="90" t="str">
        <v/>
      </c>
      <c r="D3779" s="89" t="str">
        <v/>
      </c>
      <c r="E3779" s="89" t="str">
        <v/>
      </c>
      <c r="F3779" s="89" t="str">
        <v/>
      </c>
      <c r="G3779" s="89" t="str">
        <f ca="1"/>
        <v/>
      </c>
    </row>
    <row r="3780" spans="1:7" x14ac:dyDescent="0.3">
      <c r="A3780" s="89" t="str">
        <v/>
      </c>
      <c r="B3780" s="89">
        <v>0</v>
      </c>
      <c r="C3780" s="90" t="str">
        <v/>
      </c>
      <c r="D3780" s="89" t="str">
        <v/>
      </c>
      <c r="E3780" s="89" t="str">
        <v/>
      </c>
      <c r="F3780" s="89" t="str">
        <v/>
      </c>
      <c r="G3780" s="89" t="str">
        <f ca="1"/>
        <v/>
      </c>
    </row>
    <row r="3781" spans="1:7" x14ac:dyDescent="0.3">
      <c r="A3781" s="89" t="str">
        <v/>
      </c>
      <c r="B3781" s="89">
        <v>0</v>
      </c>
      <c r="C3781" s="90" t="str">
        <v/>
      </c>
      <c r="D3781" s="89" t="str">
        <v/>
      </c>
      <c r="E3781" s="89" t="str">
        <v/>
      </c>
      <c r="F3781" s="89" t="str">
        <v/>
      </c>
      <c r="G3781" s="89" t="str">
        <f ca="1"/>
        <v/>
      </c>
    </row>
    <row r="3782" spans="1:7" x14ac:dyDescent="0.3">
      <c r="A3782" s="89" t="str">
        <v/>
      </c>
      <c r="B3782" s="89" t="str">
        <v>Programa de Aire</v>
      </c>
      <c r="C3782" s="90" t="str">
        <v/>
      </c>
      <c r="D3782" s="89" t="str">
        <v>Evento</v>
      </c>
      <c r="E3782" s="89">
        <v>0</v>
      </c>
      <c r="F3782" s="89" t="str">
        <v/>
      </c>
      <c r="G3782" s="89" t="str">
        <f ca="1"/>
        <v/>
      </c>
    </row>
    <row r="3783" spans="1:7" x14ac:dyDescent="0.3">
      <c r="A3783" s="89" t="str">
        <v/>
      </c>
      <c r="B3783" s="89" t="str">
        <v>Conciencia Ambiental</v>
      </c>
      <c r="C3783" s="90" t="str">
        <v/>
      </c>
      <c r="D3783" s="89" t="str">
        <v>Periódica</v>
      </c>
      <c r="E3783" s="89">
        <v>365</v>
      </c>
      <c r="F3783" s="89" t="str">
        <v/>
      </c>
      <c r="G3783" s="89" t="str">
        <f ca="1"/>
        <v/>
      </c>
    </row>
    <row r="3784" spans="1:7" x14ac:dyDescent="0.3">
      <c r="A3784" s="89" t="str">
        <v/>
      </c>
      <c r="B3784" s="89" t="str">
        <v xml:space="preserve">Control de Documentos e Informacion de HSE </v>
      </c>
      <c r="C3784" s="90" t="str">
        <v/>
      </c>
      <c r="D3784" s="89" t="str">
        <v>Evento</v>
      </c>
      <c r="E3784" s="89">
        <v>0</v>
      </c>
      <c r="F3784" s="89" t="str">
        <v/>
      </c>
      <c r="G3784" s="89" t="str">
        <f ca="1"/>
        <v/>
      </c>
    </row>
    <row r="3785" spans="1:7" x14ac:dyDescent="0.3">
      <c r="A3785" s="89" t="str">
        <v/>
      </c>
      <c r="B3785" s="89" t="str">
        <v xml:space="preserve"> Acciones Correctivas y Preventivas (CAPA)</v>
      </c>
      <c r="C3785" s="90" t="str">
        <v/>
      </c>
      <c r="D3785" s="89" t="str">
        <v>Evento</v>
      </c>
      <c r="E3785" s="89">
        <v>0</v>
      </c>
      <c r="F3785" s="89" t="str">
        <v/>
      </c>
      <c r="G3785" s="89" t="str">
        <f ca="1"/>
        <v/>
      </c>
    </row>
    <row r="3786" spans="1:7" x14ac:dyDescent="0.3">
      <c r="A3786" s="89" t="str">
        <v/>
      </c>
      <c r="B3786" s="89" t="str">
        <v>Seguridad Basada en el Comportamiento (Observation Program) // HSMS.043 / Autoridad de Detener el Trabajo</v>
      </c>
      <c r="C3786" s="90" t="str">
        <v/>
      </c>
      <c r="D3786" s="89" t="str">
        <v>Periódica</v>
      </c>
      <c r="E3786" s="89">
        <v>365</v>
      </c>
      <c r="F3786" s="89" t="str">
        <v/>
      </c>
      <c r="G3786" s="89" t="str">
        <f ca="1"/>
        <v/>
      </c>
    </row>
    <row r="3787" spans="1:7" x14ac:dyDescent="0.3">
      <c r="A3787" s="89" t="str">
        <v/>
      </c>
      <c r="B3787" s="89" t="str">
        <v>Identificacion de Peligros y Evaluacion de Riesgos</v>
      </c>
      <c r="C3787" s="90" t="str">
        <v/>
      </c>
      <c r="D3787" s="89" t="str">
        <v>Evento</v>
      </c>
      <c r="E3787" s="89">
        <v>0</v>
      </c>
      <c r="F3787" s="89" t="str">
        <v/>
      </c>
      <c r="G3787" s="89" t="str">
        <f ca="1"/>
        <v/>
      </c>
    </row>
    <row r="3788" spans="1:7" x14ac:dyDescent="0.3">
      <c r="A3788" s="89" t="str">
        <v/>
      </c>
      <c r="B3788" s="89" t="str">
        <v xml:space="preserve"> Plan de Respuesta ante Eemergencias / HSMS.010 /Primeros Axulios &amp; RCP/DEA / HSMSWT-002 / Patogenos Trasnmitidos por la Sangre</v>
      </c>
      <c r="C3788" s="90" t="str">
        <v/>
      </c>
      <c r="D3788" s="89" t="str">
        <v>Periódica</v>
      </c>
      <c r="E3788" s="89">
        <v>365</v>
      </c>
      <c r="F3788" s="89" t="str">
        <v/>
      </c>
      <c r="G3788" s="89" t="str">
        <f ca="1"/>
        <v/>
      </c>
    </row>
    <row r="3789" spans="1:7" x14ac:dyDescent="0.3">
      <c r="A3789" s="89" t="str">
        <v/>
      </c>
      <c r="B3789" s="89" t="str">
        <v>Reporte y Gestion de Incidentes HSE (Todos)</v>
      </c>
      <c r="C3789" s="90" t="str">
        <v/>
      </c>
      <c r="D3789" s="89" t="str">
        <v>Periódica</v>
      </c>
      <c r="E3789" s="89">
        <v>365</v>
      </c>
      <c r="F3789" s="89" t="str">
        <v/>
      </c>
      <c r="G3789" s="89" t="str">
        <f ca="1"/>
        <v/>
      </c>
    </row>
    <row r="3790" spans="1:7" x14ac:dyDescent="0.3">
      <c r="A3790" s="89" t="str">
        <v/>
      </c>
      <c r="B3790" s="89" t="str">
        <v>Reporte, Gestion e Investigacion de Incidentes HSE (supervisores / investigadores (rol))</v>
      </c>
      <c r="C3790" s="90" t="str">
        <v/>
      </c>
      <c r="D3790" s="89" t="str">
        <v>Periódica</v>
      </c>
      <c r="E3790" s="89">
        <v>1095</v>
      </c>
      <c r="F3790" s="89" t="str">
        <v/>
      </c>
      <c r="G3790" s="89" t="str">
        <f ca="1"/>
        <v/>
      </c>
    </row>
    <row r="3791" spans="1:7" x14ac:dyDescent="0.3">
      <c r="A3791" s="89" t="str">
        <v/>
      </c>
      <c r="B3791" s="89" t="str">
        <v>Gruas y Equipos de Izaje (Todos)</v>
      </c>
      <c r="C3791" s="90" t="str">
        <v/>
      </c>
      <c r="D3791" s="89" t="str">
        <v>Periódica</v>
      </c>
      <c r="E3791" s="89">
        <v>365</v>
      </c>
      <c r="F3791" s="89" t="str">
        <v/>
      </c>
      <c r="G3791" s="89" t="str">
        <f ca="1"/>
        <v/>
      </c>
    </row>
    <row r="3792" spans="1:7" x14ac:dyDescent="0.3">
      <c r="A3792" s="89" t="str">
        <v/>
      </c>
      <c r="B3792" s="89" t="str">
        <v>HSMS.007 / Gruas y Equipos de Izaje (Operadores)</v>
      </c>
      <c r="C3792" s="90" t="str">
        <v/>
      </c>
      <c r="D3792" s="89" t="str">
        <v>Periódica</v>
      </c>
      <c r="E3792" s="89">
        <v>365</v>
      </c>
      <c r="F3792" s="89" t="str">
        <v/>
      </c>
      <c r="G3792" s="89" t="str">
        <f ca="1"/>
        <v/>
      </c>
    </row>
    <row r="3793" spans="1:7" x14ac:dyDescent="0.3">
      <c r="A3793" s="89" t="str">
        <v/>
      </c>
      <c r="B3793" s="89" t="str">
        <v>Proteccion Contra Incendios (Todos)</v>
      </c>
      <c r="C3793" s="90" t="str">
        <v/>
      </c>
      <c r="D3793" s="89" t="str">
        <v>Periódica</v>
      </c>
      <c r="E3793" s="89">
        <v>365</v>
      </c>
      <c r="F3793" s="89" t="str">
        <v/>
      </c>
      <c r="G3793" s="89" t="str">
        <f ca="1"/>
        <v/>
      </c>
    </row>
    <row r="3794" spans="1:7" x14ac:dyDescent="0.3">
      <c r="A3794" s="89" t="str">
        <v/>
      </c>
      <c r="B3794" s="89" t="str">
        <v>Proteccion Contra Incendios (Brigadistas)</v>
      </c>
      <c r="C3794" s="90" t="str">
        <v/>
      </c>
      <c r="D3794" s="89" t="str">
        <v>Periódica</v>
      </c>
      <c r="E3794" s="89">
        <v>365</v>
      </c>
      <c r="F3794" s="89" t="str">
        <v/>
      </c>
      <c r="G3794" s="89" t="str">
        <f ca="1"/>
        <v/>
      </c>
    </row>
    <row r="3795" spans="1:7" x14ac:dyDescent="0.3">
      <c r="A3795" s="89" t="str">
        <v/>
      </c>
      <c r="B3795" s="89" t="str">
        <v>Primeros Auxilios (Brigadistas)</v>
      </c>
      <c r="C3795" s="90" t="str">
        <v/>
      </c>
      <c r="D3795" s="89" t="str">
        <v>Periódica</v>
      </c>
      <c r="E3795" s="89">
        <v>365</v>
      </c>
      <c r="F3795" s="89" t="str">
        <v/>
      </c>
      <c r="G3795" s="89" t="str">
        <f ca="1"/>
        <v/>
      </c>
    </row>
    <row r="3796" spans="1:7" x14ac:dyDescent="0.3">
      <c r="A3796" s="89" t="str">
        <v/>
      </c>
      <c r="B3796" s="89" t="str">
        <v>Seguridad Electrica (Todos)</v>
      </c>
      <c r="C3796" s="90" t="str">
        <v/>
      </c>
      <c r="D3796" s="89" t="str">
        <v>Periódica</v>
      </c>
      <c r="E3796" s="89">
        <v>365</v>
      </c>
      <c r="F3796" s="89" t="str">
        <v/>
      </c>
      <c r="G3796" s="89" t="str">
        <f ca="1"/>
        <v/>
      </c>
    </row>
    <row r="3797" spans="1:7" x14ac:dyDescent="0.3">
      <c r="A3797" s="89" t="str">
        <v/>
      </c>
      <c r="B3797" s="89" t="str">
        <v>Seguridad Electrica (Personal Autorizado)</v>
      </c>
      <c r="C3797" s="90" t="str">
        <v/>
      </c>
      <c r="D3797" s="89" t="str">
        <v>Periódica</v>
      </c>
      <c r="E3797" s="89">
        <v>1095</v>
      </c>
      <c r="F3797" s="89" t="str">
        <v/>
      </c>
      <c r="G3797" s="89" t="str">
        <f ca="1"/>
        <v/>
      </c>
    </row>
    <row r="3798" spans="1:7" x14ac:dyDescent="0.3">
      <c r="A3798" s="89" t="str">
        <v/>
      </c>
      <c r="B3798" s="89" t="str">
        <v>Camiones Industriales Motorizados (PIT) (Todos)</v>
      </c>
      <c r="C3798" s="90" t="str">
        <v/>
      </c>
      <c r="D3798" s="89" t="str">
        <v>Periódica</v>
      </c>
      <c r="E3798" s="89">
        <v>365</v>
      </c>
      <c r="F3798" s="89" t="str">
        <v/>
      </c>
      <c r="G3798" s="89" t="str">
        <f ca="1"/>
        <v/>
      </c>
    </row>
    <row r="3799" spans="1:7" x14ac:dyDescent="0.3">
      <c r="A3799" s="89" t="str">
        <v/>
      </c>
      <c r="B3799" s="89" t="str">
        <v>Camiones Industriales Motorizados (PIT) (Op. Montacargas)</v>
      </c>
      <c r="C3799" s="90" t="str">
        <v/>
      </c>
      <c r="D3799" s="89" t="str">
        <v>Periódica</v>
      </c>
      <c r="E3799" s="89">
        <v>365</v>
      </c>
      <c r="F3799" s="89" t="str">
        <v/>
      </c>
      <c r="G3799" s="89" t="str">
        <f ca="1"/>
        <v/>
      </c>
    </row>
    <row r="3800" spans="1:7" x14ac:dyDescent="0.3">
      <c r="A3800" s="89" t="str">
        <v/>
      </c>
      <c r="B3800" s="89" t="str">
        <v>Control de Energias Peligrosas (LOTO) (Todos)</v>
      </c>
      <c r="C3800" s="90" t="str">
        <v/>
      </c>
      <c r="D3800" s="89" t="str">
        <v>Evento</v>
      </c>
      <c r="E3800" s="89">
        <v>0</v>
      </c>
      <c r="F3800" s="89" t="str">
        <v/>
      </c>
      <c r="G3800" s="89" t="str">
        <f ca="1"/>
        <v/>
      </c>
    </row>
    <row r="3801" spans="1:7" x14ac:dyDescent="0.3">
      <c r="A3801" s="89" t="str">
        <v/>
      </c>
      <c r="B3801" s="89" t="str">
        <v>Control de Energias Peligrosas (LOTO) (Empleados Autorizados)</v>
      </c>
      <c r="C3801" s="90" t="str">
        <v/>
      </c>
      <c r="D3801" s="89" t="str">
        <v>Periódica</v>
      </c>
      <c r="E3801" s="89">
        <v>365</v>
      </c>
      <c r="F3801" s="89" t="str">
        <v/>
      </c>
      <c r="G3801" s="89" t="str">
        <f ca="1"/>
        <v/>
      </c>
    </row>
    <row r="3802" spans="1:7" x14ac:dyDescent="0.3">
      <c r="A3802" s="89" t="str">
        <v/>
      </c>
      <c r="B3802" s="89" t="str">
        <v>Seguridad aplicada al Pozo &amp; Yacimiento</v>
      </c>
      <c r="C3802" s="90" t="str">
        <v/>
      </c>
      <c r="D3802" s="89" t="str">
        <v>Periódica</v>
      </c>
      <c r="E3802" s="89">
        <v>365</v>
      </c>
      <c r="F3802" s="89" t="str">
        <v/>
      </c>
      <c r="G3802" s="89" t="str">
        <f ca="1"/>
        <v/>
      </c>
    </row>
    <row r="3803" spans="1:7" x14ac:dyDescent="0.3">
      <c r="A3803" s="89" t="str">
        <v/>
      </c>
      <c r="B3803" s="89" t="str">
        <v>Las Reglas que Salvan Vidas</v>
      </c>
      <c r="C3803" s="90" t="str">
        <v/>
      </c>
      <c r="D3803" s="89" t="str">
        <v>Periódica</v>
      </c>
      <c r="E3803" s="89">
        <v>365</v>
      </c>
      <c r="F3803" s="89" t="str">
        <v/>
      </c>
      <c r="G3803" s="89" t="str">
        <f ca="1"/>
        <v/>
      </c>
    </row>
    <row r="3804" spans="1:7" x14ac:dyDescent="0.3">
      <c r="A3804" s="89" t="str">
        <v/>
      </c>
      <c r="B3804" s="89" t="str">
        <v xml:space="preserve">Resguardo de Maquinas &amp; Equipos </v>
      </c>
      <c r="C3804" s="90" t="str">
        <v/>
      </c>
      <c r="D3804" s="89" t="str">
        <v>Periódica</v>
      </c>
      <c r="E3804" s="89">
        <v>365</v>
      </c>
      <c r="F3804" s="89" t="str">
        <v/>
      </c>
      <c r="G3804" s="89" t="str">
        <f ca="1"/>
        <v/>
      </c>
    </row>
    <row r="3805" spans="1:7" x14ac:dyDescent="0.3">
      <c r="A3805" s="89" t="str">
        <v/>
      </c>
      <c r="B3805" s="89" t="str">
        <v>Conduccion y Gestion de Viajes (Todos)</v>
      </c>
      <c r="C3805" s="90" t="str">
        <v/>
      </c>
      <c r="D3805" s="89" t="str">
        <v>Periódica</v>
      </c>
      <c r="E3805" s="89">
        <v>730</v>
      </c>
      <c r="F3805" s="89" t="str">
        <v/>
      </c>
      <c r="G3805" s="89" t="str">
        <f ca="1"/>
        <v/>
      </c>
    </row>
    <row r="3806" spans="1:7" x14ac:dyDescent="0.3">
      <c r="A3806" s="89" t="str">
        <v/>
      </c>
      <c r="B3806" s="89" t="str">
        <v>Conduccion y Gestion de Viajes (Conductores)</v>
      </c>
      <c r="C3806" s="90" t="str">
        <v/>
      </c>
      <c r="D3806" s="89" t="str">
        <v>Periódica</v>
      </c>
      <c r="E3806" s="89">
        <v>1095</v>
      </c>
      <c r="F3806" s="89" t="str">
        <v/>
      </c>
      <c r="G3806" s="89" t="str">
        <f ca="1"/>
        <v/>
      </c>
    </row>
    <row r="3807" spans="1:7" x14ac:dyDescent="0.3">
      <c r="A3807" s="89" t="str">
        <v/>
      </c>
      <c r="B3807" s="89" t="str">
        <v>Patogenos Transmitidos por la Sangre</v>
      </c>
      <c r="C3807" s="90" t="str">
        <v/>
      </c>
      <c r="D3807" s="89" t="str">
        <v>Periódica</v>
      </c>
      <c r="E3807" s="89">
        <v>365</v>
      </c>
      <c r="F3807" s="89" t="str">
        <v/>
      </c>
      <c r="G3807" s="89" t="str">
        <f ca="1"/>
        <v/>
      </c>
    </row>
    <row r="3808" spans="1:7" x14ac:dyDescent="0.3">
      <c r="A3808" s="89" t="str">
        <v/>
      </c>
      <c r="B3808" s="89" t="str">
        <v>Conservacion Auditiva</v>
      </c>
      <c r="C3808" s="90" t="str">
        <v/>
      </c>
      <c r="D3808" s="89" t="str">
        <v>Periódica</v>
      </c>
      <c r="E3808" s="89">
        <v>365</v>
      </c>
      <c r="F3808" s="89" t="str">
        <v/>
      </c>
      <c r="G3808" s="89" t="str">
        <f ca="1"/>
        <v/>
      </c>
    </row>
    <row r="3809" spans="1:7" x14ac:dyDescent="0.3">
      <c r="A3809" s="89" t="str">
        <v/>
      </c>
      <c r="B3809" s="89" t="str">
        <v xml:space="preserve">Ergonomia //  / Levantamiento &amp; Seguridad en la Espalda </v>
      </c>
      <c r="C3809" s="90" t="str">
        <v/>
      </c>
      <c r="D3809" s="89" t="str">
        <v>Periódica</v>
      </c>
      <c r="E3809" s="89">
        <v>365</v>
      </c>
      <c r="F3809" s="89" t="str">
        <v/>
      </c>
      <c r="G3809" s="89" t="str">
        <f ca="1"/>
        <v/>
      </c>
    </row>
    <row r="3810" spans="1:7" x14ac:dyDescent="0.3">
      <c r="A3810" s="89" t="str">
        <v/>
      </c>
      <c r="B3810" s="89" t="str">
        <v>Superficies Elevadas (Todos)</v>
      </c>
      <c r="C3810" s="90" t="str">
        <v/>
      </c>
      <c r="D3810" s="89" t="str">
        <v>Periódica</v>
      </c>
      <c r="E3810" s="89">
        <v>365</v>
      </c>
      <c r="F3810" s="89" t="str">
        <v/>
      </c>
      <c r="G3810" s="89" t="str">
        <f ca="1"/>
        <v/>
      </c>
    </row>
    <row r="3811" spans="1:7" x14ac:dyDescent="0.3">
      <c r="A3811" s="89" t="str">
        <v/>
      </c>
      <c r="B3811" s="89" t="str">
        <v>Superficies Elevadas (Personal Habilitado)</v>
      </c>
      <c r="C3811" s="90" t="str">
        <v/>
      </c>
      <c r="D3811" s="89" t="str">
        <v>Periódica</v>
      </c>
      <c r="E3811" s="89">
        <v>365</v>
      </c>
      <c r="F3811" s="89" t="str">
        <v/>
      </c>
      <c r="G3811" s="89" t="str">
        <f ca="1"/>
        <v/>
      </c>
    </row>
    <row r="3812" spans="1:7" x14ac:dyDescent="0.3">
      <c r="A3812" s="89" t="str">
        <v/>
      </c>
      <c r="B3812" s="89" t="str">
        <v>Seguridad Quimica (Todos)</v>
      </c>
      <c r="C3812" s="90" t="str">
        <v/>
      </c>
      <c r="D3812" s="89" t="str">
        <v>Periódica</v>
      </c>
      <c r="E3812" s="89">
        <v>730</v>
      </c>
      <c r="F3812" s="89" t="str">
        <v/>
      </c>
      <c r="G3812" s="89" t="str">
        <f ca="1"/>
        <v/>
      </c>
    </row>
    <row r="3813" spans="1:7" x14ac:dyDescent="0.3">
      <c r="A3813" s="89" t="str">
        <v/>
      </c>
      <c r="B3813" s="89" t="str">
        <v>Seguridad Quimica (Mantenimiento)</v>
      </c>
      <c r="C3813" s="90" t="str">
        <v/>
      </c>
      <c r="D3813" s="89" t="str">
        <v>Periódica</v>
      </c>
      <c r="E3813" s="89">
        <v>365</v>
      </c>
      <c r="F3813" s="89" t="str">
        <v/>
      </c>
      <c r="G3813" s="89" t="str">
        <f ca="1"/>
        <v/>
      </c>
    </row>
    <row r="3814" spans="1:7" x14ac:dyDescent="0.3">
      <c r="A3814" s="89" t="str">
        <v/>
      </c>
      <c r="B3814" s="89" t="str">
        <v>Seguridad Quimica (Contratistas)</v>
      </c>
      <c r="C3814" s="90" t="str">
        <v/>
      </c>
      <c r="D3814" s="89" t="str">
        <v>Periódica</v>
      </c>
      <c r="E3814" s="89">
        <v>365</v>
      </c>
      <c r="F3814" s="89" t="str">
        <v/>
      </c>
      <c r="G3814" s="89" t="str">
        <f ca="1"/>
        <v/>
      </c>
    </row>
    <row r="3815" spans="1:7" x14ac:dyDescent="0.3">
      <c r="A3815" s="89" t="str">
        <v/>
      </c>
      <c r="B3815" s="89" t="str">
        <v>Seguridad para Trabajos en Caliente</v>
      </c>
      <c r="C3815" s="90" t="str">
        <v/>
      </c>
      <c r="D3815" s="89" t="str">
        <v>Periódica</v>
      </c>
      <c r="E3815" s="89">
        <v>365</v>
      </c>
      <c r="F3815" s="89" t="str">
        <v/>
      </c>
      <c r="G3815" s="89" t="str">
        <f ca="1"/>
        <v/>
      </c>
    </row>
    <row r="3816" spans="1:7" x14ac:dyDescent="0.3">
      <c r="A3816" s="89" t="str">
        <v/>
      </c>
      <c r="B3816" s="89" t="str">
        <v>Seguridad con la Radiacion</v>
      </c>
      <c r="C3816" s="90" t="str">
        <v/>
      </c>
      <c r="D3816" s="89" t="str">
        <v>Periódica</v>
      </c>
      <c r="E3816" s="89">
        <v>365</v>
      </c>
      <c r="F3816" s="89" t="str">
        <v/>
      </c>
      <c r="G3816" s="89" t="str">
        <f ca="1"/>
        <v/>
      </c>
    </row>
    <row r="3817" spans="1:7" x14ac:dyDescent="0.3">
      <c r="A3817" s="89" t="str">
        <v/>
      </c>
      <c r="B3817" s="89" t="str">
        <v>Equipo de Proteccion Personal (PPE)</v>
      </c>
      <c r="C3817" s="90" t="str">
        <v/>
      </c>
      <c r="D3817" s="89" t="str">
        <v>Periódica</v>
      </c>
      <c r="E3817" s="89">
        <v>365</v>
      </c>
      <c r="F3817" s="89" t="str">
        <v/>
      </c>
      <c r="G3817" s="89" t="str">
        <f ca="1"/>
        <v/>
      </c>
    </row>
    <row r="3818" spans="1:7" x14ac:dyDescent="0.3">
      <c r="A3818" s="89" t="str">
        <v/>
      </c>
      <c r="B3818" s="89" t="str">
        <v>Proteccion Respiratoria</v>
      </c>
      <c r="C3818" s="90" t="str">
        <v/>
      </c>
      <c r="D3818" s="89" t="str">
        <v>Periódica</v>
      </c>
      <c r="E3818" s="89">
        <v>365</v>
      </c>
      <c r="F3818" s="89" t="str">
        <v/>
      </c>
      <c r="G3818" s="89" t="str">
        <f ca="1"/>
        <v/>
      </c>
    </row>
    <row r="3819" spans="1:7" x14ac:dyDescent="0.3">
      <c r="A3819" s="89" t="str">
        <v/>
      </c>
      <c r="B3819" s="89" t="str">
        <v xml:space="preserve">Seguridad con Escaleras </v>
      </c>
      <c r="C3819" s="90" t="str">
        <v/>
      </c>
      <c r="D3819" s="89" t="str">
        <v>Periódica</v>
      </c>
      <c r="E3819" s="89">
        <v>365</v>
      </c>
      <c r="F3819" s="89" t="str">
        <v/>
      </c>
      <c r="G3819" s="89" t="str">
        <f ca="1"/>
        <v/>
      </c>
    </row>
    <row r="3820" spans="1:7" x14ac:dyDescent="0.3">
      <c r="A3820" s="89" t="str">
        <v/>
      </c>
      <c r="B3820" s="89" t="str">
        <v>Seguridad con Escaleras // Estantes de Almacenamiento</v>
      </c>
      <c r="C3820" s="90" t="str">
        <v/>
      </c>
      <c r="D3820" s="89" t="str">
        <v>Periódica</v>
      </c>
      <c r="E3820" s="89">
        <v>365</v>
      </c>
      <c r="F3820" s="89" t="str">
        <v/>
      </c>
      <c r="G3820" s="89" t="str">
        <f ca="1"/>
        <v/>
      </c>
    </row>
    <row r="3821" spans="1:7" x14ac:dyDescent="0.3">
      <c r="A3821" s="89" t="str">
        <v/>
      </c>
      <c r="B3821" s="89" t="str">
        <v>Responsabilidades del Supervisor</v>
      </c>
      <c r="C3821" s="90" t="str">
        <v/>
      </c>
      <c r="D3821" s="89" t="str">
        <v>Periódica</v>
      </c>
      <c r="E3821" s="89">
        <v>365</v>
      </c>
      <c r="F3821" s="89" t="str">
        <v/>
      </c>
      <c r="G3821" s="89" t="str">
        <f ca="1"/>
        <v/>
      </c>
    </row>
    <row r="3822" spans="1:7" x14ac:dyDescent="0.3">
      <c r="A3822" s="89" t="str">
        <v/>
      </c>
      <c r="B3822" s="89" t="str">
        <v>Espacios Confinados (Todos)</v>
      </c>
      <c r="C3822" s="90" t="str">
        <v/>
      </c>
      <c r="D3822" s="89" t="str">
        <v>Periódica</v>
      </c>
      <c r="E3822" s="89">
        <v>365</v>
      </c>
      <c r="F3822" s="89" t="str">
        <v/>
      </c>
      <c r="G3822" s="89" t="str">
        <f ca="1"/>
        <v/>
      </c>
    </row>
    <row r="3823" spans="1:7" x14ac:dyDescent="0.3">
      <c r="A3823" s="89" t="str">
        <v/>
      </c>
      <c r="B3823" s="89" t="str">
        <v>HSMS.017 / Espacios Confinados (Entrantes)</v>
      </c>
      <c r="C3823" s="90" t="str">
        <v/>
      </c>
      <c r="D3823" s="89" t="str">
        <v>Evento</v>
      </c>
      <c r="E3823" s="89">
        <v>0</v>
      </c>
      <c r="F3823" s="89" t="str">
        <v/>
      </c>
      <c r="G3823" s="89" t="str">
        <f ca="1"/>
        <v/>
      </c>
    </row>
    <row r="3824" spans="1:7" x14ac:dyDescent="0.3">
      <c r="A3824" s="89" t="str">
        <v/>
      </c>
      <c r="B3824" s="89" t="str">
        <v>Programa de Agua (Todos)</v>
      </c>
      <c r="C3824" s="90" t="str">
        <v/>
      </c>
      <c r="D3824" s="89" t="str">
        <v>Evento</v>
      </c>
      <c r="E3824" s="89">
        <v>0</v>
      </c>
      <c r="F3824" s="89" t="str">
        <v/>
      </c>
      <c r="G3824" s="89" t="str">
        <f ca="1"/>
        <v/>
      </c>
    </row>
    <row r="3825" spans="1:7" x14ac:dyDescent="0.3">
      <c r="A3825" s="89" t="str">
        <v/>
      </c>
      <c r="B3825" s="89" t="str">
        <v>Programa de Agua (HSE)</v>
      </c>
      <c r="C3825" s="90" t="str">
        <v/>
      </c>
      <c r="D3825" s="89" t="str">
        <v>Evento</v>
      </c>
      <c r="E3825" s="89">
        <v>0</v>
      </c>
      <c r="F3825" s="89" t="str">
        <v/>
      </c>
      <c r="G3825" s="89" t="str">
        <f ca="1"/>
        <v/>
      </c>
    </row>
    <row r="3826" spans="1:7" x14ac:dyDescent="0.3">
      <c r="A3826" s="89" t="str">
        <v/>
      </c>
      <c r="B3826" s="89" t="str">
        <v>HIV/SIDA y otras enfermedades de transmisión sexual (ETS)</v>
      </c>
      <c r="C3826" s="90" t="str">
        <v/>
      </c>
      <c r="D3826" s="89" t="str">
        <v>Periódica</v>
      </c>
      <c r="E3826" s="89">
        <v>365</v>
      </c>
      <c r="F3826" s="89" t="str">
        <v/>
      </c>
      <c r="G3826" s="89" t="str">
        <f ca="1"/>
        <v/>
      </c>
    </row>
    <row r="3827" spans="1:7" x14ac:dyDescent="0.3">
      <c r="A3827" s="89" t="str">
        <v/>
      </c>
      <c r="B3827" s="89" t="str">
        <v>Drogas de abuso (concientización y prevención)</v>
      </c>
      <c r="C3827" s="90" t="str">
        <v/>
      </c>
      <c r="D3827" s="89" t="str">
        <v>Periódica</v>
      </c>
      <c r="E3827" s="89">
        <v>365</v>
      </c>
      <c r="F3827" s="89" t="str">
        <v/>
      </c>
      <c r="G3827" s="89" t="str">
        <f ca="1"/>
        <v/>
      </c>
    </row>
    <row r="3828" spans="1:7" x14ac:dyDescent="0.3">
      <c r="A3828" s="89" t="str">
        <v/>
      </c>
      <c r="B3828" s="89" t="str">
        <v>Vida saludable (hábitos, autocuidado y bienestar)</v>
      </c>
      <c r="C3828" s="90" t="str">
        <v/>
      </c>
      <c r="D3828" s="89" t="str">
        <v>Periódica</v>
      </c>
      <c r="E3828" s="89">
        <v>365</v>
      </c>
      <c r="F3828" s="89" t="str">
        <v/>
      </c>
      <c r="G3828" s="89" t="str">
        <f ca="1"/>
        <v/>
      </c>
    </row>
    <row r="3829" spans="1:7" x14ac:dyDescent="0.3">
      <c r="A3829" s="89" t="str">
        <v/>
      </c>
      <c r="B3829" s="89" t="str">
        <v>Primeros auxilios y Reanimación Cardio Pulmonar (RCP)</v>
      </c>
      <c r="C3829" s="90" t="str">
        <v/>
      </c>
      <c r="D3829" s="89" t="str">
        <v>Periódica</v>
      </c>
      <c r="E3829" s="89">
        <v>365</v>
      </c>
      <c r="F3829" s="89" t="str">
        <v/>
      </c>
      <c r="G3829" s="89" t="str">
        <f ca="1"/>
        <v/>
      </c>
    </row>
    <row r="3830" spans="1:7" x14ac:dyDescent="0.3">
      <c r="A3830" s="89" t="str">
        <v/>
      </c>
      <c r="B3830" s="89" t="str">
        <v>Prevención cardiovascular (factores de riesgo y señales de alarma)</v>
      </c>
      <c r="C3830" s="90" t="str">
        <v/>
      </c>
      <c r="D3830" s="89" t="str">
        <v>Periódica</v>
      </c>
      <c r="E3830" s="89">
        <v>365</v>
      </c>
      <c r="F3830" s="89" t="str">
        <v/>
      </c>
      <c r="G3830" s="89" t="str">
        <f ca="1"/>
        <v/>
      </c>
    </row>
    <row r="3831" spans="1:7" x14ac:dyDescent="0.3">
      <c r="A3831" s="89" t="str">
        <v/>
      </c>
      <c r="B3831" s="89" t="str">
        <v>Efectos del tabaco sobre la salud</v>
      </c>
      <c r="C3831" s="90" t="str">
        <v/>
      </c>
      <c r="D3831" s="89" t="str">
        <v>Periódica</v>
      </c>
      <c r="E3831" s="89">
        <v>365</v>
      </c>
      <c r="F3831" s="89" t="str">
        <v/>
      </c>
      <c r="G3831" s="89" t="str">
        <f ca="1"/>
        <v/>
      </c>
    </row>
    <row r="3832" spans="1:7" x14ac:dyDescent="0.3">
      <c r="A3832" s="89" t="str">
        <v/>
      </c>
      <c r="B3832" s="89" t="str">
        <v>Cargadora (Op. Montacargas)</v>
      </c>
      <c r="C3832" s="90" t="str">
        <v/>
      </c>
      <c r="D3832" s="89" t="str">
        <v>Periódica</v>
      </c>
      <c r="E3832" s="89">
        <v>365</v>
      </c>
      <c r="F3832" s="89" t="str">
        <v/>
      </c>
      <c r="G3832" s="89" t="str">
        <f ca="1"/>
        <v/>
      </c>
    </row>
    <row r="3833" spans="1:7" x14ac:dyDescent="0.3">
      <c r="A3833" s="89" t="str">
        <v/>
      </c>
      <c r="B3833" s="89">
        <v>0</v>
      </c>
      <c r="C3833" s="90" t="str">
        <v/>
      </c>
      <c r="D3833" s="89" t="str">
        <v/>
      </c>
      <c r="E3833" s="89" t="str">
        <v/>
      </c>
      <c r="F3833" s="89" t="str">
        <v/>
      </c>
      <c r="G3833" s="89" t="str">
        <f ca="1"/>
        <v/>
      </c>
    </row>
    <row r="3834" spans="1:7" x14ac:dyDescent="0.3">
      <c r="A3834" s="89" t="str">
        <v/>
      </c>
      <c r="B3834" s="89">
        <v>0</v>
      </c>
      <c r="C3834" s="90" t="str">
        <v/>
      </c>
      <c r="D3834" s="89" t="str">
        <v/>
      </c>
      <c r="E3834" s="89" t="str">
        <v/>
      </c>
      <c r="F3834" s="89" t="str">
        <v/>
      </c>
      <c r="G3834" s="89" t="str">
        <f ca="1"/>
        <v/>
      </c>
    </row>
    <row r="3835" spans="1:7" x14ac:dyDescent="0.3">
      <c r="A3835" s="89" t="str">
        <v/>
      </c>
      <c r="B3835" s="89">
        <v>0</v>
      </c>
      <c r="C3835" s="90" t="str">
        <v/>
      </c>
      <c r="D3835" s="89" t="str">
        <v/>
      </c>
      <c r="E3835" s="89" t="str">
        <v/>
      </c>
      <c r="F3835" s="89" t="str">
        <v/>
      </c>
      <c r="G3835" s="89" t="str">
        <f ca="1"/>
        <v/>
      </c>
    </row>
    <row r="3836" spans="1:7" x14ac:dyDescent="0.3">
      <c r="A3836" s="89" t="str">
        <v/>
      </c>
      <c r="B3836" s="89">
        <v>0</v>
      </c>
      <c r="C3836" s="90" t="str">
        <v/>
      </c>
      <c r="D3836" s="89" t="str">
        <v/>
      </c>
      <c r="E3836" s="89" t="str">
        <v/>
      </c>
      <c r="F3836" s="89" t="str">
        <v/>
      </c>
      <c r="G3836" s="89" t="str">
        <f ca="1"/>
        <v/>
      </c>
    </row>
    <row r="3837" spans="1:7" x14ac:dyDescent="0.3">
      <c r="A3837" s="89" t="str">
        <v/>
      </c>
      <c r="B3837" s="89">
        <v>0</v>
      </c>
      <c r="C3837" s="90" t="str">
        <v/>
      </c>
      <c r="D3837" s="89" t="str">
        <v/>
      </c>
      <c r="E3837" s="89" t="str">
        <v/>
      </c>
      <c r="F3837" s="89" t="str">
        <v/>
      </c>
      <c r="G3837" s="89" t="str">
        <f ca="1"/>
        <v/>
      </c>
    </row>
    <row r="3838" spans="1:7" x14ac:dyDescent="0.3">
      <c r="A3838" s="89" t="str">
        <v/>
      </c>
      <c r="B3838" s="89">
        <v>0</v>
      </c>
      <c r="C3838" s="90" t="str">
        <v/>
      </c>
      <c r="D3838" s="89" t="str">
        <v/>
      </c>
      <c r="E3838" s="89" t="str">
        <v/>
      </c>
      <c r="F3838" s="89" t="str">
        <v/>
      </c>
      <c r="G3838" s="89" t="str">
        <f ca="1"/>
        <v/>
      </c>
    </row>
    <row r="3839" spans="1:7" x14ac:dyDescent="0.3">
      <c r="A3839" s="89" t="str">
        <v/>
      </c>
      <c r="B3839" s="89">
        <v>0</v>
      </c>
      <c r="C3839" s="90" t="str">
        <v/>
      </c>
      <c r="D3839" s="89" t="str">
        <v/>
      </c>
      <c r="E3839" s="89" t="str">
        <v/>
      </c>
      <c r="F3839" s="89" t="str">
        <v/>
      </c>
      <c r="G3839" s="89" t="str">
        <f ca="1"/>
        <v/>
      </c>
    </row>
    <row r="3840" spans="1:7" x14ac:dyDescent="0.3">
      <c r="A3840" s="89" t="str">
        <v/>
      </c>
      <c r="B3840" s="89">
        <v>0</v>
      </c>
      <c r="C3840" s="90" t="str">
        <v/>
      </c>
      <c r="D3840" s="89" t="str">
        <v/>
      </c>
      <c r="E3840" s="89" t="str">
        <v/>
      </c>
      <c r="F3840" s="89" t="str">
        <v/>
      </c>
      <c r="G3840" s="89" t="str">
        <f ca="1"/>
        <v/>
      </c>
    </row>
    <row r="3841" spans="1:7" x14ac:dyDescent="0.3">
      <c r="A3841" s="89" t="str">
        <v/>
      </c>
      <c r="B3841" s="89">
        <v>0</v>
      </c>
      <c r="C3841" s="90" t="str">
        <v/>
      </c>
      <c r="D3841" s="89" t="str">
        <v/>
      </c>
      <c r="E3841" s="89" t="str">
        <v/>
      </c>
      <c r="F3841" s="89" t="str">
        <v/>
      </c>
      <c r="G3841" s="89" t="str">
        <f ca="1"/>
        <v/>
      </c>
    </row>
    <row r="3842" spans="1:7" x14ac:dyDescent="0.3">
      <c r="A3842" s="89" t="str">
        <v/>
      </c>
      <c r="B3842" s="89" t="str">
        <v>Programa de Aire</v>
      </c>
      <c r="C3842" s="90" t="str">
        <v/>
      </c>
      <c r="D3842" s="89" t="str">
        <v>Evento</v>
      </c>
      <c r="E3842" s="89">
        <v>0</v>
      </c>
      <c r="F3842" s="89" t="str">
        <v/>
      </c>
      <c r="G3842" s="89" t="str">
        <f ca="1"/>
        <v/>
      </c>
    </row>
    <row r="3843" spans="1:7" x14ac:dyDescent="0.3">
      <c r="A3843" s="89" t="str">
        <v/>
      </c>
      <c r="B3843" s="89" t="str">
        <v>Conciencia Ambiental</v>
      </c>
      <c r="C3843" s="90" t="str">
        <v/>
      </c>
      <c r="D3843" s="89" t="str">
        <v>Periódica</v>
      </c>
      <c r="E3843" s="89">
        <v>365</v>
      </c>
      <c r="F3843" s="89" t="str">
        <v/>
      </c>
      <c r="G3843" s="89" t="str">
        <f ca="1"/>
        <v/>
      </c>
    </row>
    <row r="3844" spans="1:7" x14ac:dyDescent="0.3">
      <c r="A3844" s="89" t="str">
        <v/>
      </c>
      <c r="B3844" s="89" t="str">
        <v xml:space="preserve">Control de Documentos e Informacion de HSE </v>
      </c>
      <c r="C3844" s="90" t="str">
        <v/>
      </c>
      <c r="D3844" s="89" t="str">
        <v>Evento</v>
      </c>
      <c r="E3844" s="89">
        <v>0</v>
      </c>
      <c r="F3844" s="89" t="str">
        <v/>
      </c>
      <c r="G3844" s="89" t="str">
        <f ca="1"/>
        <v/>
      </c>
    </row>
    <row r="3845" spans="1:7" x14ac:dyDescent="0.3">
      <c r="A3845" s="89" t="str">
        <v/>
      </c>
      <c r="B3845" s="89" t="str">
        <v xml:space="preserve"> Acciones Correctivas y Preventivas (CAPA)</v>
      </c>
      <c r="C3845" s="90" t="str">
        <v/>
      </c>
      <c r="D3845" s="89" t="str">
        <v>Evento</v>
      </c>
      <c r="E3845" s="89">
        <v>0</v>
      </c>
      <c r="F3845" s="89" t="str">
        <v/>
      </c>
      <c r="G3845" s="89" t="str">
        <f ca="1"/>
        <v/>
      </c>
    </row>
    <row r="3846" spans="1:7" x14ac:dyDescent="0.3">
      <c r="A3846" s="89" t="str">
        <v/>
      </c>
      <c r="B3846" s="89" t="str">
        <v>Seguridad Basada en el Comportamiento (Observation Program) // HSMS.043 / Autoridad de Detener el Trabajo</v>
      </c>
      <c r="C3846" s="90" t="str">
        <v/>
      </c>
      <c r="D3846" s="89" t="str">
        <v>Periódica</v>
      </c>
      <c r="E3846" s="89">
        <v>365</v>
      </c>
      <c r="F3846" s="89" t="str">
        <v/>
      </c>
      <c r="G3846" s="89" t="str">
        <f ca="1"/>
        <v/>
      </c>
    </row>
    <row r="3847" spans="1:7" x14ac:dyDescent="0.3">
      <c r="A3847" s="89" t="str">
        <v/>
      </c>
      <c r="B3847" s="89" t="str">
        <v>Identificacion de Peligros y Evaluacion de Riesgos</v>
      </c>
      <c r="C3847" s="90" t="str">
        <v/>
      </c>
      <c r="D3847" s="89" t="str">
        <v>Evento</v>
      </c>
      <c r="E3847" s="89">
        <v>0</v>
      </c>
      <c r="F3847" s="89" t="str">
        <v/>
      </c>
      <c r="G3847" s="89" t="str">
        <f ca="1"/>
        <v/>
      </c>
    </row>
    <row r="3848" spans="1:7" x14ac:dyDescent="0.3">
      <c r="A3848" s="89" t="str">
        <v/>
      </c>
      <c r="B3848" s="89" t="str">
        <v xml:space="preserve"> Plan de Respuesta ante Eemergencias / HSMS.010 /Primeros Axulios &amp; RCP/DEA / HSMSWT-002 / Patogenos Trasnmitidos por la Sangre</v>
      </c>
      <c r="C3848" s="90" t="str">
        <v/>
      </c>
      <c r="D3848" s="89" t="str">
        <v>Periódica</v>
      </c>
      <c r="E3848" s="89">
        <v>365</v>
      </c>
      <c r="F3848" s="89" t="str">
        <v/>
      </c>
      <c r="G3848" s="89" t="str">
        <f ca="1"/>
        <v/>
      </c>
    </row>
    <row r="3849" spans="1:7" x14ac:dyDescent="0.3">
      <c r="A3849" s="89" t="str">
        <v/>
      </c>
      <c r="B3849" s="89" t="str">
        <v>Reporte y Gestion de Incidentes HSE (Todos)</v>
      </c>
      <c r="C3849" s="90" t="str">
        <v/>
      </c>
      <c r="D3849" s="89" t="str">
        <v>Periódica</v>
      </c>
      <c r="E3849" s="89">
        <v>365</v>
      </c>
      <c r="F3849" s="89" t="str">
        <v/>
      </c>
      <c r="G3849" s="89" t="str">
        <f ca="1"/>
        <v/>
      </c>
    </row>
    <row r="3850" spans="1:7" x14ac:dyDescent="0.3">
      <c r="A3850" s="89" t="str">
        <v/>
      </c>
      <c r="B3850" s="89" t="str">
        <v>Reporte, Gestion e Investigacion de Incidentes HSE (supervisores / investigadores (rol))</v>
      </c>
      <c r="C3850" s="90" t="str">
        <v/>
      </c>
      <c r="D3850" s="89" t="str">
        <v>Periódica</v>
      </c>
      <c r="E3850" s="89">
        <v>1095</v>
      </c>
      <c r="F3850" s="89" t="str">
        <v/>
      </c>
      <c r="G3850" s="89" t="str">
        <f ca="1"/>
        <v/>
      </c>
    </row>
    <row r="3851" spans="1:7" x14ac:dyDescent="0.3">
      <c r="A3851" s="89" t="str">
        <v/>
      </c>
      <c r="B3851" s="89" t="str">
        <v>Gruas y Equipos de Izaje (Todos)</v>
      </c>
      <c r="C3851" s="90" t="str">
        <v/>
      </c>
      <c r="D3851" s="89" t="str">
        <v>Periódica</v>
      </c>
      <c r="E3851" s="89">
        <v>365</v>
      </c>
      <c r="F3851" s="89" t="str">
        <v/>
      </c>
      <c r="G3851" s="89" t="str">
        <f ca="1"/>
        <v/>
      </c>
    </row>
    <row r="3852" spans="1:7" x14ac:dyDescent="0.3">
      <c r="A3852" s="89" t="str">
        <v/>
      </c>
      <c r="B3852" s="89" t="str">
        <v>HSMS.007 / Gruas y Equipos de Izaje (Operadores)</v>
      </c>
      <c r="C3852" s="90" t="str">
        <v/>
      </c>
      <c r="D3852" s="89" t="str">
        <v>Periódica</v>
      </c>
      <c r="E3852" s="89">
        <v>365</v>
      </c>
      <c r="F3852" s="89" t="str">
        <v/>
      </c>
      <c r="G3852" s="89" t="str">
        <f ca="1"/>
        <v/>
      </c>
    </row>
    <row r="3853" spans="1:7" x14ac:dyDescent="0.3">
      <c r="A3853" s="89" t="str">
        <v/>
      </c>
      <c r="B3853" s="89" t="str">
        <v>Proteccion Contra Incendios (Todos)</v>
      </c>
      <c r="C3853" s="90" t="str">
        <v/>
      </c>
      <c r="D3853" s="89" t="str">
        <v>Periódica</v>
      </c>
      <c r="E3853" s="89">
        <v>365</v>
      </c>
      <c r="F3853" s="89" t="str">
        <v/>
      </c>
      <c r="G3853" s="89" t="str">
        <f ca="1"/>
        <v/>
      </c>
    </row>
    <row r="3854" spans="1:7" x14ac:dyDescent="0.3">
      <c r="A3854" s="89" t="str">
        <v/>
      </c>
      <c r="B3854" s="89" t="str">
        <v>Proteccion Contra Incendios (Brigadistas)</v>
      </c>
      <c r="C3854" s="90" t="str">
        <v/>
      </c>
      <c r="D3854" s="89" t="str">
        <v>Periódica</v>
      </c>
      <c r="E3854" s="89">
        <v>365</v>
      </c>
      <c r="F3854" s="89" t="str">
        <v/>
      </c>
      <c r="G3854" s="89" t="str">
        <f ca="1"/>
        <v/>
      </c>
    </row>
    <row r="3855" spans="1:7" x14ac:dyDescent="0.3">
      <c r="A3855" s="89" t="str">
        <v/>
      </c>
      <c r="B3855" s="89" t="str">
        <v>Primeros Auxilios (Brigadistas)</v>
      </c>
      <c r="C3855" s="90" t="str">
        <v/>
      </c>
      <c r="D3855" s="89" t="str">
        <v>Periódica</v>
      </c>
      <c r="E3855" s="89">
        <v>365</v>
      </c>
      <c r="F3855" s="89" t="str">
        <v/>
      </c>
      <c r="G3855" s="89" t="str">
        <f ca="1"/>
        <v/>
      </c>
    </row>
    <row r="3856" spans="1:7" x14ac:dyDescent="0.3">
      <c r="A3856" s="89" t="str">
        <v/>
      </c>
      <c r="B3856" s="89" t="str">
        <v>Seguridad Electrica (Todos)</v>
      </c>
      <c r="C3856" s="90" t="str">
        <v/>
      </c>
      <c r="D3856" s="89" t="str">
        <v>Periódica</v>
      </c>
      <c r="E3856" s="89">
        <v>365</v>
      </c>
      <c r="F3856" s="89" t="str">
        <v/>
      </c>
      <c r="G3856" s="89" t="str">
        <f ca="1"/>
        <v/>
      </c>
    </row>
    <row r="3857" spans="1:7" x14ac:dyDescent="0.3">
      <c r="A3857" s="89" t="str">
        <v/>
      </c>
      <c r="B3857" s="89" t="str">
        <v>Seguridad Electrica (Personal Autorizado)</v>
      </c>
      <c r="C3857" s="90" t="str">
        <v/>
      </c>
      <c r="D3857" s="89" t="str">
        <v>Periódica</v>
      </c>
      <c r="E3857" s="89">
        <v>1095</v>
      </c>
      <c r="F3857" s="89" t="str">
        <v/>
      </c>
      <c r="G3857" s="89" t="str">
        <f ca="1"/>
        <v/>
      </c>
    </row>
    <row r="3858" spans="1:7" x14ac:dyDescent="0.3">
      <c r="A3858" s="89" t="str">
        <v/>
      </c>
      <c r="B3858" s="89" t="str">
        <v>Camiones Industriales Motorizados (PIT) (Todos)</v>
      </c>
      <c r="C3858" s="90" t="str">
        <v/>
      </c>
      <c r="D3858" s="89" t="str">
        <v>Periódica</v>
      </c>
      <c r="E3858" s="89">
        <v>365</v>
      </c>
      <c r="F3858" s="89" t="str">
        <v/>
      </c>
      <c r="G3858" s="89" t="str">
        <f ca="1"/>
        <v/>
      </c>
    </row>
    <row r="3859" spans="1:7" x14ac:dyDescent="0.3">
      <c r="A3859" s="89" t="str">
        <v/>
      </c>
      <c r="B3859" s="89" t="str">
        <v>Camiones Industriales Motorizados (PIT) (Op. Montacargas)</v>
      </c>
      <c r="C3859" s="90" t="str">
        <v/>
      </c>
      <c r="D3859" s="89" t="str">
        <v>Periódica</v>
      </c>
      <c r="E3859" s="89">
        <v>365</v>
      </c>
      <c r="F3859" s="89" t="str">
        <v/>
      </c>
      <c r="G3859" s="89" t="str">
        <f ca="1"/>
        <v/>
      </c>
    </row>
    <row r="3860" spans="1:7" x14ac:dyDescent="0.3">
      <c r="A3860" s="89" t="str">
        <v/>
      </c>
      <c r="B3860" s="89" t="str">
        <v>Control de Energias Peligrosas (LOTO) (Todos)</v>
      </c>
      <c r="C3860" s="90" t="str">
        <v/>
      </c>
      <c r="D3860" s="89" t="str">
        <v>Evento</v>
      </c>
      <c r="E3860" s="89">
        <v>0</v>
      </c>
      <c r="F3860" s="89" t="str">
        <v/>
      </c>
      <c r="G3860" s="89" t="str">
        <f ca="1"/>
        <v/>
      </c>
    </row>
    <row r="3861" spans="1:7" x14ac:dyDescent="0.3">
      <c r="A3861" s="89" t="str">
        <v/>
      </c>
      <c r="B3861" s="89" t="str">
        <v>Control de Energias Peligrosas (LOTO) (Empleados Autorizados)</v>
      </c>
      <c r="C3861" s="90" t="str">
        <v/>
      </c>
      <c r="D3861" s="89" t="str">
        <v>Periódica</v>
      </c>
      <c r="E3861" s="89">
        <v>365</v>
      </c>
      <c r="F3861" s="89" t="str">
        <v/>
      </c>
      <c r="G3861" s="89" t="str">
        <f ca="1"/>
        <v/>
      </c>
    </row>
    <row r="3862" spans="1:7" x14ac:dyDescent="0.3">
      <c r="A3862" s="89" t="str">
        <v/>
      </c>
      <c r="B3862" s="89" t="str">
        <v>Seguridad aplicada al Pozo &amp; Yacimiento</v>
      </c>
      <c r="C3862" s="90" t="str">
        <v/>
      </c>
      <c r="D3862" s="89" t="str">
        <v>Periódica</v>
      </c>
      <c r="E3862" s="89">
        <v>365</v>
      </c>
      <c r="F3862" s="89" t="str">
        <v/>
      </c>
      <c r="G3862" s="89" t="str">
        <f ca="1"/>
        <v/>
      </c>
    </row>
    <row r="3863" spans="1:7" x14ac:dyDescent="0.3">
      <c r="A3863" s="89" t="str">
        <v/>
      </c>
      <c r="B3863" s="89" t="str">
        <v>Las Reglas que Salvan Vidas</v>
      </c>
      <c r="C3863" s="90" t="str">
        <v/>
      </c>
      <c r="D3863" s="89" t="str">
        <v>Periódica</v>
      </c>
      <c r="E3863" s="89">
        <v>365</v>
      </c>
      <c r="F3863" s="89" t="str">
        <v/>
      </c>
      <c r="G3863" s="89" t="str">
        <f ca="1"/>
        <v/>
      </c>
    </row>
    <row r="3864" spans="1:7" x14ac:dyDescent="0.3">
      <c r="A3864" s="89" t="str">
        <v/>
      </c>
      <c r="B3864" s="89" t="str">
        <v xml:space="preserve">Resguardo de Maquinas &amp; Equipos </v>
      </c>
      <c r="C3864" s="90" t="str">
        <v/>
      </c>
      <c r="D3864" s="89" t="str">
        <v>Periódica</v>
      </c>
      <c r="E3864" s="89">
        <v>365</v>
      </c>
      <c r="F3864" s="89" t="str">
        <v/>
      </c>
      <c r="G3864" s="89" t="str">
        <f ca="1"/>
        <v/>
      </c>
    </row>
    <row r="3865" spans="1:7" x14ac:dyDescent="0.3">
      <c r="A3865" s="89" t="str">
        <v/>
      </c>
      <c r="B3865" s="89" t="str">
        <v>Conduccion y Gestion de Viajes (Todos)</v>
      </c>
      <c r="C3865" s="90" t="str">
        <v/>
      </c>
      <c r="D3865" s="89" t="str">
        <v>Periódica</v>
      </c>
      <c r="E3865" s="89">
        <v>730</v>
      </c>
      <c r="F3865" s="89" t="str">
        <v/>
      </c>
      <c r="G3865" s="89" t="str">
        <f ca="1"/>
        <v/>
      </c>
    </row>
    <row r="3866" spans="1:7" x14ac:dyDescent="0.3">
      <c r="A3866" s="89" t="str">
        <v/>
      </c>
      <c r="B3866" s="89" t="str">
        <v>Conduccion y Gestion de Viajes (Conductores)</v>
      </c>
      <c r="C3866" s="90" t="str">
        <v/>
      </c>
      <c r="D3866" s="89" t="str">
        <v>Periódica</v>
      </c>
      <c r="E3866" s="89">
        <v>1095</v>
      </c>
      <c r="F3866" s="89" t="str">
        <v/>
      </c>
      <c r="G3866" s="89" t="str">
        <f ca="1"/>
        <v/>
      </c>
    </row>
    <row r="3867" spans="1:7" x14ac:dyDescent="0.3">
      <c r="A3867" s="89" t="str">
        <v/>
      </c>
      <c r="B3867" s="89" t="str">
        <v>Patogenos Transmitidos por la Sangre</v>
      </c>
      <c r="C3867" s="90" t="str">
        <v/>
      </c>
      <c r="D3867" s="89" t="str">
        <v>Periódica</v>
      </c>
      <c r="E3867" s="89">
        <v>365</v>
      </c>
      <c r="F3867" s="89" t="str">
        <v/>
      </c>
      <c r="G3867" s="89" t="str">
        <f ca="1"/>
        <v/>
      </c>
    </row>
    <row r="3868" spans="1:7" x14ac:dyDescent="0.3">
      <c r="A3868" s="89" t="str">
        <v/>
      </c>
      <c r="B3868" s="89" t="str">
        <v>Conservacion Auditiva</v>
      </c>
      <c r="C3868" s="90" t="str">
        <v/>
      </c>
      <c r="D3868" s="89" t="str">
        <v>Periódica</v>
      </c>
      <c r="E3868" s="89">
        <v>365</v>
      </c>
      <c r="F3868" s="89" t="str">
        <v/>
      </c>
      <c r="G3868" s="89" t="str">
        <f ca="1"/>
        <v/>
      </c>
    </row>
    <row r="3869" spans="1:7" x14ac:dyDescent="0.3">
      <c r="A3869" s="89" t="str">
        <v/>
      </c>
      <c r="B3869" s="89" t="str">
        <v xml:space="preserve">Ergonomia //  / Levantamiento &amp; Seguridad en la Espalda </v>
      </c>
      <c r="C3869" s="90" t="str">
        <v/>
      </c>
      <c r="D3869" s="89" t="str">
        <v>Periódica</v>
      </c>
      <c r="E3869" s="89">
        <v>365</v>
      </c>
      <c r="F3869" s="89" t="str">
        <v/>
      </c>
      <c r="G3869" s="89" t="str">
        <f ca="1"/>
        <v/>
      </c>
    </row>
    <row r="3870" spans="1:7" x14ac:dyDescent="0.3">
      <c r="A3870" s="89" t="str">
        <v/>
      </c>
      <c r="B3870" s="89" t="str">
        <v>Superficies Elevadas (Todos)</v>
      </c>
      <c r="C3870" s="90" t="str">
        <v/>
      </c>
      <c r="D3870" s="89" t="str">
        <v>Periódica</v>
      </c>
      <c r="E3870" s="89">
        <v>365</v>
      </c>
      <c r="F3870" s="89" t="str">
        <v/>
      </c>
      <c r="G3870" s="89" t="str">
        <f ca="1"/>
        <v/>
      </c>
    </row>
    <row r="3871" spans="1:7" x14ac:dyDescent="0.3">
      <c r="A3871" s="89" t="str">
        <v/>
      </c>
      <c r="B3871" s="89" t="str">
        <v>Superficies Elevadas (Personal Habilitado)</v>
      </c>
      <c r="C3871" s="90" t="str">
        <v/>
      </c>
      <c r="D3871" s="89" t="str">
        <v>Periódica</v>
      </c>
      <c r="E3871" s="89">
        <v>365</v>
      </c>
      <c r="F3871" s="89" t="str">
        <v/>
      </c>
      <c r="G3871" s="89" t="str">
        <f ca="1"/>
        <v/>
      </c>
    </row>
    <row r="3872" spans="1:7" x14ac:dyDescent="0.3">
      <c r="A3872" s="89" t="str">
        <v/>
      </c>
      <c r="B3872" s="89" t="str">
        <v>Seguridad Quimica (Todos)</v>
      </c>
      <c r="C3872" s="90" t="str">
        <v/>
      </c>
      <c r="D3872" s="89" t="str">
        <v>Periódica</v>
      </c>
      <c r="E3872" s="89">
        <v>730</v>
      </c>
      <c r="F3872" s="89" t="str">
        <v/>
      </c>
      <c r="G3872" s="89" t="str">
        <f ca="1"/>
        <v/>
      </c>
    </row>
    <row r="3873" spans="1:7" x14ac:dyDescent="0.3">
      <c r="A3873" s="89" t="str">
        <v/>
      </c>
      <c r="B3873" s="89" t="str">
        <v>Seguridad Quimica (Mantenimiento)</v>
      </c>
      <c r="C3873" s="90" t="str">
        <v/>
      </c>
      <c r="D3873" s="89" t="str">
        <v>Periódica</v>
      </c>
      <c r="E3873" s="89">
        <v>365</v>
      </c>
      <c r="F3873" s="89" t="str">
        <v/>
      </c>
      <c r="G3873" s="89" t="str">
        <f ca="1"/>
        <v/>
      </c>
    </row>
    <row r="3874" spans="1:7" x14ac:dyDescent="0.3">
      <c r="A3874" s="89" t="str">
        <v/>
      </c>
      <c r="B3874" s="89" t="str">
        <v>Seguridad Quimica (Contratistas)</v>
      </c>
      <c r="C3874" s="90" t="str">
        <v/>
      </c>
      <c r="D3874" s="89" t="str">
        <v>Periódica</v>
      </c>
      <c r="E3874" s="89">
        <v>365</v>
      </c>
      <c r="F3874" s="89" t="str">
        <v/>
      </c>
      <c r="G3874" s="89" t="str">
        <f ca="1"/>
        <v/>
      </c>
    </row>
    <row r="3875" spans="1:7" x14ac:dyDescent="0.3">
      <c r="A3875" s="89" t="str">
        <v/>
      </c>
      <c r="B3875" s="89" t="str">
        <v>Seguridad para Trabajos en Caliente</v>
      </c>
      <c r="C3875" s="90" t="str">
        <v/>
      </c>
      <c r="D3875" s="89" t="str">
        <v>Periódica</v>
      </c>
      <c r="E3875" s="89">
        <v>365</v>
      </c>
      <c r="F3875" s="89" t="str">
        <v/>
      </c>
      <c r="G3875" s="89" t="str">
        <f ca="1"/>
        <v/>
      </c>
    </row>
    <row r="3876" spans="1:7" x14ac:dyDescent="0.3">
      <c r="A3876" s="89" t="str">
        <v/>
      </c>
      <c r="B3876" s="89" t="str">
        <v>Seguridad con la Radiacion</v>
      </c>
      <c r="C3876" s="90" t="str">
        <v/>
      </c>
      <c r="D3876" s="89" t="str">
        <v>Periódica</v>
      </c>
      <c r="E3876" s="89">
        <v>365</v>
      </c>
      <c r="F3876" s="89" t="str">
        <v/>
      </c>
      <c r="G3876" s="89" t="str">
        <f ca="1"/>
        <v/>
      </c>
    </row>
    <row r="3877" spans="1:7" x14ac:dyDescent="0.3">
      <c r="A3877" s="89" t="str">
        <v/>
      </c>
      <c r="B3877" s="89" t="str">
        <v>Equipo de Proteccion Personal (PPE)</v>
      </c>
      <c r="C3877" s="90" t="str">
        <v/>
      </c>
      <c r="D3877" s="89" t="str">
        <v>Periódica</v>
      </c>
      <c r="E3877" s="89">
        <v>365</v>
      </c>
      <c r="F3877" s="89" t="str">
        <v/>
      </c>
      <c r="G3877" s="89" t="str">
        <f ca="1"/>
        <v/>
      </c>
    </row>
    <row r="3878" spans="1:7" x14ac:dyDescent="0.3">
      <c r="A3878" s="89" t="str">
        <v/>
      </c>
      <c r="B3878" s="89" t="str">
        <v>Proteccion Respiratoria</v>
      </c>
      <c r="C3878" s="90" t="str">
        <v/>
      </c>
      <c r="D3878" s="89" t="str">
        <v>Periódica</v>
      </c>
      <c r="E3878" s="89">
        <v>365</v>
      </c>
      <c r="F3878" s="89" t="str">
        <v/>
      </c>
      <c r="G3878" s="89" t="str">
        <f ca="1"/>
        <v/>
      </c>
    </row>
    <row r="3879" spans="1:7" x14ac:dyDescent="0.3">
      <c r="A3879" s="89" t="str">
        <v/>
      </c>
      <c r="B3879" s="89" t="str">
        <v xml:space="preserve">Seguridad con Escaleras </v>
      </c>
      <c r="C3879" s="90" t="str">
        <v/>
      </c>
      <c r="D3879" s="89" t="str">
        <v>Periódica</v>
      </c>
      <c r="E3879" s="89">
        <v>365</v>
      </c>
      <c r="F3879" s="89" t="str">
        <v/>
      </c>
      <c r="G3879" s="89" t="str">
        <f ca="1"/>
        <v/>
      </c>
    </row>
    <row r="3880" spans="1:7" x14ac:dyDescent="0.3">
      <c r="A3880" s="89" t="str">
        <v/>
      </c>
      <c r="B3880" s="89" t="str">
        <v>Seguridad con Escaleras // Estantes de Almacenamiento</v>
      </c>
      <c r="C3880" s="90" t="str">
        <v/>
      </c>
      <c r="D3880" s="89" t="str">
        <v>Periódica</v>
      </c>
      <c r="E3880" s="89">
        <v>365</v>
      </c>
      <c r="F3880" s="89" t="str">
        <v/>
      </c>
      <c r="G3880" s="89" t="str">
        <f ca="1"/>
        <v/>
      </c>
    </row>
    <row r="3881" spans="1:7" x14ac:dyDescent="0.3">
      <c r="A3881" s="89" t="str">
        <v/>
      </c>
      <c r="B3881" s="89" t="str">
        <v>Responsabilidades del Supervisor</v>
      </c>
      <c r="C3881" s="90" t="str">
        <v/>
      </c>
      <c r="D3881" s="89" t="str">
        <v>Periódica</v>
      </c>
      <c r="E3881" s="89">
        <v>365</v>
      </c>
      <c r="F3881" s="89" t="str">
        <v/>
      </c>
      <c r="G3881" s="89" t="str">
        <f ca="1"/>
        <v/>
      </c>
    </row>
    <row r="3882" spans="1:7" x14ac:dyDescent="0.3">
      <c r="A3882" s="89" t="str">
        <v/>
      </c>
      <c r="B3882" s="89" t="str">
        <v>Espacios Confinados (Todos)</v>
      </c>
      <c r="C3882" s="90" t="str">
        <v/>
      </c>
      <c r="D3882" s="89" t="str">
        <v>Periódica</v>
      </c>
      <c r="E3882" s="89">
        <v>365</v>
      </c>
      <c r="F3882" s="89" t="str">
        <v/>
      </c>
      <c r="G3882" s="89" t="str">
        <f ca="1"/>
        <v/>
      </c>
    </row>
    <row r="3883" spans="1:7" x14ac:dyDescent="0.3">
      <c r="A3883" s="89" t="str">
        <v/>
      </c>
      <c r="B3883" s="89" t="str">
        <v>HSMS.017 / Espacios Confinados (Entrantes)</v>
      </c>
      <c r="C3883" s="90" t="str">
        <v/>
      </c>
      <c r="D3883" s="89" t="str">
        <v>Evento</v>
      </c>
      <c r="E3883" s="89">
        <v>0</v>
      </c>
      <c r="F3883" s="89" t="str">
        <v/>
      </c>
      <c r="G3883" s="89" t="str">
        <f ca="1"/>
        <v/>
      </c>
    </row>
    <row r="3884" spans="1:7" x14ac:dyDescent="0.3">
      <c r="A3884" s="89" t="str">
        <v/>
      </c>
      <c r="B3884" s="89" t="str">
        <v>Programa de Agua (Todos)</v>
      </c>
      <c r="C3884" s="90" t="str">
        <v/>
      </c>
      <c r="D3884" s="89" t="str">
        <v>Evento</v>
      </c>
      <c r="E3884" s="89">
        <v>0</v>
      </c>
      <c r="F3884" s="89" t="str">
        <v/>
      </c>
      <c r="G3884" s="89" t="str">
        <f ca="1"/>
        <v/>
      </c>
    </row>
    <row r="3885" spans="1:7" x14ac:dyDescent="0.3">
      <c r="A3885" s="89" t="str">
        <v/>
      </c>
      <c r="B3885" s="89" t="str">
        <v>Programa de Agua (HSE)</v>
      </c>
      <c r="C3885" s="90" t="str">
        <v/>
      </c>
      <c r="D3885" s="89" t="str">
        <v>Evento</v>
      </c>
      <c r="E3885" s="89">
        <v>0</v>
      </c>
      <c r="F3885" s="89" t="str">
        <v/>
      </c>
      <c r="G3885" s="89" t="str">
        <f ca="1"/>
        <v/>
      </c>
    </row>
    <row r="3886" spans="1:7" x14ac:dyDescent="0.3">
      <c r="A3886" s="89" t="str">
        <v/>
      </c>
      <c r="B3886" s="89" t="str">
        <v>HIV/SIDA y otras enfermedades de transmisión sexual (ETS)</v>
      </c>
      <c r="C3886" s="90" t="str">
        <v/>
      </c>
      <c r="D3886" s="89" t="str">
        <v>Periódica</v>
      </c>
      <c r="E3886" s="89">
        <v>365</v>
      </c>
      <c r="F3886" s="89" t="str">
        <v/>
      </c>
      <c r="G3886" s="89" t="str">
        <f ca="1"/>
        <v/>
      </c>
    </row>
    <row r="3887" spans="1:7" x14ac:dyDescent="0.3">
      <c r="A3887" s="89" t="str">
        <v/>
      </c>
      <c r="B3887" s="89" t="str">
        <v>Drogas de abuso (concientización y prevención)</v>
      </c>
      <c r="C3887" s="90" t="str">
        <v/>
      </c>
      <c r="D3887" s="89" t="str">
        <v>Periódica</v>
      </c>
      <c r="E3887" s="89">
        <v>365</v>
      </c>
      <c r="F3887" s="89" t="str">
        <v/>
      </c>
      <c r="G3887" s="89" t="str">
        <f ca="1"/>
        <v/>
      </c>
    </row>
    <row r="3888" spans="1:7" x14ac:dyDescent="0.3">
      <c r="A3888" s="89" t="str">
        <v/>
      </c>
      <c r="B3888" s="89" t="str">
        <v>Vida saludable (hábitos, autocuidado y bienestar)</v>
      </c>
      <c r="C3888" s="90" t="str">
        <v/>
      </c>
      <c r="D3888" s="89" t="str">
        <v>Periódica</v>
      </c>
      <c r="E3888" s="89">
        <v>365</v>
      </c>
      <c r="F3888" s="89" t="str">
        <v/>
      </c>
      <c r="G3888" s="89" t="str">
        <f ca="1"/>
        <v/>
      </c>
    </row>
    <row r="3889" spans="1:7" x14ac:dyDescent="0.3">
      <c r="A3889" s="89" t="str">
        <v/>
      </c>
      <c r="B3889" s="89" t="str">
        <v>Primeros auxilios y Reanimación Cardio Pulmonar (RCP)</v>
      </c>
      <c r="C3889" s="90" t="str">
        <v/>
      </c>
      <c r="D3889" s="89" t="str">
        <v>Periódica</v>
      </c>
      <c r="E3889" s="89">
        <v>365</v>
      </c>
      <c r="F3889" s="89" t="str">
        <v/>
      </c>
      <c r="G3889" s="89" t="str">
        <f ca="1"/>
        <v/>
      </c>
    </row>
    <row r="3890" spans="1:7" x14ac:dyDescent="0.3">
      <c r="A3890" s="89" t="str">
        <v/>
      </c>
      <c r="B3890" s="89" t="str">
        <v>Prevención cardiovascular (factores de riesgo y señales de alarma)</v>
      </c>
      <c r="C3890" s="90" t="str">
        <v/>
      </c>
      <c r="D3890" s="89" t="str">
        <v>Periódica</v>
      </c>
      <c r="E3890" s="89">
        <v>365</v>
      </c>
      <c r="F3890" s="89" t="str">
        <v/>
      </c>
      <c r="G3890" s="89" t="str">
        <f ca="1"/>
        <v/>
      </c>
    </row>
    <row r="3891" spans="1:7" x14ac:dyDescent="0.3">
      <c r="A3891" s="89" t="str">
        <v/>
      </c>
      <c r="B3891" s="89" t="str">
        <v>Efectos del tabaco sobre la salud</v>
      </c>
      <c r="C3891" s="90" t="str">
        <v/>
      </c>
      <c r="D3891" s="89" t="str">
        <v>Periódica</v>
      </c>
      <c r="E3891" s="89">
        <v>365</v>
      </c>
      <c r="F3891" s="89" t="str">
        <v/>
      </c>
      <c r="G3891" s="89" t="str">
        <f ca="1"/>
        <v/>
      </c>
    </row>
    <row r="3892" spans="1:7" x14ac:dyDescent="0.3">
      <c r="A3892" s="89" t="str">
        <v/>
      </c>
      <c r="B3892" s="89" t="str">
        <v>Cargadora (Op. Montacargas)</v>
      </c>
      <c r="C3892" s="90" t="str">
        <v/>
      </c>
      <c r="D3892" s="89" t="str">
        <v>Periódica</v>
      </c>
      <c r="E3892" s="89">
        <v>365</v>
      </c>
      <c r="F3892" s="89" t="str">
        <v/>
      </c>
      <c r="G3892" s="89" t="str">
        <f ca="1"/>
        <v/>
      </c>
    </row>
    <row r="3893" spans="1:7" x14ac:dyDescent="0.3">
      <c r="A3893" s="89" t="str">
        <v/>
      </c>
      <c r="B3893" s="89">
        <v>0</v>
      </c>
      <c r="C3893" s="90" t="str">
        <v/>
      </c>
      <c r="D3893" s="89" t="str">
        <v/>
      </c>
      <c r="E3893" s="89" t="str">
        <v/>
      </c>
      <c r="F3893" s="89" t="str">
        <v/>
      </c>
      <c r="G3893" s="89" t="str">
        <f ca="1"/>
        <v/>
      </c>
    </row>
    <row r="3894" spans="1:7" x14ac:dyDescent="0.3">
      <c r="A3894" s="89" t="str">
        <v/>
      </c>
      <c r="B3894" s="89">
        <v>0</v>
      </c>
      <c r="C3894" s="90" t="str">
        <v/>
      </c>
      <c r="D3894" s="89" t="str">
        <v/>
      </c>
      <c r="E3894" s="89" t="str">
        <v/>
      </c>
      <c r="F3894" s="89" t="str">
        <v/>
      </c>
      <c r="G3894" s="89" t="str">
        <f ca="1"/>
        <v/>
      </c>
    </row>
    <row r="3895" spans="1:7" x14ac:dyDescent="0.3">
      <c r="A3895" s="89" t="str">
        <v/>
      </c>
      <c r="B3895" s="89">
        <v>0</v>
      </c>
      <c r="C3895" s="90" t="str">
        <v/>
      </c>
      <c r="D3895" s="89" t="str">
        <v/>
      </c>
      <c r="E3895" s="89" t="str">
        <v/>
      </c>
      <c r="F3895" s="89" t="str">
        <v/>
      </c>
      <c r="G3895" s="89" t="str">
        <f ca="1"/>
        <v/>
      </c>
    </row>
    <row r="3896" spans="1:7" x14ac:dyDescent="0.3">
      <c r="A3896" s="89" t="str">
        <v/>
      </c>
      <c r="B3896" s="89">
        <v>0</v>
      </c>
      <c r="C3896" s="90" t="str">
        <v/>
      </c>
      <c r="D3896" s="89" t="str">
        <v/>
      </c>
      <c r="E3896" s="89" t="str">
        <v/>
      </c>
      <c r="F3896" s="89" t="str">
        <v/>
      </c>
      <c r="G3896" s="89" t="str">
        <f ca="1"/>
        <v/>
      </c>
    </row>
    <row r="3897" spans="1:7" x14ac:dyDescent="0.3">
      <c r="A3897" s="89" t="str">
        <v/>
      </c>
      <c r="B3897" s="89">
        <v>0</v>
      </c>
      <c r="C3897" s="90" t="str">
        <v/>
      </c>
      <c r="D3897" s="89" t="str">
        <v/>
      </c>
      <c r="E3897" s="89" t="str">
        <v/>
      </c>
      <c r="F3897" s="89" t="str">
        <v/>
      </c>
      <c r="G3897" s="89" t="str">
        <f ca="1"/>
        <v/>
      </c>
    </row>
    <row r="3898" spans="1:7" x14ac:dyDescent="0.3">
      <c r="A3898" s="89" t="str">
        <v/>
      </c>
      <c r="B3898" s="89">
        <v>0</v>
      </c>
      <c r="C3898" s="90" t="str">
        <v/>
      </c>
      <c r="D3898" s="89" t="str">
        <v/>
      </c>
      <c r="E3898" s="89" t="str">
        <v/>
      </c>
      <c r="F3898" s="89" t="str">
        <v/>
      </c>
      <c r="G3898" s="89" t="str">
        <f ca="1"/>
        <v/>
      </c>
    </row>
    <row r="3899" spans="1:7" x14ac:dyDescent="0.3">
      <c r="A3899" s="89" t="str">
        <v/>
      </c>
      <c r="B3899" s="89">
        <v>0</v>
      </c>
      <c r="C3899" s="90" t="str">
        <v/>
      </c>
      <c r="D3899" s="89" t="str">
        <v/>
      </c>
      <c r="E3899" s="89" t="str">
        <v/>
      </c>
      <c r="F3899" s="89" t="str">
        <v/>
      </c>
      <c r="G3899" s="89" t="str">
        <f ca="1"/>
        <v/>
      </c>
    </row>
    <row r="3900" spans="1:7" x14ac:dyDescent="0.3">
      <c r="A3900" s="89" t="str">
        <v/>
      </c>
      <c r="B3900" s="89">
        <v>0</v>
      </c>
      <c r="C3900" s="90" t="str">
        <v/>
      </c>
      <c r="D3900" s="89" t="str">
        <v/>
      </c>
      <c r="E3900" s="89" t="str">
        <v/>
      </c>
      <c r="F3900" s="89" t="str">
        <v/>
      </c>
      <c r="G3900" s="89" t="str">
        <f ca="1"/>
        <v/>
      </c>
    </row>
    <row r="3901" spans="1:7" x14ac:dyDescent="0.3">
      <c r="A3901" s="89" t="str">
        <v/>
      </c>
      <c r="B3901" s="89">
        <v>0</v>
      </c>
      <c r="C3901" s="90" t="str">
        <v/>
      </c>
      <c r="D3901" s="89" t="str">
        <v/>
      </c>
      <c r="E3901" s="89" t="str">
        <v/>
      </c>
      <c r="F3901" s="89" t="str">
        <v/>
      </c>
      <c r="G3901" s="89" t="str">
        <f ca="1"/>
        <v/>
      </c>
    </row>
    <row r="3902" spans="1:7" x14ac:dyDescent="0.3">
      <c r="A3902" s="89" t="str">
        <v/>
      </c>
      <c r="B3902" s="89" t="str">
        <v>Programa de Aire</v>
      </c>
      <c r="C3902" s="90" t="str">
        <v/>
      </c>
      <c r="D3902" s="89" t="str">
        <v>Evento</v>
      </c>
      <c r="E3902" s="89">
        <v>0</v>
      </c>
      <c r="F3902" s="89" t="str">
        <v/>
      </c>
      <c r="G3902" s="89" t="str">
        <f ca="1"/>
        <v/>
      </c>
    </row>
    <row r="3903" spans="1:7" x14ac:dyDescent="0.3">
      <c r="A3903" s="89" t="str">
        <v/>
      </c>
      <c r="B3903" s="89" t="str">
        <v>Conciencia Ambiental</v>
      </c>
      <c r="C3903" s="90" t="str">
        <v/>
      </c>
      <c r="D3903" s="89" t="str">
        <v>Periódica</v>
      </c>
      <c r="E3903" s="89">
        <v>365</v>
      </c>
      <c r="F3903" s="89" t="str">
        <v/>
      </c>
      <c r="G3903" s="89" t="str">
        <f ca="1"/>
        <v/>
      </c>
    </row>
    <row r="3904" spans="1:7" x14ac:dyDescent="0.3">
      <c r="A3904" s="89" t="str">
        <v/>
      </c>
      <c r="B3904" s="89" t="str">
        <v xml:space="preserve">Control de Documentos e Informacion de HSE </v>
      </c>
      <c r="C3904" s="90" t="str">
        <v/>
      </c>
      <c r="D3904" s="89" t="str">
        <v>Evento</v>
      </c>
      <c r="E3904" s="89">
        <v>0</v>
      </c>
      <c r="F3904" s="89" t="str">
        <v/>
      </c>
      <c r="G3904" s="89" t="str">
        <f ca="1"/>
        <v/>
      </c>
    </row>
    <row r="3905" spans="1:7" x14ac:dyDescent="0.3">
      <c r="A3905" s="89" t="str">
        <v/>
      </c>
      <c r="B3905" s="89" t="str">
        <v xml:space="preserve"> Acciones Correctivas y Preventivas (CAPA)</v>
      </c>
      <c r="C3905" s="90" t="str">
        <v/>
      </c>
      <c r="D3905" s="89" t="str">
        <v>Evento</v>
      </c>
      <c r="E3905" s="89">
        <v>0</v>
      </c>
      <c r="F3905" s="89" t="str">
        <v/>
      </c>
      <c r="G3905" s="89" t="str">
        <f ca="1"/>
        <v/>
      </c>
    </row>
    <row r="3906" spans="1:7" x14ac:dyDescent="0.3">
      <c r="A3906" s="89" t="str">
        <v/>
      </c>
      <c r="B3906" s="89" t="str">
        <v>Seguridad Basada en el Comportamiento (Observation Program) // HSMS.043 / Autoridad de Detener el Trabajo</v>
      </c>
      <c r="C3906" s="90" t="str">
        <v/>
      </c>
      <c r="D3906" s="89" t="str">
        <v>Periódica</v>
      </c>
      <c r="E3906" s="89">
        <v>365</v>
      </c>
      <c r="F3906" s="89" t="str">
        <v/>
      </c>
      <c r="G3906" s="89" t="str">
        <f ca="1"/>
        <v/>
      </c>
    </row>
    <row r="3907" spans="1:7" x14ac:dyDescent="0.3">
      <c r="A3907" s="89" t="str">
        <v/>
      </c>
      <c r="B3907" s="89" t="str">
        <v>Identificacion de Peligros y Evaluacion de Riesgos</v>
      </c>
      <c r="C3907" s="90" t="str">
        <v/>
      </c>
      <c r="D3907" s="89" t="str">
        <v>Evento</v>
      </c>
      <c r="E3907" s="89">
        <v>0</v>
      </c>
      <c r="F3907" s="89" t="str">
        <v/>
      </c>
      <c r="G3907" s="89" t="str">
        <f ca="1"/>
        <v/>
      </c>
    </row>
    <row r="3908" spans="1:7" x14ac:dyDescent="0.3">
      <c r="A3908" s="89" t="str">
        <v/>
      </c>
      <c r="B3908" s="89" t="str">
        <v xml:space="preserve"> Plan de Respuesta ante Eemergencias / HSMS.010 /Primeros Axulios &amp; RCP/DEA / HSMSWT-002 / Patogenos Trasnmitidos por la Sangre</v>
      </c>
      <c r="C3908" s="90" t="str">
        <v/>
      </c>
      <c r="D3908" s="89" t="str">
        <v>Periódica</v>
      </c>
      <c r="E3908" s="89">
        <v>365</v>
      </c>
      <c r="F3908" s="89" t="str">
        <v/>
      </c>
      <c r="G3908" s="89" t="str">
        <f ca="1"/>
        <v/>
      </c>
    </row>
    <row r="3909" spans="1:7" x14ac:dyDescent="0.3">
      <c r="A3909" s="89" t="str">
        <v/>
      </c>
      <c r="B3909" s="89" t="str">
        <v>Reporte y Gestion de Incidentes HSE (Todos)</v>
      </c>
      <c r="C3909" s="90" t="str">
        <v/>
      </c>
      <c r="D3909" s="89" t="str">
        <v>Periódica</v>
      </c>
      <c r="E3909" s="89">
        <v>365</v>
      </c>
      <c r="F3909" s="89" t="str">
        <v/>
      </c>
      <c r="G3909" s="89" t="str">
        <f ca="1"/>
        <v/>
      </c>
    </row>
    <row r="3910" spans="1:7" x14ac:dyDescent="0.3">
      <c r="A3910" s="89" t="str">
        <v/>
      </c>
      <c r="B3910" s="89" t="str">
        <v>Reporte, Gestion e Investigacion de Incidentes HSE (supervisores / investigadores (rol))</v>
      </c>
      <c r="C3910" s="90" t="str">
        <v/>
      </c>
      <c r="D3910" s="89" t="str">
        <v>Periódica</v>
      </c>
      <c r="E3910" s="89">
        <v>1095</v>
      </c>
      <c r="F3910" s="89" t="str">
        <v/>
      </c>
      <c r="G3910" s="89" t="str">
        <f ca="1"/>
        <v/>
      </c>
    </row>
    <row r="3911" spans="1:7" x14ac:dyDescent="0.3">
      <c r="A3911" s="89" t="str">
        <v/>
      </c>
      <c r="B3911" s="89" t="str">
        <v>Gruas y Equipos de Izaje (Todos)</v>
      </c>
      <c r="C3911" s="90" t="str">
        <v/>
      </c>
      <c r="D3911" s="89" t="str">
        <v>Periódica</v>
      </c>
      <c r="E3911" s="89">
        <v>365</v>
      </c>
      <c r="F3911" s="89" t="str">
        <v/>
      </c>
      <c r="G3911" s="89" t="str">
        <f ca="1"/>
        <v/>
      </c>
    </row>
    <row r="3912" spans="1:7" x14ac:dyDescent="0.3">
      <c r="A3912" s="89" t="str">
        <v/>
      </c>
      <c r="B3912" s="89" t="str">
        <v>HSMS.007 / Gruas y Equipos de Izaje (Operadores)</v>
      </c>
      <c r="C3912" s="90" t="str">
        <v/>
      </c>
      <c r="D3912" s="89" t="str">
        <v>Periódica</v>
      </c>
      <c r="E3912" s="89">
        <v>365</v>
      </c>
      <c r="F3912" s="89" t="str">
        <v/>
      </c>
      <c r="G3912" s="89" t="str">
        <f ca="1"/>
        <v/>
      </c>
    </row>
    <row r="3913" spans="1:7" x14ac:dyDescent="0.3">
      <c r="A3913" s="89" t="str">
        <v/>
      </c>
      <c r="B3913" s="89" t="str">
        <v>Proteccion Contra Incendios (Todos)</v>
      </c>
      <c r="C3913" s="90" t="str">
        <v/>
      </c>
      <c r="D3913" s="89" t="str">
        <v>Periódica</v>
      </c>
      <c r="E3913" s="89">
        <v>365</v>
      </c>
      <c r="F3913" s="89" t="str">
        <v/>
      </c>
      <c r="G3913" s="89" t="str">
        <f ca="1"/>
        <v/>
      </c>
    </row>
    <row r="3914" spans="1:7" x14ac:dyDescent="0.3">
      <c r="A3914" s="89" t="str">
        <v/>
      </c>
      <c r="B3914" s="89" t="str">
        <v>Proteccion Contra Incendios (Brigadistas)</v>
      </c>
      <c r="C3914" s="90" t="str">
        <v/>
      </c>
      <c r="D3914" s="89" t="str">
        <v>Periódica</v>
      </c>
      <c r="E3914" s="89">
        <v>365</v>
      </c>
      <c r="F3914" s="89" t="str">
        <v/>
      </c>
      <c r="G3914" s="89" t="str">
        <f ca="1"/>
        <v/>
      </c>
    </row>
    <row r="3915" spans="1:7" x14ac:dyDescent="0.3">
      <c r="A3915" s="89" t="str">
        <v/>
      </c>
      <c r="B3915" s="89" t="str">
        <v>Primeros Auxilios (Brigadistas)</v>
      </c>
      <c r="C3915" s="90" t="str">
        <v/>
      </c>
      <c r="D3915" s="89" t="str">
        <v>Periódica</v>
      </c>
      <c r="E3915" s="89">
        <v>365</v>
      </c>
      <c r="F3915" s="89" t="str">
        <v/>
      </c>
      <c r="G3915" s="89" t="str">
        <f ca="1"/>
        <v/>
      </c>
    </row>
    <row r="3916" spans="1:7" x14ac:dyDescent="0.3">
      <c r="A3916" s="89" t="str">
        <v/>
      </c>
      <c r="B3916" s="89" t="str">
        <v>Seguridad Electrica (Todos)</v>
      </c>
      <c r="C3916" s="90" t="str">
        <v/>
      </c>
      <c r="D3916" s="89" t="str">
        <v>Periódica</v>
      </c>
      <c r="E3916" s="89">
        <v>365</v>
      </c>
      <c r="F3916" s="89" t="str">
        <v/>
      </c>
      <c r="G3916" s="89" t="str">
        <f ca="1"/>
        <v/>
      </c>
    </row>
    <row r="3917" spans="1:7" x14ac:dyDescent="0.3">
      <c r="A3917" s="89" t="str">
        <v/>
      </c>
      <c r="B3917" s="89" t="str">
        <v>Seguridad Electrica (Personal Autorizado)</v>
      </c>
      <c r="C3917" s="90" t="str">
        <v/>
      </c>
      <c r="D3917" s="89" t="str">
        <v>Periódica</v>
      </c>
      <c r="E3917" s="89">
        <v>1095</v>
      </c>
      <c r="F3917" s="89" t="str">
        <v/>
      </c>
      <c r="G3917" s="89" t="str">
        <f ca="1"/>
        <v/>
      </c>
    </row>
    <row r="3918" spans="1:7" x14ac:dyDescent="0.3">
      <c r="A3918" s="89" t="str">
        <v/>
      </c>
      <c r="B3918" s="89" t="str">
        <v>Camiones Industriales Motorizados (PIT) (Todos)</v>
      </c>
      <c r="C3918" s="90" t="str">
        <v/>
      </c>
      <c r="D3918" s="89" t="str">
        <v>Periódica</v>
      </c>
      <c r="E3918" s="89">
        <v>365</v>
      </c>
      <c r="F3918" s="89" t="str">
        <v/>
      </c>
      <c r="G3918" s="89" t="str">
        <f ca="1"/>
        <v/>
      </c>
    </row>
    <row r="3919" spans="1:7" x14ac:dyDescent="0.3">
      <c r="A3919" s="89" t="str">
        <v/>
      </c>
      <c r="B3919" s="89" t="str">
        <v>Camiones Industriales Motorizados (PIT) (Op. Montacargas)</v>
      </c>
      <c r="C3919" s="90" t="str">
        <v/>
      </c>
      <c r="D3919" s="89" t="str">
        <v>Periódica</v>
      </c>
      <c r="E3919" s="89">
        <v>365</v>
      </c>
      <c r="F3919" s="89" t="str">
        <v/>
      </c>
      <c r="G3919" s="89" t="str">
        <f ca="1"/>
        <v/>
      </c>
    </row>
    <row r="3920" spans="1:7" x14ac:dyDescent="0.3">
      <c r="A3920" s="89" t="str">
        <v/>
      </c>
      <c r="B3920" s="89" t="str">
        <v>Control de Energias Peligrosas (LOTO) (Todos)</v>
      </c>
      <c r="C3920" s="90" t="str">
        <v/>
      </c>
      <c r="D3920" s="89" t="str">
        <v>Evento</v>
      </c>
      <c r="E3920" s="89">
        <v>0</v>
      </c>
      <c r="F3920" s="89" t="str">
        <v/>
      </c>
      <c r="G3920" s="89" t="str">
        <f ca="1"/>
        <v/>
      </c>
    </row>
    <row r="3921" spans="1:7" x14ac:dyDescent="0.3">
      <c r="A3921" s="89" t="str">
        <v/>
      </c>
      <c r="B3921" s="89" t="str">
        <v>Control de Energias Peligrosas (LOTO) (Empleados Autorizados)</v>
      </c>
      <c r="C3921" s="90" t="str">
        <v/>
      </c>
      <c r="D3921" s="89" t="str">
        <v>Periódica</v>
      </c>
      <c r="E3921" s="89">
        <v>365</v>
      </c>
      <c r="F3921" s="89" t="str">
        <v/>
      </c>
      <c r="G3921" s="89" t="str">
        <f ca="1"/>
        <v/>
      </c>
    </row>
    <row r="3922" spans="1:7" x14ac:dyDescent="0.3">
      <c r="A3922" s="89" t="str">
        <v/>
      </c>
      <c r="B3922" s="89" t="str">
        <v>Seguridad aplicada al Pozo &amp; Yacimiento</v>
      </c>
      <c r="C3922" s="90" t="str">
        <v/>
      </c>
      <c r="D3922" s="89" t="str">
        <v>Periódica</v>
      </c>
      <c r="E3922" s="89">
        <v>365</v>
      </c>
      <c r="F3922" s="89" t="str">
        <v/>
      </c>
      <c r="G3922" s="89" t="str">
        <f ca="1"/>
        <v/>
      </c>
    </row>
    <row r="3923" spans="1:7" x14ac:dyDescent="0.3">
      <c r="A3923" s="89" t="str">
        <v/>
      </c>
      <c r="B3923" s="89" t="str">
        <v>Las Reglas que Salvan Vidas</v>
      </c>
      <c r="C3923" s="90" t="str">
        <v/>
      </c>
      <c r="D3923" s="89" t="str">
        <v>Periódica</v>
      </c>
      <c r="E3923" s="89">
        <v>365</v>
      </c>
      <c r="F3923" s="89" t="str">
        <v/>
      </c>
      <c r="G3923" s="89" t="str">
        <f ca="1"/>
        <v/>
      </c>
    </row>
    <row r="3924" spans="1:7" x14ac:dyDescent="0.3">
      <c r="A3924" s="89" t="str">
        <v/>
      </c>
      <c r="B3924" s="89" t="str">
        <v xml:space="preserve">Resguardo de Maquinas &amp; Equipos </v>
      </c>
      <c r="C3924" s="90" t="str">
        <v/>
      </c>
      <c r="D3924" s="89" t="str">
        <v>Periódica</v>
      </c>
      <c r="E3924" s="89">
        <v>365</v>
      </c>
      <c r="F3924" s="89" t="str">
        <v/>
      </c>
      <c r="G3924" s="89" t="str">
        <f ca="1"/>
        <v/>
      </c>
    </row>
    <row r="3925" spans="1:7" x14ac:dyDescent="0.3">
      <c r="A3925" s="89" t="str">
        <v/>
      </c>
      <c r="B3925" s="89" t="str">
        <v>Conduccion y Gestion de Viajes (Todos)</v>
      </c>
      <c r="C3925" s="90" t="str">
        <v/>
      </c>
      <c r="D3925" s="89" t="str">
        <v>Periódica</v>
      </c>
      <c r="E3925" s="89">
        <v>730</v>
      </c>
      <c r="F3925" s="89" t="str">
        <v/>
      </c>
      <c r="G3925" s="89" t="str">
        <f ca="1"/>
        <v/>
      </c>
    </row>
    <row r="3926" spans="1:7" x14ac:dyDescent="0.3">
      <c r="A3926" s="89" t="str">
        <v/>
      </c>
      <c r="B3926" s="89" t="str">
        <v>Conduccion y Gestion de Viajes (Conductores)</v>
      </c>
      <c r="C3926" s="90" t="str">
        <v/>
      </c>
      <c r="D3926" s="89" t="str">
        <v>Periódica</v>
      </c>
      <c r="E3926" s="89">
        <v>1095</v>
      </c>
      <c r="F3926" s="89" t="str">
        <v/>
      </c>
      <c r="G3926" s="89" t="str">
        <f ca="1"/>
        <v/>
      </c>
    </row>
    <row r="3927" spans="1:7" x14ac:dyDescent="0.3">
      <c r="A3927" s="89" t="str">
        <v/>
      </c>
      <c r="B3927" s="89" t="str">
        <v>Patogenos Transmitidos por la Sangre</v>
      </c>
      <c r="C3927" s="90" t="str">
        <v/>
      </c>
      <c r="D3927" s="89" t="str">
        <v>Periódica</v>
      </c>
      <c r="E3927" s="89">
        <v>365</v>
      </c>
      <c r="F3927" s="89" t="str">
        <v/>
      </c>
      <c r="G3927" s="89" t="str">
        <f ca="1"/>
        <v/>
      </c>
    </row>
    <row r="3928" spans="1:7" x14ac:dyDescent="0.3">
      <c r="A3928" s="89" t="str">
        <v/>
      </c>
      <c r="B3928" s="89" t="str">
        <v>Conservacion Auditiva</v>
      </c>
      <c r="C3928" s="90" t="str">
        <v/>
      </c>
      <c r="D3928" s="89" t="str">
        <v>Periódica</v>
      </c>
      <c r="E3928" s="89">
        <v>365</v>
      </c>
      <c r="F3928" s="89" t="str">
        <v/>
      </c>
      <c r="G3928" s="89" t="str">
        <f ca="1"/>
        <v/>
      </c>
    </row>
    <row r="3929" spans="1:7" x14ac:dyDescent="0.3">
      <c r="A3929" s="89" t="str">
        <v/>
      </c>
      <c r="B3929" s="89" t="str">
        <v xml:space="preserve">Ergonomia //  / Levantamiento &amp; Seguridad en la Espalda </v>
      </c>
      <c r="C3929" s="90" t="str">
        <v/>
      </c>
      <c r="D3929" s="89" t="str">
        <v>Periódica</v>
      </c>
      <c r="E3929" s="89">
        <v>365</v>
      </c>
      <c r="F3929" s="89" t="str">
        <v/>
      </c>
      <c r="G3929" s="89" t="str">
        <f ca="1"/>
        <v/>
      </c>
    </row>
    <row r="3930" spans="1:7" x14ac:dyDescent="0.3">
      <c r="A3930" s="89" t="str">
        <v/>
      </c>
      <c r="B3930" s="89" t="str">
        <v>Superficies Elevadas (Todos)</v>
      </c>
      <c r="C3930" s="90" t="str">
        <v/>
      </c>
      <c r="D3930" s="89" t="str">
        <v>Periódica</v>
      </c>
      <c r="E3930" s="89">
        <v>365</v>
      </c>
      <c r="F3930" s="89" t="str">
        <v/>
      </c>
      <c r="G3930" s="89" t="str">
        <f ca="1"/>
        <v/>
      </c>
    </row>
    <row r="3931" spans="1:7" x14ac:dyDescent="0.3">
      <c r="A3931" s="89" t="str">
        <v/>
      </c>
      <c r="B3931" s="89" t="str">
        <v>Superficies Elevadas (Personal Habilitado)</v>
      </c>
      <c r="C3931" s="90" t="str">
        <v/>
      </c>
      <c r="D3931" s="89" t="str">
        <v>Periódica</v>
      </c>
      <c r="E3931" s="89">
        <v>365</v>
      </c>
      <c r="F3931" s="89" t="str">
        <v/>
      </c>
      <c r="G3931" s="89" t="str">
        <f ca="1"/>
        <v/>
      </c>
    </row>
    <row r="3932" spans="1:7" x14ac:dyDescent="0.3">
      <c r="A3932" s="89" t="str">
        <v/>
      </c>
      <c r="B3932" s="89" t="str">
        <v>Seguridad Quimica (Todos)</v>
      </c>
      <c r="C3932" s="90" t="str">
        <v/>
      </c>
      <c r="D3932" s="89" t="str">
        <v>Periódica</v>
      </c>
      <c r="E3932" s="89">
        <v>730</v>
      </c>
      <c r="F3932" s="89" t="str">
        <v/>
      </c>
      <c r="G3932" s="89" t="str">
        <f ca="1"/>
        <v/>
      </c>
    </row>
    <row r="3933" spans="1:7" x14ac:dyDescent="0.3">
      <c r="A3933" s="89" t="str">
        <v/>
      </c>
      <c r="B3933" s="89" t="str">
        <v>Seguridad Quimica (Mantenimiento)</v>
      </c>
      <c r="C3933" s="90" t="str">
        <v/>
      </c>
      <c r="D3933" s="89" t="str">
        <v>Periódica</v>
      </c>
      <c r="E3933" s="89">
        <v>365</v>
      </c>
      <c r="F3933" s="89" t="str">
        <v/>
      </c>
      <c r="G3933" s="89" t="str">
        <f ca="1"/>
        <v/>
      </c>
    </row>
    <row r="3934" spans="1:7" x14ac:dyDescent="0.3">
      <c r="A3934" s="89" t="str">
        <v/>
      </c>
      <c r="B3934" s="89" t="str">
        <v>Seguridad Quimica (Contratistas)</v>
      </c>
      <c r="C3934" s="90" t="str">
        <v/>
      </c>
      <c r="D3934" s="89" t="str">
        <v>Periódica</v>
      </c>
      <c r="E3934" s="89">
        <v>365</v>
      </c>
      <c r="F3934" s="89" t="str">
        <v/>
      </c>
      <c r="G3934" s="89" t="str">
        <f ca="1"/>
        <v/>
      </c>
    </row>
    <row r="3935" spans="1:7" x14ac:dyDescent="0.3">
      <c r="A3935" s="89" t="str">
        <v/>
      </c>
      <c r="B3935" s="89" t="str">
        <v>Seguridad para Trabajos en Caliente</v>
      </c>
      <c r="C3935" s="90" t="str">
        <v/>
      </c>
      <c r="D3935" s="89" t="str">
        <v>Periódica</v>
      </c>
      <c r="E3935" s="89">
        <v>365</v>
      </c>
      <c r="F3935" s="89" t="str">
        <v/>
      </c>
      <c r="G3935" s="89" t="str">
        <f ca="1"/>
        <v/>
      </c>
    </row>
    <row r="3936" spans="1:7" x14ac:dyDescent="0.3">
      <c r="A3936" s="89" t="str">
        <v/>
      </c>
      <c r="B3936" s="89" t="str">
        <v>Seguridad con la Radiacion</v>
      </c>
      <c r="C3936" s="90" t="str">
        <v/>
      </c>
      <c r="D3936" s="89" t="str">
        <v>Periódica</v>
      </c>
      <c r="E3936" s="89">
        <v>365</v>
      </c>
      <c r="F3936" s="89" t="str">
        <v/>
      </c>
      <c r="G3936" s="89" t="str">
        <f ca="1"/>
        <v/>
      </c>
    </row>
    <row r="3937" spans="1:7" x14ac:dyDescent="0.3">
      <c r="A3937" s="89" t="str">
        <v/>
      </c>
      <c r="B3937" s="89" t="str">
        <v>Equipo de Proteccion Personal (PPE)</v>
      </c>
      <c r="C3937" s="90" t="str">
        <v/>
      </c>
      <c r="D3937" s="89" t="str">
        <v>Periódica</v>
      </c>
      <c r="E3937" s="89">
        <v>365</v>
      </c>
      <c r="F3937" s="89" t="str">
        <v/>
      </c>
      <c r="G3937" s="89" t="str">
        <f ca="1"/>
        <v/>
      </c>
    </row>
    <row r="3938" spans="1:7" x14ac:dyDescent="0.3">
      <c r="A3938" s="89" t="str">
        <v/>
      </c>
      <c r="B3938" s="89" t="str">
        <v>Proteccion Respiratoria</v>
      </c>
      <c r="C3938" s="90" t="str">
        <v/>
      </c>
      <c r="D3938" s="89" t="str">
        <v>Periódica</v>
      </c>
      <c r="E3938" s="89">
        <v>365</v>
      </c>
      <c r="F3938" s="89" t="str">
        <v/>
      </c>
      <c r="G3938" s="89" t="str">
        <f ca="1"/>
        <v/>
      </c>
    </row>
    <row r="3939" spans="1:7" x14ac:dyDescent="0.3">
      <c r="A3939" s="89" t="str">
        <v/>
      </c>
      <c r="B3939" s="89" t="str">
        <v xml:space="preserve">Seguridad con Escaleras </v>
      </c>
      <c r="C3939" s="90" t="str">
        <v/>
      </c>
      <c r="D3939" s="89" t="str">
        <v>Periódica</v>
      </c>
      <c r="E3939" s="89">
        <v>365</v>
      </c>
      <c r="F3939" s="89" t="str">
        <v/>
      </c>
      <c r="G3939" s="89" t="str">
        <f ca="1"/>
        <v/>
      </c>
    </row>
    <row r="3940" spans="1:7" x14ac:dyDescent="0.3">
      <c r="A3940" s="89" t="str">
        <v/>
      </c>
      <c r="B3940" s="89" t="str">
        <v>Seguridad con Escaleras // Estantes de Almacenamiento</v>
      </c>
      <c r="C3940" s="90" t="str">
        <v/>
      </c>
      <c r="D3940" s="89" t="str">
        <v>Periódica</v>
      </c>
      <c r="E3940" s="89">
        <v>365</v>
      </c>
      <c r="F3940" s="89" t="str">
        <v/>
      </c>
      <c r="G3940" s="89" t="str">
        <f ca="1"/>
        <v/>
      </c>
    </row>
    <row r="3941" spans="1:7" x14ac:dyDescent="0.3">
      <c r="A3941" s="89" t="str">
        <v/>
      </c>
      <c r="B3941" s="89" t="str">
        <v>Responsabilidades del Supervisor</v>
      </c>
      <c r="C3941" s="90" t="str">
        <v/>
      </c>
      <c r="D3941" s="89" t="str">
        <v>Periódica</v>
      </c>
      <c r="E3941" s="89">
        <v>365</v>
      </c>
      <c r="F3941" s="89" t="str">
        <v/>
      </c>
      <c r="G3941" s="89" t="str">
        <f ca="1"/>
        <v/>
      </c>
    </row>
    <row r="3942" spans="1:7" x14ac:dyDescent="0.3">
      <c r="A3942" s="89" t="str">
        <v/>
      </c>
      <c r="B3942" s="89" t="str">
        <v>Espacios Confinados (Todos)</v>
      </c>
      <c r="C3942" s="90" t="str">
        <v/>
      </c>
      <c r="D3942" s="89" t="str">
        <v>Periódica</v>
      </c>
      <c r="E3942" s="89">
        <v>365</v>
      </c>
      <c r="F3942" s="89" t="str">
        <v/>
      </c>
      <c r="G3942" s="89" t="str">
        <f ca="1"/>
        <v/>
      </c>
    </row>
    <row r="3943" spans="1:7" x14ac:dyDescent="0.3">
      <c r="A3943" s="89" t="str">
        <v/>
      </c>
      <c r="B3943" s="89" t="str">
        <v>HSMS.017 / Espacios Confinados (Entrantes)</v>
      </c>
      <c r="C3943" s="90" t="str">
        <v/>
      </c>
      <c r="D3943" s="89" t="str">
        <v>Evento</v>
      </c>
      <c r="E3943" s="89">
        <v>0</v>
      </c>
      <c r="F3943" s="89" t="str">
        <v/>
      </c>
      <c r="G3943" s="89" t="str">
        <f ca="1"/>
        <v/>
      </c>
    </row>
    <row r="3944" spans="1:7" x14ac:dyDescent="0.3">
      <c r="A3944" s="89" t="str">
        <v/>
      </c>
      <c r="B3944" s="89" t="str">
        <v>Programa de Agua (Todos)</v>
      </c>
      <c r="C3944" s="90" t="str">
        <v/>
      </c>
      <c r="D3944" s="89" t="str">
        <v>Evento</v>
      </c>
      <c r="E3944" s="89">
        <v>0</v>
      </c>
      <c r="F3944" s="89" t="str">
        <v/>
      </c>
      <c r="G3944" s="89" t="str">
        <f ca="1"/>
        <v/>
      </c>
    </row>
    <row r="3945" spans="1:7" x14ac:dyDescent="0.3">
      <c r="A3945" s="89" t="str">
        <v/>
      </c>
      <c r="B3945" s="89" t="str">
        <v>Programa de Agua (HSE)</v>
      </c>
      <c r="C3945" s="90" t="str">
        <v/>
      </c>
      <c r="D3945" s="89" t="str">
        <v>Evento</v>
      </c>
      <c r="E3945" s="89">
        <v>0</v>
      </c>
      <c r="F3945" s="89" t="str">
        <v/>
      </c>
      <c r="G3945" s="89" t="str">
        <f ca="1"/>
        <v/>
      </c>
    </row>
    <row r="3946" spans="1:7" x14ac:dyDescent="0.3">
      <c r="A3946" s="89" t="str">
        <v/>
      </c>
      <c r="B3946" s="89" t="str">
        <v>HIV/SIDA y otras enfermedades de transmisión sexual (ETS)</v>
      </c>
      <c r="C3946" s="90" t="str">
        <v/>
      </c>
      <c r="D3946" s="89" t="str">
        <v>Periódica</v>
      </c>
      <c r="E3946" s="89">
        <v>365</v>
      </c>
      <c r="F3946" s="89" t="str">
        <v/>
      </c>
      <c r="G3946" s="89" t="str">
        <f ca="1"/>
        <v/>
      </c>
    </row>
    <row r="3947" spans="1:7" x14ac:dyDescent="0.3">
      <c r="A3947" s="89" t="str">
        <v/>
      </c>
      <c r="B3947" s="89" t="str">
        <v>Drogas de abuso (concientización y prevención)</v>
      </c>
      <c r="C3947" s="90" t="str">
        <v/>
      </c>
      <c r="D3947" s="89" t="str">
        <v>Periódica</v>
      </c>
      <c r="E3947" s="89">
        <v>365</v>
      </c>
      <c r="F3947" s="89" t="str">
        <v/>
      </c>
      <c r="G3947" s="89" t="str">
        <f ca="1"/>
        <v/>
      </c>
    </row>
    <row r="3948" spans="1:7" x14ac:dyDescent="0.3">
      <c r="A3948" s="89" t="str">
        <v/>
      </c>
      <c r="B3948" s="89" t="str">
        <v>Vida saludable (hábitos, autocuidado y bienestar)</v>
      </c>
      <c r="C3948" s="90" t="str">
        <v/>
      </c>
      <c r="D3948" s="89" t="str">
        <v>Periódica</v>
      </c>
      <c r="E3948" s="89">
        <v>365</v>
      </c>
      <c r="F3948" s="89" t="str">
        <v/>
      </c>
      <c r="G3948" s="89" t="str">
        <f ca="1"/>
        <v/>
      </c>
    </row>
    <row r="3949" spans="1:7" x14ac:dyDescent="0.3">
      <c r="A3949" s="89" t="str">
        <v/>
      </c>
      <c r="B3949" s="89" t="str">
        <v>Primeros auxilios y Reanimación Cardio Pulmonar (RCP)</v>
      </c>
      <c r="C3949" s="90" t="str">
        <v/>
      </c>
      <c r="D3949" s="89" t="str">
        <v>Periódica</v>
      </c>
      <c r="E3949" s="89">
        <v>365</v>
      </c>
      <c r="F3949" s="89" t="str">
        <v/>
      </c>
      <c r="G3949" s="89" t="str">
        <f ca="1"/>
        <v/>
      </c>
    </row>
    <row r="3950" spans="1:7" x14ac:dyDescent="0.3">
      <c r="A3950" s="89" t="str">
        <v/>
      </c>
      <c r="B3950" s="89" t="str">
        <v>Prevención cardiovascular (factores de riesgo y señales de alarma)</v>
      </c>
      <c r="C3950" s="90" t="str">
        <v/>
      </c>
      <c r="D3950" s="89" t="str">
        <v>Periódica</v>
      </c>
      <c r="E3950" s="89">
        <v>365</v>
      </c>
      <c r="F3950" s="89" t="str">
        <v/>
      </c>
      <c r="G3950" s="89" t="str">
        <f ca="1"/>
        <v/>
      </c>
    </row>
    <row r="3951" spans="1:7" x14ac:dyDescent="0.3">
      <c r="A3951" s="89" t="str">
        <v/>
      </c>
      <c r="B3951" s="89" t="str">
        <v>Efectos del tabaco sobre la salud</v>
      </c>
      <c r="C3951" s="90" t="str">
        <v/>
      </c>
      <c r="D3951" s="89" t="str">
        <v>Periódica</v>
      </c>
      <c r="E3951" s="89">
        <v>365</v>
      </c>
      <c r="F3951" s="89" t="str">
        <v/>
      </c>
      <c r="G3951" s="89" t="str">
        <f ca="1"/>
        <v/>
      </c>
    </row>
    <row r="3952" spans="1:7" x14ac:dyDescent="0.3">
      <c r="A3952" s="89" t="str">
        <v/>
      </c>
      <c r="B3952" s="89" t="str">
        <v>Cargadora (Op. Montacargas)</v>
      </c>
      <c r="C3952" s="90" t="str">
        <v/>
      </c>
      <c r="D3952" s="89" t="str">
        <v>Periódica</v>
      </c>
      <c r="E3952" s="89">
        <v>365</v>
      </c>
      <c r="F3952" s="89" t="str">
        <v/>
      </c>
      <c r="G3952" s="89" t="str">
        <f ca="1"/>
        <v/>
      </c>
    </row>
    <row r="3953" spans="1:7" x14ac:dyDescent="0.3">
      <c r="A3953" s="89" t="str">
        <v/>
      </c>
      <c r="B3953" s="89">
        <v>0</v>
      </c>
      <c r="C3953" s="90" t="str">
        <v/>
      </c>
      <c r="D3953" s="89" t="str">
        <v/>
      </c>
      <c r="E3953" s="89" t="str">
        <v/>
      </c>
      <c r="F3953" s="89" t="str">
        <v/>
      </c>
      <c r="G3953" s="89" t="str">
        <f ca="1"/>
        <v/>
      </c>
    </row>
    <row r="3954" spans="1:7" x14ac:dyDescent="0.3">
      <c r="A3954" s="89" t="str">
        <v/>
      </c>
      <c r="B3954" s="89">
        <v>0</v>
      </c>
      <c r="C3954" s="90" t="str">
        <v/>
      </c>
      <c r="D3954" s="89" t="str">
        <v/>
      </c>
      <c r="E3954" s="89" t="str">
        <v/>
      </c>
      <c r="F3954" s="89" t="str">
        <v/>
      </c>
      <c r="G3954" s="89" t="str">
        <f ca="1"/>
        <v/>
      </c>
    </row>
    <row r="3955" spans="1:7" x14ac:dyDescent="0.3">
      <c r="A3955" s="89" t="str">
        <v/>
      </c>
      <c r="B3955" s="89">
        <v>0</v>
      </c>
      <c r="C3955" s="90" t="str">
        <v/>
      </c>
      <c r="D3955" s="89" t="str">
        <v/>
      </c>
      <c r="E3955" s="89" t="str">
        <v/>
      </c>
      <c r="F3955" s="89" t="str">
        <v/>
      </c>
      <c r="G3955" s="89" t="str">
        <f ca="1"/>
        <v/>
      </c>
    </row>
    <row r="3956" spans="1:7" x14ac:dyDescent="0.3">
      <c r="A3956" s="89" t="str">
        <v/>
      </c>
      <c r="B3956" s="89">
        <v>0</v>
      </c>
      <c r="C3956" s="90" t="str">
        <v/>
      </c>
      <c r="D3956" s="89" t="str">
        <v/>
      </c>
      <c r="E3956" s="89" t="str">
        <v/>
      </c>
      <c r="F3956" s="89" t="str">
        <v/>
      </c>
      <c r="G3956" s="89" t="str">
        <f ca="1"/>
        <v/>
      </c>
    </row>
    <row r="3957" spans="1:7" x14ac:dyDescent="0.3">
      <c r="A3957" s="89" t="str">
        <v/>
      </c>
      <c r="B3957" s="89">
        <v>0</v>
      </c>
      <c r="C3957" s="90" t="str">
        <v/>
      </c>
      <c r="D3957" s="89" t="str">
        <v/>
      </c>
      <c r="E3957" s="89" t="str">
        <v/>
      </c>
      <c r="F3957" s="89" t="str">
        <v/>
      </c>
      <c r="G3957" s="89" t="str">
        <f ca="1"/>
        <v/>
      </c>
    </row>
    <row r="3958" spans="1:7" x14ac:dyDescent="0.3">
      <c r="A3958" s="89" t="str">
        <v/>
      </c>
      <c r="B3958" s="89">
        <v>0</v>
      </c>
      <c r="C3958" s="90" t="str">
        <v/>
      </c>
      <c r="D3958" s="89" t="str">
        <v/>
      </c>
      <c r="E3958" s="89" t="str">
        <v/>
      </c>
      <c r="F3958" s="89" t="str">
        <v/>
      </c>
      <c r="G3958" s="89" t="str">
        <f ca="1"/>
        <v/>
      </c>
    </row>
    <row r="3959" spans="1:7" x14ac:dyDescent="0.3">
      <c r="A3959" s="89" t="str">
        <v/>
      </c>
      <c r="B3959" s="89">
        <v>0</v>
      </c>
      <c r="C3959" s="90" t="str">
        <v/>
      </c>
      <c r="D3959" s="89" t="str">
        <v/>
      </c>
      <c r="E3959" s="89" t="str">
        <v/>
      </c>
      <c r="F3959" s="89" t="str">
        <v/>
      </c>
      <c r="G3959" s="89" t="str">
        <f ca="1"/>
        <v/>
      </c>
    </row>
    <row r="3960" spans="1:7" x14ac:dyDescent="0.3">
      <c r="A3960" s="89" t="str">
        <v/>
      </c>
      <c r="B3960" s="89">
        <v>0</v>
      </c>
      <c r="C3960" s="90" t="str">
        <v/>
      </c>
      <c r="D3960" s="89" t="str">
        <v/>
      </c>
      <c r="E3960" s="89" t="str">
        <v/>
      </c>
      <c r="F3960" s="89" t="str">
        <v/>
      </c>
      <c r="G3960" s="89" t="str">
        <f ca="1"/>
        <v/>
      </c>
    </row>
    <row r="3961" spans="1:7" x14ac:dyDescent="0.3">
      <c r="A3961" s="89" t="str">
        <v/>
      </c>
      <c r="B3961" s="89">
        <v>0</v>
      </c>
      <c r="C3961" s="90" t="str">
        <v/>
      </c>
      <c r="D3961" s="89" t="str">
        <v/>
      </c>
      <c r="E3961" s="89" t="str">
        <v/>
      </c>
      <c r="F3961" s="89" t="str">
        <v/>
      </c>
      <c r="G3961" s="89" t="str">
        <f ca="1"/>
        <v/>
      </c>
    </row>
    <row r="3962" spans="1:7" x14ac:dyDescent="0.3">
      <c r="A3962" s="89" t="str">
        <v/>
      </c>
      <c r="B3962" s="89" t="str">
        <v>Programa de Aire</v>
      </c>
      <c r="C3962" s="90" t="str">
        <v/>
      </c>
      <c r="D3962" s="89" t="str">
        <v>Evento</v>
      </c>
      <c r="E3962" s="89">
        <v>0</v>
      </c>
      <c r="F3962" s="89" t="str">
        <v/>
      </c>
      <c r="G3962" s="89" t="str">
        <f ca="1"/>
        <v/>
      </c>
    </row>
    <row r="3963" spans="1:7" x14ac:dyDescent="0.3">
      <c r="A3963" s="89" t="str">
        <v/>
      </c>
      <c r="B3963" s="89" t="str">
        <v>Conciencia Ambiental</v>
      </c>
      <c r="C3963" s="90" t="str">
        <v/>
      </c>
      <c r="D3963" s="89" t="str">
        <v>Periódica</v>
      </c>
      <c r="E3963" s="89">
        <v>365</v>
      </c>
      <c r="F3963" s="89" t="str">
        <v/>
      </c>
      <c r="G3963" s="89" t="str">
        <f ca="1"/>
        <v/>
      </c>
    </row>
    <row r="3964" spans="1:7" x14ac:dyDescent="0.3">
      <c r="A3964" s="89" t="str">
        <v/>
      </c>
      <c r="B3964" s="89" t="str">
        <v xml:space="preserve">Control de Documentos e Informacion de HSE </v>
      </c>
      <c r="C3964" s="90" t="str">
        <v/>
      </c>
      <c r="D3964" s="89" t="str">
        <v>Evento</v>
      </c>
      <c r="E3964" s="89">
        <v>0</v>
      </c>
      <c r="F3964" s="89" t="str">
        <v/>
      </c>
      <c r="G3964" s="89" t="str">
        <f ca="1"/>
        <v/>
      </c>
    </row>
    <row r="3965" spans="1:7" x14ac:dyDescent="0.3">
      <c r="A3965" s="89" t="str">
        <v/>
      </c>
      <c r="B3965" s="89" t="str">
        <v xml:space="preserve"> Acciones Correctivas y Preventivas (CAPA)</v>
      </c>
      <c r="C3965" s="90" t="str">
        <v/>
      </c>
      <c r="D3965" s="89" t="str">
        <v>Evento</v>
      </c>
      <c r="E3965" s="89">
        <v>0</v>
      </c>
      <c r="F3965" s="89" t="str">
        <v/>
      </c>
      <c r="G3965" s="89" t="str">
        <f ca="1"/>
        <v/>
      </c>
    </row>
    <row r="3966" spans="1:7" x14ac:dyDescent="0.3">
      <c r="A3966" s="89" t="str">
        <v/>
      </c>
      <c r="B3966" s="89" t="str">
        <v>Seguridad Basada en el Comportamiento (Observation Program) // HSMS.043 / Autoridad de Detener el Trabajo</v>
      </c>
      <c r="C3966" s="90" t="str">
        <v/>
      </c>
      <c r="D3966" s="89" t="str">
        <v>Periódica</v>
      </c>
      <c r="E3966" s="89">
        <v>365</v>
      </c>
      <c r="F3966" s="89" t="str">
        <v/>
      </c>
      <c r="G3966" s="89" t="str">
        <f ca="1"/>
        <v/>
      </c>
    </row>
    <row r="3967" spans="1:7" x14ac:dyDescent="0.3">
      <c r="A3967" s="89" t="str">
        <v/>
      </c>
      <c r="B3967" s="89" t="str">
        <v>Identificacion de Peligros y Evaluacion de Riesgos</v>
      </c>
      <c r="C3967" s="90" t="str">
        <v/>
      </c>
      <c r="D3967" s="89" t="str">
        <v>Evento</v>
      </c>
      <c r="E3967" s="89">
        <v>0</v>
      </c>
      <c r="F3967" s="89" t="str">
        <v/>
      </c>
      <c r="G3967" s="89" t="str">
        <f ca="1"/>
        <v/>
      </c>
    </row>
    <row r="3968" spans="1:7" x14ac:dyDescent="0.3">
      <c r="A3968" s="89" t="str">
        <v/>
      </c>
      <c r="B3968" s="89" t="str">
        <v xml:space="preserve"> Plan de Respuesta ante Eemergencias / HSMS.010 /Primeros Axulios &amp; RCP/DEA / HSMSWT-002 / Patogenos Trasnmitidos por la Sangre</v>
      </c>
      <c r="C3968" s="90" t="str">
        <v/>
      </c>
      <c r="D3968" s="89" t="str">
        <v>Periódica</v>
      </c>
      <c r="E3968" s="89">
        <v>365</v>
      </c>
      <c r="F3968" s="89" t="str">
        <v/>
      </c>
      <c r="G3968" s="89" t="str">
        <f ca="1"/>
        <v/>
      </c>
    </row>
    <row r="3969" spans="1:7" x14ac:dyDescent="0.3">
      <c r="A3969" s="89" t="str">
        <v/>
      </c>
      <c r="B3969" s="89" t="str">
        <v>Reporte y Gestion de Incidentes HSE (Todos)</v>
      </c>
      <c r="C3969" s="90" t="str">
        <v/>
      </c>
      <c r="D3969" s="89" t="str">
        <v>Periódica</v>
      </c>
      <c r="E3969" s="89">
        <v>365</v>
      </c>
      <c r="F3969" s="89" t="str">
        <v/>
      </c>
      <c r="G3969" s="89" t="str">
        <f ca="1"/>
        <v/>
      </c>
    </row>
    <row r="3970" spans="1:7" x14ac:dyDescent="0.3">
      <c r="A3970" s="89" t="str">
        <v/>
      </c>
      <c r="B3970" s="89" t="str">
        <v>Reporte, Gestion e Investigacion de Incidentes HSE (supervisores / investigadores (rol))</v>
      </c>
      <c r="C3970" s="90" t="str">
        <v/>
      </c>
      <c r="D3970" s="89" t="str">
        <v>Periódica</v>
      </c>
      <c r="E3970" s="89">
        <v>1095</v>
      </c>
      <c r="F3970" s="89" t="str">
        <v/>
      </c>
      <c r="G3970" s="89" t="str">
        <f ca="1"/>
        <v/>
      </c>
    </row>
    <row r="3971" spans="1:7" x14ac:dyDescent="0.3">
      <c r="A3971" s="89" t="str">
        <v/>
      </c>
      <c r="B3971" s="89" t="str">
        <v>Gruas y Equipos de Izaje (Todos)</v>
      </c>
      <c r="C3971" s="90" t="str">
        <v/>
      </c>
      <c r="D3971" s="89" t="str">
        <v>Periódica</v>
      </c>
      <c r="E3971" s="89">
        <v>365</v>
      </c>
      <c r="F3971" s="89" t="str">
        <v/>
      </c>
      <c r="G3971" s="89" t="str">
        <f ca="1"/>
        <v/>
      </c>
    </row>
    <row r="3972" spans="1:7" x14ac:dyDescent="0.3">
      <c r="A3972" s="89" t="str">
        <v/>
      </c>
      <c r="B3972" s="89" t="str">
        <v>HSMS.007 / Gruas y Equipos de Izaje (Operadores)</v>
      </c>
      <c r="C3972" s="90" t="str">
        <v/>
      </c>
      <c r="D3972" s="89" t="str">
        <v>Periódica</v>
      </c>
      <c r="E3972" s="89">
        <v>365</v>
      </c>
      <c r="F3972" s="89" t="str">
        <v/>
      </c>
      <c r="G3972" s="89" t="str">
        <f ca="1"/>
        <v/>
      </c>
    </row>
    <row r="3973" spans="1:7" x14ac:dyDescent="0.3">
      <c r="A3973" s="89" t="str">
        <v/>
      </c>
      <c r="B3973" s="89" t="str">
        <v>Proteccion Contra Incendios (Todos)</v>
      </c>
      <c r="C3973" s="90" t="str">
        <v/>
      </c>
      <c r="D3973" s="89" t="str">
        <v>Periódica</v>
      </c>
      <c r="E3973" s="89">
        <v>365</v>
      </c>
      <c r="F3973" s="89" t="str">
        <v/>
      </c>
      <c r="G3973" s="89" t="str">
        <f ca="1"/>
        <v/>
      </c>
    </row>
    <row r="3974" spans="1:7" x14ac:dyDescent="0.3">
      <c r="A3974" s="89" t="str">
        <v/>
      </c>
      <c r="B3974" s="89" t="str">
        <v>Proteccion Contra Incendios (Brigadistas)</v>
      </c>
      <c r="C3974" s="90" t="str">
        <v/>
      </c>
      <c r="D3974" s="89" t="str">
        <v>Periódica</v>
      </c>
      <c r="E3974" s="89">
        <v>365</v>
      </c>
      <c r="F3974" s="89" t="str">
        <v/>
      </c>
      <c r="G3974" s="89" t="str">
        <f ca="1"/>
        <v/>
      </c>
    </row>
    <row r="3975" spans="1:7" x14ac:dyDescent="0.3">
      <c r="A3975" s="89" t="str">
        <v/>
      </c>
      <c r="B3975" s="89" t="str">
        <v>Primeros Auxilios (Brigadistas)</v>
      </c>
      <c r="C3975" s="90" t="str">
        <v/>
      </c>
      <c r="D3975" s="89" t="str">
        <v>Periódica</v>
      </c>
      <c r="E3975" s="89">
        <v>365</v>
      </c>
      <c r="F3975" s="89" t="str">
        <v/>
      </c>
      <c r="G3975" s="89" t="str">
        <f ca="1"/>
        <v/>
      </c>
    </row>
    <row r="3976" spans="1:7" x14ac:dyDescent="0.3">
      <c r="A3976" s="89" t="str">
        <v/>
      </c>
      <c r="B3976" s="89" t="str">
        <v>Seguridad Electrica (Todos)</v>
      </c>
      <c r="C3976" s="90" t="str">
        <v/>
      </c>
      <c r="D3976" s="89" t="str">
        <v>Periódica</v>
      </c>
      <c r="E3976" s="89">
        <v>365</v>
      </c>
      <c r="F3976" s="89" t="str">
        <v/>
      </c>
      <c r="G3976" s="89" t="str">
        <f ca="1"/>
        <v/>
      </c>
    </row>
    <row r="3977" spans="1:7" x14ac:dyDescent="0.3">
      <c r="A3977" s="89" t="str">
        <v/>
      </c>
      <c r="B3977" s="89" t="str">
        <v>Seguridad Electrica (Personal Autorizado)</v>
      </c>
      <c r="C3977" s="90" t="str">
        <v/>
      </c>
      <c r="D3977" s="89" t="str">
        <v>Periódica</v>
      </c>
      <c r="E3977" s="89">
        <v>1095</v>
      </c>
      <c r="F3977" s="89" t="str">
        <v/>
      </c>
      <c r="G3977" s="89" t="str">
        <f ca="1"/>
        <v/>
      </c>
    </row>
    <row r="3978" spans="1:7" x14ac:dyDescent="0.3">
      <c r="A3978" s="89" t="str">
        <v/>
      </c>
      <c r="B3978" s="89" t="str">
        <v>Camiones Industriales Motorizados (PIT) (Todos)</v>
      </c>
      <c r="C3978" s="90" t="str">
        <v/>
      </c>
      <c r="D3978" s="89" t="str">
        <v>Periódica</v>
      </c>
      <c r="E3978" s="89">
        <v>365</v>
      </c>
      <c r="F3978" s="89" t="str">
        <v/>
      </c>
      <c r="G3978" s="89" t="str">
        <f ca="1"/>
        <v/>
      </c>
    </row>
    <row r="3979" spans="1:7" x14ac:dyDescent="0.3">
      <c r="A3979" s="89" t="str">
        <v/>
      </c>
      <c r="B3979" s="89" t="str">
        <v>Camiones Industriales Motorizados (PIT) (Op. Montacargas)</v>
      </c>
      <c r="C3979" s="90" t="str">
        <v/>
      </c>
      <c r="D3979" s="89" t="str">
        <v>Periódica</v>
      </c>
      <c r="E3979" s="89">
        <v>365</v>
      </c>
      <c r="F3979" s="89" t="str">
        <v/>
      </c>
      <c r="G3979" s="89" t="str">
        <f ca="1"/>
        <v/>
      </c>
    </row>
    <row r="3980" spans="1:7" x14ac:dyDescent="0.3">
      <c r="A3980" s="89" t="str">
        <v/>
      </c>
      <c r="B3980" s="89" t="str">
        <v>Control de Energias Peligrosas (LOTO) (Todos)</v>
      </c>
      <c r="C3980" s="90" t="str">
        <v/>
      </c>
      <c r="D3980" s="89" t="str">
        <v>Evento</v>
      </c>
      <c r="E3980" s="89">
        <v>0</v>
      </c>
      <c r="F3980" s="89" t="str">
        <v/>
      </c>
      <c r="G3980" s="89" t="str">
        <f ca="1"/>
        <v/>
      </c>
    </row>
    <row r="3981" spans="1:7" x14ac:dyDescent="0.3">
      <c r="A3981" s="89" t="str">
        <v/>
      </c>
      <c r="B3981" s="89" t="str">
        <v>Control de Energias Peligrosas (LOTO) (Empleados Autorizados)</v>
      </c>
      <c r="C3981" s="90" t="str">
        <v/>
      </c>
      <c r="D3981" s="89" t="str">
        <v>Periódica</v>
      </c>
      <c r="E3981" s="89">
        <v>365</v>
      </c>
      <c r="F3981" s="89" t="str">
        <v/>
      </c>
      <c r="G3981" s="89" t="str">
        <f ca="1"/>
        <v/>
      </c>
    </row>
    <row r="3982" spans="1:7" x14ac:dyDescent="0.3">
      <c r="A3982" s="89" t="str">
        <v/>
      </c>
      <c r="B3982" s="89" t="str">
        <v>Seguridad aplicada al Pozo &amp; Yacimiento</v>
      </c>
      <c r="C3982" s="90" t="str">
        <v/>
      </c>
      <c r="D3982" s="89" t="str">
        <v>Periódica</v>
      </c>
      <c r="E3982" s="89">
        <v>365</v>
      </c>
      <c r="F3982" s="89" t="str">
        <v/>
      </c>
      <c r="G3982" s="89" t="str">
        <f ca="1"/>
        <v/>
      </c>
    </row>
    <row r="3983" spans="1:7" x14ac:dyDescent="0.3">
      <c r="A3983" s="89" t="str">
        <v/>
      </c>
      <c r="B3983" s="89" t="str">
        <v>Las Reglas que Salvan Vidas</v>
      </c>
      <c r="C3983" s="90" t="str">
        <v/>
      </c>
      <c r="D3983" s="89" t="str">
        <v>Periódica</v>
      </c>
      <c r="E3983" s="89">
        <v>365</v>
      </c>
      <c r="F3983" s="89" t="str">
        <v/>
      </c>
      <c r="G3983" s="89" t="str">
        <f ca="1"/>
        <v/>
      </c>
    </row>
    <row r="3984" spans="1:7" x14ac:dyDescent="0.3">
      <c r="A3984" s="89" t="str">
        <v/>
      </c>
      <c r="B3984" s="89" t="str">
        <v xml:space="preserve">Resguardo de Maquinas &amp; Equipos </v>
      </c>
      <c r="C3984" s="90" t="str">
        <v/>
      </c>
      <c r="D3984" s="89" t="str">
        <v>Periódica</v>
      </c>
      <c r="E3984" s="89">
        <v>365</v>
      </c>
      <c r="F3984" s="89" t="str">
        <v/>
      </c>
      <c r="G3984" s="89" t="str">
        <f ca="1"/>
        <v/>
      </c>
    </row>
    <row r="3985" spans="1:7" x14ac:dyDescent="0.3">
      <c r="A3985" s="89" t="str">
        <v/>
      </c>
      <c r="B3985" s="89" t="str">
        <v>Conduccion y Gestion de Viajes (Todos)</v>
      </c>
      <c r="C3985" s="90" t="str">
        <v/>
      </c>
      <c r="D3985" s="89" t="str">
        <v>Periódica</v>
      </c>
      <c r="E3985" s="89">
        <v>730</v>
      </c>
      <c r="F3985" s="89" t="str">
        <v/>
      </c>
      <c r="G3985" s="89" t="str">
        <f ca="1"/>
        <v/>
      </c>
    </row>
    <row r="3986" spans="1:7" x14ac:dyDescent="0.3">
      <c r="A3986" s="89" t="str">
        <v/>
      </c>
      <c r="B3986" s="89" t="str">
        <v>Conduccion y Gestion de Viajes (Conductores)</v>
      </c>
      <c r="C3986" s="90" t="str">
        <v/>
      </c>
      <c r="D3986" s="89" t="str">
        <v>Periódica</v>
      </c>
      <c r="E3986" s="89">
        <v>1095</v>
      </c>
      <c r="F3986" s="89" t="str">
        <v/>
      </c>
      <c r="G3986" s="89" t="str">
        <f ca="1"/>
        <v/>
      </c>
    </row>
    <row r="3987" spans="1:7" x14ac:dyDescent="0.3">
      <c r="A3987" s="89" t="str">
        <v/>
      </c>
      <c r="B3987" s="89" t="str">
        <v>Patogenos Transmitidos por la Sangre</v>
      </c>
      <c r="C3987" s="90" t="str">
        <v/>
      </c>
      <c r="D3987" s="89" t="str">
        <v>Periódica</v>
      </c>
      <c r="E3987" s="89">
        <v>365</v>
      </c>
      <c r="F3987" s="89" t="str">
        <v/>
      </c>
      <c r="G3987" s="89" t="str">
        <f ca="1"/>
        <v/>
      </c>
    </row>
    <row r="3988" spans="1:7" x14ac:dyDescent="0.3">
      <c r="A3988" s="89" t="str">
        <v/>
      </c>
      <c r="B3988" s="89" t="str">
        <v>Conservacion Auditiva</v>
      </c>
      <c r="C3988" s="90" t="str">
        <v/>
      </c>
      <c r="D3988" s="89" t="str">
        <v>Periódica</v>
      </c>
      <c r="E3988" s="89">
        <v>365</v>
      </c>
      <c r="F3988" s="89" t="str">
        <v/>
      </c>
      <c r="G3988" s="89" t="str">
        <f ca="1"/>
        <v/>
      </c>
    </row>
    <row r="3989" spans="1:7" x14ac:dyDescent="0.3">
      <c r="A3989" s="89" t="str">
        <v/>
      </c>
      <c r="B3989" s="89" t="str">
        <v xml:space="preserve">Ergonomia //  / Levantamiento &amp; Seguridad en la Espalda </v>
      </c>
      <c r="C3989" s="90" t="str">
        <v/>
      </c>
      <c r="D3989" s="89" t="str">
        <v>Periódica</v>
      </c>
      <c r="E3989" s="89">
        <v>365</v>
      </c>
      <c r="F3989" s="89" t="str">
        <v/>
      </c>
      <c r="G3989" s="89" t="str">
        <f ca="1"/>
        <v/>
      </c>
    </row>
    <row r="3990" spans="1:7" x14ac:dyDescent="0.3">
      <c r="A3990" s="89" t="str">
        <v/>
      </c>
      <c r="B3990" s="89" t="str">
        <v>Superficies Elevadas (Todos)</v>
      </c>
      <c r="C3990" s="90" t="str">
        <v/>
      </c>
      <c r="D3990" s="89" t="str">
        <v>Periódica</v>
      </c>
      <c r="E3990" s="89">
        <v>365</v>
      </c>
      <c r="F3990" s="89" t="str">
        <v/>
      </c>
      <c r="G3990" s="89" t="str">
        <f ca="1"/>
        <v/>
      </c>
    </row>
    <row r="3991" spans="1:7" x14ac:dyDescent="0.3">
      <c r="A3991" s="89" t="str">
        <v/>
      </c>
      <c r="B3991" s="89" t="str">
        <v>Superficies Elevadas (Personal Habilitado)</v>
      </c>
      <c r="C3991" s="90" t="str">
        <v/>
      </c>
      <c r="D3991" s="89" t="str">
        <v>Periódica</v>
      </c>
      <c r="E3991" s="89">
        <v>365</v>
      </c>
      <c r="F3991" s="89" t="str">
        <v/>
      </c>
      <c r="G3991" s="89" t="str">
        <f ca="1"/>
        <v/>
      </c>
    </row>
    <row r="3992" spans="1:7" x14ac:dyDescent="0.3">
      <c r="A3992" s="89" t="str">
        <v/>
      </c>
      <c r="B3992" s="89" t="str">
        <v>Seguridad Quimica (Todos)</v>
      </c>
      <c r="C3992" s="90" t="str">
        <v/>
      </c>
      <c r="D3992" s="89" t="str">
        <v>Periódica</v>
      </c>
      <c r="E3992" s="89">
        <v>730</v>
      </c>
      <c r="F3992" s="89" t="str">
        <v/>
      </c>
      <c r="G3992" s="89" t="str">
        <f ca="1"/>
        <v/>
      </c>
    </row>
    <row r="3993" spans="1:7" x14ac:dyDescent="0.3">
      <c r="A3993" s="89" t="str">
        <v/>
      </c>
      <c r="B3993" s="89" t="str">
        <v>Seguridad Quimica (Mantenimiento)</v>
      </c>
      <c r="C3993" s="90" t="str">
        <v/>
      </c>
      <c r="D3993" s="89" t="str">
        <v>Periódica</v>
      </c>
      <c r="E3993" s="89">
        <v>365</v>
      </c>
      <c r="F3993" s="89" t="str">
        <v/>
      </c>
      <c r="G3993" s="89" t="str">
        <f ca="1"/>
        <v/>
      </c>
    </row>
    <row r="3994" spans="1:7" x14ac:dyDescent="0.3">
      <c r="A3994" s="89" t="str">
        <v/>
      </c>
      <c r="B3994" s="89" t="str">
        <v>Seguridad Quimica (Contratistas)</v>
      </c>
      <c r="C3994" s="90" t="str">
        <v/>
      </c>
      <c r="D3994" s="89" t="str">
        <v>Periódica</v>
      </c>
      <c r="E3994" s="89">
        <v>365</v>
      </c>
      <c r="F3994" s="89" t="str">
        <v/>
      </c>
      <c r="G3994" s="89" t="str">
        <f ca="1"/>
        <v/>
      </c>
    </row>
    <row r="3995" spans="1:7" x14ac:dyDescent="0.3">
      <c r="A3995" s="89" t="str">
        <v/>
      </c>
      <c r="B3995" s="89" t="str">
        <v>Seguridad para Trabajos en Caliente</v>
      </c>
      <c r="C3995" s="90" t="str">
        <v/>
      </c>
      <c r="D3995" s="89" t="str">
        <v>Periódica</v>
      </c>
      <c r="E3995" s="89">
        <v>365</v>
      </c>
      <c r="F3995" s="89" t="str">
        <v/>
      </c>
      <c r="G3995" s="89" t="str">
        <f ca="1"/>
        <v/>
      </c>
    </row>
    <row r="3996" spans="1:7" x14ac:dyDescent="0.3">
      <c r="A3996" s="89" t="str">
        <v/>
      </c>
      <c r="B3996" s="89" t="str">
        <v>Seguridad con la Radiacion</v>
      </c>
      <c r="C3996" s="90" t="str">
        <v/>
      </c>
      <c r="D3996" s="89" t="str">
        <v>Periódica</v>
      </c>
      <c r="E3996" s="89">
        <v>365</v>
      </c>
      <c r="F3996" s="89" t="str">
        <v/>
      </c>
      <c r="G3996" s="89" t="str">
        <f ca="1"/>
        <v/>
      </c>
    </row>
    <row r="3997" spans="1:7" x14ac:dyDescent="0.3">
      <c r="A3997" s="89" t="str">
        <v/>
      </c>
      <c r="B3997" s="89" t="str">
        <v>Equipo de Proteccion Personal (PPE)</v>
      </c>
      <c r="C3997" s="90" t="str">
        <v/>
      </c>
      <c r="D3997" s="89" t="str">
        <v>Periódica</v>
      </c>
      <c r="E3997" s="89">
        <v>365</v>
      </c>
      <c r="F3997" s="89" t="str">
        <v/>
      </c>
      <c r="G3997" s="89" t="str">
        <f ca="1"/>
        <v/>
      </c>
    </row>
    <row r="3998" spans="1:7" x14ac:dyDescent="0.3">
      <c r="A3998" s="89" t="str">
        <v/>
      </c>
      <c r="B3998" s="89" t="str">
        <v>Proteccion Respiratoria</v>
      </c>
      <c r="C3998" s="90" t="str">
        <v/>
      </c>
      <c r="D3998" s="89" t="str">
        <v>Periódica</v>
      </c>
      <c r="E3998" s="89">
        <v>365</v>
      </c>
      <c r="F3998" s="89" t="str">
        <v/>
      </c>
      <c r="G3998" s="89" t="str">
        <f ca="1"/>
        <v/>
      </c>
    </row>
    <row r="3999" spans="1:7" x14ac:dyDescent="0.3">
      <c r="A3999" s="89" t="str">
        <v/>
      </c>
      <c r="B3999" s="89" t="str">
        <v xml:space="preserve">Seguridad con Escaleras </v>
      </c>
      <c r="C3999" s="90" t="str">
        <v/>
      </c>
      <c r="D3999" s="89" t="str">
        <v>Periódica</v>
      </c>
      <c r="E3999" s="89">
        <v>365</v>
      </c>
      <c r="F3999" s="89" t="str">
        <v/>
      </c>
      <c r="G3999" s="89" t="str">
        <f ca="1"/>
        <v/>
      </c>
    </row>
    <row r="4000" spans="1:7" x14ac:dyDescent="0.3">
      <c r="A4000" s="89" t="str">
        <v/>
      </c>
      <c r="B4000" s="89" t="str">
        <v>Seguridad con Escaleras // Estantes de Almacenamiento</v>
      </c>
      <c r="C4000" s="90" t="str">
        <v/>
      </c>
      <c r="D4000" s="89" t="str">
        <v>Periódica</v>
      </c>
      <c r="E4000" s="89">
        <v>365</v>
      </c>
      <c r="F4000" s="89" t="str">
        <v/>
      </c>
      <c r="G4000" s="89" t="str">
        <f ca="1"/>
        <v/>
      </c>
    </row>
    <row r="4001" spans="1:7" x14ac:dyDescent="0.3">
      <c r="A4001" s="89" t="str">
        <v/>
      </c>
      <c r="B4001" s="89" t="str">
        <v>Responsabilidades del Supervisor</v>
      </c>
      <c r="C4001" s="90" t="str">
        <v/>
      </c>
      <c r="D4001" s="89" t="str">
        <v>Periódica</v>
      </c>
      <c r="E4001" s="89">
        <v>365</v>
      </c>
      <c r="F4001" s="89" t="str">
        <v/>
      </c>
      <c r="G4001" s="89" t="str">
        <f ca="1"/>
        <v/>
      </c>
    </row>
    <row r="4002" spans="1:7" x14ac:dyDescent="0.3">
      <c r="A4002" s="89" t="str">
        <v/>
      </c>
      <c r="B4002" s="89" t="str">
        <v>Espacios Confinados (Todos)</v>
      </c>
      <c r="C4002" s="90" t="str">
        <v/>
      </c>
      <c r="D4002" s="89" t="str">
        <v>Periódica</v>
      </c>
      <c r="E4002" s="89">
        <v>365</v>
      </c>
      <c r="F4002" s="89" t="str">
        <v/>
      </c>
      <c r="G4002" s="89" t="str">
        <f ca="1"/>
        <v/>
      </c>
    </row>
    <row r="4003" spans="1:7" x14ac:dyDescent="0.3">
      <c r="A4003" s="89" t="str">
        <v/>
      </c>
      <c r="B4003" s="89" t="str">
        <v>HSMS.017 / Espacios Confinados (Entrantes)</v>
      </c>
      <c r="C4003" s="90" t="str">
        <v/>
      </c>
      <c r="D4003" s="89" t="str">
        <v>Evento</v>
      </c>
      <c r="E4003" s="89">
        <v>0</v>
      </c>
      <c r="F4003" s="89" t="str">
        <v/>
      </c>
      <c r="G4003" s="89" t="str">
        <f ca="1"/>
        <v/>
      </c>
    </row>
    <row r="4004" spans="1:7" x14ac:dyDescent="0.3">
      <c r="A4004" s="89" t="str">
        <v/>
      </c>
      <c r="B4004" s="89" t="str">
        <v>Programa de Agua (Todos)</v>
      </c>
      <c r="C4004" s="90" t="str">
        <v/>
      </c>
      <c r="D4004" s="89" t="str">
        <v>Evento</v>
      </c>
      <c r="E4004" s="89">
        <v>0</v>
      </c>
      <c r="F4004" s="89" t="str">
        <v/>
      </c>
      <c r="G4004" s="89" t="str">
        <f ca="1"/>
        <v/>
      </c>
    </row>
    <row r="4005" spans="1:7" x14ac:dyDescent="0.3">
      <c r="A4005" s="89" t="str">
        <v/>
      </c>
      <c r="B4005" s="89" t="str">
        <v>Programa de Agua (HSE)</v>
      </c>
      <c r="C4005" s="90" t="str">
        <v/>
      </c>
      <c r="D4005" s="89" t="str">
        <v>Evento</v>
      </c>
      <c r="E4005" s="89">
        <v>0</v>
      </c>
      <c r="F4005" s="89" t="str">
        <v/>
      </c>
      <c r="G4005" s="89" t="str">
        <f ca="1"/>
        <v/>
      </c>
    </row>
    <row r="4006" spans="1:7" x14ac:dyDescent="0.3">
      <c r="A4006" s="89" t="str">
        <v/>
      </c>
      <c r="B4006" s="89" t="str">
        <v>HIV/SIDA y otras enfermedades de transmisión sexual (ETS)</v>
      </c>
      <c r="C4006" s="90" t="str">
        <v/>
      </c>
      <c r="D4006" s="89" t="str">
        <v>Periódica</v>
      </c>
      <c r="E4006" s="89">
        <v>365</v>
      </c>
      <c r="F4006" s="89" t="str">
        <v/>
      </c>
      <c r="G4006" s="89" t="str">
        <f ca="1"/>
        <v/>
      </c>
    </row>
    <row r="4007" spans="1:7" x14ac:dyDescent="0.3">
      <c r="A4007" s="89" t="str">
        <v/>
      </c>
      <c r="B4007" s="89" t="str">
        <v>Drogas de abuso (concientización y prevención)</v>
      </c>
      <c r="C4007" s="90" t="str">
        <v/>
      </c>
      <c r="D4007" s="89" t="str">
        <v>Periódica</v>
      </c>
      <c r="E4007" s="89">
        <v>365</v>
      </c>
      <c r="F4007" s="89" t="str">
        <v/>
      </c>
      <c r="G4007" s="89" t="str">
        <f ca="1"/>
        <v/>
      </c>
    </row>
    <row r="4008" spans="1:7" x14ac:dyDescent="0.3">
      <c r="A4008" s="89" t="str">
        <v/>
      </c>
      <c r="B4008" s="89" t="str">
        <v>Vida saludable (hábitos, autocuidado y bienestar)</v>
      </c>
      <c r="C4008" s="90" t="str">
        <v/>
      </c>
      <c r="D4008" s="89" t="str">
        <v>Periódica</v>
      </c>
      <c r="E4008" s="89">
        <v>365</v>
      </c>
      <c r="F4008" s="89" t="str">
        <v/>
      </c>
      <c r="G4008" s="89" t="str">
        <f ca="1"/>
        <v/>
      </c>
    </row>
    <row r="4009" spans="1:7" x14ac:dyDescent="0.3">
      <c r="A4009" s="89" t="str">
        <v/>
      </c>
      <c r="B4009" s="89" t="str">
        <v>Primeros auxilios y Reanimación Cardio Pulmonar (RCP)</v>
      </c>
      <c r="C4009" s="90" t="str">
        <v/>
      </c>
      <c r="D4009" s="89" t="str">
        <v>Periódica</v>
      </c>
      <c r="E4009" s="89">
        <v>365</v>
      </c>
      <c r="F4009" s="89" t="str">
        <v/>
      </c>
      <c r="G4009" s="89" t="str">
        <f ca="1"/>
        <v/>
      </c>
    </row>
    <row r="4010" spans="1:7" x14ac:dyDescent="0.3">
      <c r="A4010" s="89" t="str">
        <v/>
      </c>
      <c r="B4010" s="89" t="str">
        <v>Prevención cardiovascular (factores de riesgo y señales de alarma)</v>
      </c>
      <c r="C4010" s="90" t="str">
        <v/>
      </c>
      <c r="D4010" s="89" t="str">
        <v>Periódica</v>
      </c>
      <c r="E4010" s="89">
        <v>365</v>
      </c>
      <c r="F4010" s="89" t="str">
        <v/>
      </c>
      <c r="G4010" s="89" t="str">
        <f ca="1"/>
        <v/>
      </c>
    </row>
    <row r="4011" spans="1:7" x14ac:dyDescent="0.3">
      <c r="A4011" s="89" t="str">
        <v/>
      </c>
      <c r="B4011" s="89" t="str">
        <v>Efectos del tabaco sobre la salud</v>
      </c>
      <c r="C4011" s="90" t="str">
        <v/>
      </c>
      <c r="D4011" s="89" t="str">
        <v>Periódica</v>
      </c>
      <c r="E4011" s="89">
        <v>365</v>
      </c>
      <c r="F4011" s="89" t="str">
        <v/>
      </c>
      <c r="G4011" s="89" t="str">
        <f ca="1"/>
        <v/>
      </c>
    </row>
    <row r="4012" spans="1:7" x14ac:dyDescent="0.3">
      <c r="A4012" s="89" t="str">
        <v/>
      </c>
      <c r="B4012" s="89" t="str">
        <v>Cargadora (Op. Montacargas)</v>
      </c>
      <c r="C4012" s="90" t="str">
        <v/>
      </c>
      <c r="D4012" s="89" t="str">
        <v>Periódica</v>
      </c>
      <c r="E4012" s="89">
        <v>365</v>
      </c>
      <c r="F4012" s="89" t="str">
        <v/>
      </c>
      <c r="G4012" s="89" t="str">
        <f ca="1"/>
        <v/>
      </c>
    </row>
    <row r="4013" spans="1:7" x14ac:dyDescent="0.3">
      <c r="A4013" s="89" t="str">
        <v/>
      </c>
      <c r="B4013" s="89">
        <v>0</v>
      </c>
      <c r="C4013" s="90" t="str">
        <v/>
      </c>
      <c r="D4013" s="89" t="str">
        <v/>
      </c>
      <c r="E4013" s="89" t="str">
        <v/>
      </c>
      <c r="F4013" s="89" t="str">
        <v/>
      </c>
      <c r="G4013" s="89" t="str">
        <f ca="1"/>
        <v/>
      </c>
    </row>
    <row r="4014" spans="1:7" x14ac:dyDescent="0.3">
      <c r="A4014" s="89" t="str">
        <v/>
      </c>
      <c r="B4014" s="89">
        <v>0</v>
      </c>
      <c r="C4014" s="90" t="str">
        <v/>
      </c>
      <c r="D4014" s="89" t="str">
        <v/>
      </c>
      <c r="E4014" s="89" t="str">
        <v/>
      </c>
      <c r="F4014" s="89" t="str">
        <v/>
      </c>
      <c r="G4014" s="89" t="str">
        <f ca="1"/>
        <v/>
      </c>
    </row>
    <row r="4015" spans="1:7" x14ac:dyDescent="0.3">
      <c r="A4015" s="89" t="str">
        <v/>
      </c>
      <c r="B4015" s="89">
        <v>0</v>
      </c>
      <c r="C4015" s="90" t="str">
        <v/>
      </c>
      <c r="D4015" s="89" t="str">
        <v/>
      </c>
      <c r="E4015" s="89" t="str">
        <v/>
      </c>
      <c r="F4015" s="89" t="str">
        <v/>
      </c>
      <c r="G4015" s="89" t="str">
        <f ca="1"/>
        <v/>
      </c>
    </row>
    <row r="4016" spans="1:7" x14ac:dyDescent="0.3">
      <c r="A4016" s="89" t="str">
        <v/>
      </c>
      <c r="B4016" s="89">
        <v>0</v>
      </c>
      <c r="C4016" s="90" t="str">
        <v/>
      </c>
      <c r="D4016" s="89" t="str">
        <v/>
      </c>
      <c r="E4016" s="89" t="str">
        <v/>
      </c>
      <c r="F4016" s="89" t="str">
        <v/>
      </c>
      <c r="G4016" s="89" t="str">
        <f ca="1"/>
        <v/>
      </c>
    </row>
    <row r="4017" spans="1:7" x14ac:dyDescent="0.3">
      <c r="A4017" s="89" t="str">
        <v/>
      </c>
      <c r="B4017" s="89">
        <v>0</v>
      </c>
      <c r="C4017" s="90" t="str">
        <v/>
      </c>
      <c r="D4017" s="89" t="str">
        <v/>
      </c>
      <c r="E4017" s="89" t="str">
        <v/>
      </c>
      <c r="F4017" s="89" t="str">
        <v/>
      </c>
      <c r="G4017" s="89" t="str">
        <f ca="1"/>
        <v/>
      </c>
    </row>
    <row r="4018" spans="1:7" x14ac:dyDescent="0.3">
      <c r="A4018" s="89" t="str">
        <v/>
      </c>
      <c r="B4018" s="89">
        <v>0</v>
      </c>
      <c r="C4018" s="90" t="str">
        <v/>
      </c>
      <c r="D4018" s="89" t="str">
        <v/>
      </c>
      <c r="E4018" s="89" t="str">
        <v/>
      </c>
      <c r="F4018" s="89" t="str">
        <v/>
      </c>
      <c r="G4018" s="89" t="str">
        <f ca="1"/>
        <v/>
      </c>
    </row>
    <row r="4019" spans="1:7" x14ac:dyDescent="0.3">
      <c r="A4019" s="89" t="str">
        <v/>
      </c>
      <c r="B4019" s="89">
        <v>0</v>
      </c>
      <c r="C4019" s="90" t="str">
        <v/>
      </c>
      <c r="D4019" s="89" t="str">
        <v/>
      </c>
      <c r="E4019" s="89" t="str">
        <v/>
      </c>
      <c r="F4019" s="89" t="str">
        <v/>
      </c>
      <c r="G4019" s="89" t="str">
        <f ca="1"/>
        <v/>
      </c>
    </row>
    <row r="4020" spans="1:7" x14ac:dyDescent="0.3">
      <c r="A4020" s="89" t="str">
        <v/>
      </c>
      <c r="B4020" s="89">
        <v>0</v>
      </c>
      <c r="C4020" s="90" t="str">
        <v/>
      </c>
      <c r="D4020" s="89" t="str">
        <v/>
      </c>
      <c r="E4020" s="89" t="str">
        <v/>
      </c>
      <c r="F4020" s="89" t="str">
        <v/>
      </c>
      <c r="G4020" s="89" t="str">
        <f ca="1"/>
        <v/>
      </c>
    </row>
    <row r="4021" spans="1:7" x14ac:dyDescent="0.3">
      <c r="A4021" s="89" t="str">
        <v/>
      </c>
      <c r="B4021" s="89">
        <v>0</v>
      </c>
      <c r="C4021" s="90" t="str">
        <v/>
      </c>
      <c r="D4021" s="89" t="str">
        <v/>
      </c>
      <c r="E4021" s="89" t="str">
        <v/>
      </c>
      <c r="F4021" s="89" t="str">
        <v/>
      </c>
      <c r="G4021" s="89" t="str">
        <f ca="1"/>
        <v/>
      </c>
    </row>
    <row r="4022" spans="1:7" x14ac:dyDescent="0.3">
      <c r="A4022" s="89" t="str">
        <v/>
      </c>
      <c r="B4022" s="89" t="str">
        <v>Programa de Aire</v>
      </c>
      <c r="C4022" s="90" t="str">
        <v/>
      </c>
      <c r="D4022" s="89" t="str">
        <v>Evento</v>
      </c>
      <c r="E4022" s="89">
        <v>0</v>
      </c>
      <c r="F4022" s="89" t="str">
        <v/>
      </c>
      <c r="G4022" s="89" t="str">
        <f ca="1"/>
        <v/>
      </c>
    </row>
    <row r="4023" spans="1:7" x14ac:dyDescent="0.3">
      <c r="A4023" s="89" t="str">
        <v/>
      </c>
      <c r="B4023" s="89" t="str">
        <v>Conciencia Ambiental</v>
      </c>
      <c r="C4023" s="90" t="str">
        <v/>
      </c>
      <c r="D4023" s="89" t="str">
        <v>Periódica</v>
      </c>
      <c r="E4023" s="89">
        <v>365</v>
      </c>
      <c r="F4023" s="89" t="str">
        <v/>
      </c>
      <c r="G4023" s="89" t="str">
        <f ca="1"/>
        <v/>
      </c>
    </row>
    <row r="4024" spans="1:7" x14ac:dyDescent="0.3">
      <c r="A4024" s="89" t="str">
        <v/>
      </c>
      <c r="B4024" s="89" t="str">
        <v xml:space="preserve">Control de Documentos e Informacion de HSE </v>
      </c>
      <c r="C4024" s="90" t="str">
        <v/>
      </c>
      <c r="D4024" s="89" t="str">
        <v>Evento</v>
      </c>
      <c r="E4024" s="89">
        <v>0</v>
      </c>
      <c r="F4024" s="89" t="str">
        <v/>
      </c>
      <c r="G4024" s="89" t="str">
        <f ca="1"/>
        <v/>
      </c>
    </row>
    <row r="4025" spans="1:7" x14ac:dyDescent="0.3">
      <c r="A4025" s="89" t="str">
        <v/>
      </c>
      <c r="B4025" s="89" t="str">
        <v xml:space="preserve"> Acciones Correctivas y Preventivas (CAPA)</v>
      </c>
      <c r="C4025" s="90" t="str">
        <v/>
      </c>
      <c r="D4025" s="89" t="str">
        <v>Evento</v>
      </c>
      <c r="E4025" s="89">
        <v>0</v>
      </c>
      <c r="F4025" s="89" t="str">
        <v/>
      </c>
      <c r="G4025" s="89" t="str">
        <f ca="1"/>
        <v/>
      </c>
    </row>
    <row r="4026" spans="1:7" x14ac:dyDescent="0.3">
      <c r="A4026" s="89" t="str">
        <v/>
      </c>
      <c r="B4026" s="89" t="str">
        <v>Seguridad Basada en el Comportamiento (Observation Program) // HSMS.043 / Autoridad de Detener el Trabajo</v>
      </c>
      <c r="C4026" s="90" t="str">
        <v/>
      </c>
      <c r="D4026" s="89" t="str">
        <v>Periódica</v>
      </c>
      <c r="E4026" s="89">
        <v>365</v>
      </c>
      <c r="F4026" s="89" t="str">
        <v/>
      </c>
      <c r="G4026" s="89" t="str">
        <f ca="1"/>
        <v/>
      </c>
    </row>
    <row r="4027" spans="1:7" x14ac:dyDescent="0.3">
      <c r="A4027" s="89" t="str">
        <v/>
      </c>
      <c r="B4027" s="89" t="str">
        <v>Identificacion de Peligros y Evaluacion de Riesgos</v>
      </c>
      <c r="C4027" s="90" t="str">
        <v/>
      </c>
      <c r="D4027" s="89" t="str">
        <v>Evento</v>
      </c>
      <c r="E4027" s="89">
        <v>0</v>
      </c>
      <c r="F4027" s="89" t="str">
        <v/>
      </c>
      <c r="G4027" s="89" t="str">
        <f ca="1"/>
        <v/>
      </c>
    </row>
    <row r="4028" spans="1:7" x14ac:dyDescent="0.3">
      <c r="A4028" s="89" t="str">
        <v/>
      </c>
      <c r="B4028" s="89" t="str">
        <v xml:space="preserve"> Plan de Respuesta ante Eemergencias / HSMS.010 /Primeros Axulios &amp; RCP/DEA / HSMSWT-002 / Patogenos Trasnmitidos por la Sangre</v>
      </c>
      <c r="C4028" s="90" t="str">
        <v/>
      </c>
      <c r="D4028" s="89" t="str">
        <v>Periódica</v>
      </c>
      <c r="E4028" s="89">
        <v>365</v>
      </c>
      <c r="F4028" s="89" t="str">
        <v/>
      </c>
      <c r="G4028" s="89" t="str">
        <f ca="1"/>
        <v/>
      </c>
    </row>
    <row r="4029" spans="1:7" x14ac:dyDescent="0.3">
      <c r="A4029" s="89" t="str">
        <v/>
      </c>
      <c r="B4029" s="89" t="str">
        <v>Reporte y Gestion de Incidentes HSE (Todos)</v>
      </c>
      <c r="C4029" s="90" t="str">
        <v/>
      </c>
      <c r="D4029" s="89" t="str">
        <v>Periódica</v>
      </c>
      <c r="E4029" s="89">
        <v>365</v>
      </c>
      <c r="F4029" s="89" t="str">
        <v/>
      </c>
      <c r="G4029" s="89" t="str">
        <f ca="1"/>
        <v/>
      </c>
    </row>
    <row r="4030" spans="1:7" x14ac:dyDescent="0.3">
      <c r="A4030" s="89" t="str">
        <v/>
      </c>
      <c r="B4030" s="89" t="str">
        <v>Reporte, Gestion e Investigacion de Incidentes HSE (supervisores / investigadores (rol))</v>
      </c>
      <c r="C4030" s="90" t="str">
        <v/>
      </c>
      <c r="D4030" s="89" t="str">
        <v>Periódica</v>
      </c>
      <c r="E4030" s="89">
        <v>1095</v>
      </c>
      <c r="F4030" s="89" t="str">
        <v/>
      </c>
      <c r="G4030" s="89" t="str">
        <f ca="1"/>
        <v/>
      </c>
    </row>
    <row r="4031" spans="1:7" x14ac:dyDescent="0.3">
      <c r="A4031" s="89" t="str">
        <v/>
      </c>
      <c r="B4031" s="89" t="str">
        <v>Gruas y Equipos de Izaje (Todos)</v>
      </c>
      <c r="C4031" s="90" t="str">
        <v/>
      </c>
      <c r="D4031" s="89" t="str">
        <v>Periódica</v>
      </c>
      <c r="E4031" s="89">
        <v>365</v>
      </c>
      <c r="F4031" s="89" t="str">
        <v/>
      </c>
      <c r="G4031" s="89" t="str">
        <f ca="1"/>
        <v/>
      </c>
    </row>
    <row r="4032" spans="1:7" x14ac:dyDescent="0.3">
      <c r="A4032" s="89" t="str">
        <v/>
      </c>
      <c r="B4032" s="89" t="str">
        <v>HSMS.007 / Gruas y Equipos de Izaje (Operadores)</v>
      </c>
      <c r="C4032" s="90" t="str">
        <v/>
      </c>
      <c r="D4032" s="89" t="str">
        <v>Periódica</v>
      </c>
      <c r="E4032" s="89">
        <v>365</v>
      </c>
      <c r="F4032" s="89" t="str">
        <v/>
      </c>
      <c r="G4032" s="89" t="str">
        <f ca="1"/>
        <v/>
      </c>
    </row>
    <row r="4033" spans="1:7" x14ac:dyDescent="0.3">
      <c r="A4033" s="89" t="str">
        <v/>
      </c>
      <c r="B4033" s="89" t="str">
        <v>Proteccion Contra Incendios (Todos)</v>
      </c>
      <c r="C4033" s="90" t="str">
        <v/>
      </c>
      <c r="D4033" s="89" t="str">
        <v>Periódica</v>
      </c>
      <c r="E4033" s="89">
        <v>365</v>
      </c>
      <c r="F4033" s="89" t="str">
        <v/>
      </c>
      <c r="G4033" s="89" t="str">
        <f ca="1"/>
        <v/>
      </c>
    </row>
    <row r="4034" spans="1:7" x14ac:dyDescent="0.3">
      <c r="A4034" s="89" t="str">
        <v/>
      </c>
      <c r="B4034" s="89" t="str">
        <v>Proteccion Contra Incendios (Brigadistas)</v>
      </c>
      <c r="C4034" s="90" t="str">
        <v/>
      </c>
      <c r="D4034" s="89" t="str">
        <v>Periódica</v>
      </c>
      <c r="E4034" s="89">
        <v>365</v>
      </c>
      <c r="F4034" s="89" t="str">
        <v/>
      </c>
      <c r="G4034" s="89" t="str">
        <f ca="1"/>
        <v/>
      </c>
    </row>
    <row r="4035" spans="1:7" x14ac:dyDescent="0.3">
      <c r="A4035" s="89" t="str">
        <v/>
      </c>
      <c r="B4035" s="89" t="str">
        <v>Primeros Auxilios (Brigadistas)</v>
      </c>
      <c r="C4035" s="90" t="str">
        <v/>
      </c>
      <c r="D4035" s="89" t="str">
        <v>Periódica</v>
      </c>
      <c r="E4035" s="89">
        <v>365</v>
      </c>
      <c r="F4035" s="89" t="str">
        <v/>
      </c>
      <c r="G4035" s="89" t="str">
        <f ca="1"/>
        <v/>
      </c>
    </row>
    <row r="4036" spans="1:7" x14ac:dyDescent="0.3">
      <c r="A4036" s="89" t="str">
        <v/>
      </c>
      <c r="B4036" s="89" t="str">
        <v>Seguridad Electrica (Todos)</v>
      </c>
      <c r="C4036" s="90" t="str">
        <v/>
      </c>
      <c r="D4036" s="89" t="str">
        <v>Periódica</v>
      </c>
      <c r="E4036" s="89">
        <v>365</v>
      </c>
      <c r="F4036" s="89" t="str">
        <v/>
      </c>
      <c r="G4036" s="89" t="str">
        <f ca="1"/>
        <v/>
      </c>
    </row>
    <row r="4037" spans="1:7" x14ac:dyDescent="0.3">
      <c r="A4037" s="89" t="str">
        <v/>
      </c>
      <c r="B4037" s="89" t="str">
        <v>Seguridad Electrica (Personal Autorizado)</v>
      </c>
      <c r="C4037" s="90" t="str">
        <v/>
      </c>
      <c r="D4037" s="89" t="str">
        <v>Periódica</v>
      </c>
      <c r="E4037" s="89">
        <v>1095</v>
      </c>
      <c r="F4037" s="89" t="str">
        <v/>
      </c>
      <c r="G4037" s="89" t="str">
        <f ca="1"/>
        <v/>
      </c>
    </row>
    <row r="4038" spans="1:7" x14ac:dyDescent="0.3">
      <c r="A4038" s="89" t="str">
        <v/>
      </c>
      <c r="B4038" s="89" t="str">
        <v>Camiones Industriales Motorizados (PIT) (Todos)</v>
      </c>
      <c r="C4038" s="90" t="str">
        <v/>
      </c>
      <c r="D4038" s="89" t="str">
        <v>Periódica</v>
      </c>
      <c r="E4038" s="89">
        <v>365</v>
      </c>
      <c r="F4038" s="89" t="str">
        <v/>
      </c>
      <c r="G4038" s="89" t="str">
        <f ca="1"/>
        <v/>
      </c>
    </row>
    <row r="4039" spans="1:7" x14ac:dyDescent="0.3">
      <c r="A4039" s="89" t="str">
        <v/>
      </c>
      <c r="B4039" s="89" t="str">
        <v>Camiones Industriales Motorizados (PIT) (Op. Montacargas)</v>
      </c>
      <c r="C4039" s="90" t="str">
        <v/>
      </c>
      <c r="D4039" s="89" t="str">
        <v>Periódica</v>
      </c>
      <c r="E4039" s="89">
        <v>365</v>
      </c>
      <c r="F4039" s="89" t="str">
        <v/>
      </c>
      <c r="G4039" s="89" t="str">
        <f ca="1"/>
        <v/>
      </c>
    </row>
    <row r="4040" spans="1:7" x14ac:dyDescent="0.3">
      <c r="A4040" s="89" t="str">
        <v/>
      </c>
      <c r="B4040" s="89" t="str">
        <v>Control de Energias Peligrosas (LOTO) (Todos)</v>
      </c>
      <c r="C4040" s="90" t="str">
        <v/>
      </c>
      <c r="D4040" s="89" t="str">
        <v>Evento</v>
      </c>
      <c r="E4040" s="89">
        <v>0</v>
      </c>
      <c r="F4040" s="89" t="str">
        <v/>
      </c>
      <c r="G4040" s="89" t="str">
        <f ca="1"/>
        <v/>
      </c>
    </row>
    <row r="4041" spans="1:7" x14ac:dyDescent="0.3">
      <c r="A4041" s="89" t="str">
        <v/>
      </c>
      <c r="B4041" s="89" t="str">
        <v>Control de Energias Peligrosas (LOTO) (Empleados Autorizados)</v>
      </c>
      <c r="C4041" s="90" t="str">
        <v/>
      </c>
      <c r="D4041" s="89" t="str">
        <v>Periódica</v>
      </c>
      <c r="E4041" s="89">
        <v>365</v>
      </c>
      <c r="F4041" s="89" t="str">
        <v/>
      </c>
      <c r="G4041" s="89" t="str">
        <f ca="1"/>
        <v/>
      </c>
    </row>
    <row r="4042" spans="1:7" x14ac:dyDescent="0.3">
      <c r="A4042" s="89" t="str">
        <v/>
      </c>
      <c r="B4042" s="89" t="str">
        <v>Seguridad aplicada al Pozo &amp; Yacimiento</v>
      </c>
      <c r="C4042" s="90" t="str">
        <v/>
      </c>
      <c r="D4042" s="89" t="str">
        <v>Periódica</v>
      </c>
      <c r="E4042" s="89">
        <v>365</v>
      </c>
      <c r="F4042" s="89" t="str">
        <v/>
      </c>
      <c r="G4042" s="89" t="str">
        <f ca="1"/>
        <v/>
      </c>
    </row>
    <row r="4043" spans="1:7" x14ac:dyDescent="0.3">
      <c r="A4043" s="89" t="str">
        <v/>
      </c>
      <c r="B4043" s="89" t="str">
        <v>Las Reglas que Salvan Vidas</v>
      </c>
      <c r="C4043" s="90" t="str">
        <v/>
      </c>
      <c r="D4043" s="89" t="str">
        <v>Periódica</v>
      </c>
      <c r="E4043" s="89">
        <v>365</v>
      </c>
      <c r="F4043" s="89" t="str">
        <v/>
      </c>
      <c r="G4043" s="89" t="str">
        <f ca="1"/>
        <v/>
      </c>
    </row>
    <row r="4044" spans="1:7" x14ac:dyDescent="0.3">
      <c r="A4044" s="89" t="str">
        <v/>
      </c>
      <c r="B4044" s="89" t="str">
        <v xml:space="preserve">Resguardo de Maquinas &amp; Equipos </v>
      </c>
      <c r="C4044" s="90" t="str">
        <v/>
      </c>
      <c r="D4044" s="89" t="str">
        <v>Periódica</v>
      </c>
      <c r="E4044" s="89">
        <v>365</v>
      </c>
      <c r="F4044" s="89" t="str">
        <v/>
      </c>
      <c r="G4044" s="89" t="str">
        <f ca="1"/>
        <v/>
      </c>
    </row>
    <row r="4045" spans="1:7" x14ac:dyDescent="0.3">
      <c r="A4045" s="89" t="str">
        <v/>
      </c>
      <c r="B4045" s="89" t="str">
        <v>Conduccion y Gestion de Viajes (Todos)</v>
      </c>
      <c r="C4045" s="90" t="str">
        <v/>
      </c>
      <c r="D4045" s="89" t="str">
        <v>Periódica</v>
      </c>
      <c r="E4045" s="89">
        <v>730</v>
      </c>
      <c r="F4045" s="89" t="str">
        <v/>
      </c>
      <c r="G4045" s="89" t="str">
        <f ca="1"/>
        <v/>
      </c>
    </row>
    <row r="4046" spans="1:7" x14ac:dyDescent="0.3">
      <c r="A4046" s="89" t="str">
        <v/>
      </c>
      <c r="B4046" s="89" t="str">
        <v>Conduccion y Gestion de Viajes (Conductores)</v>
      </c>
      <c r="C4046" s="90" t="str">
        <v/>
      </c>
      <c r="D4046" s="89" t="str">
        <v>Periódica</v>
      </c>
      <c r="E4046" s="89">
        <v>1095</v>
      </c>
      <c r="F4046" s="89" t="str">
        <v/>
      </c>
      <c r="G4046" s="89" t="str">
        <f ca="1"/>
        <v/>
      </c>
    </row>
    <row r="4047" spans="1:7" x14ac:dyDescent="0.3">
      <c r="A4047" s="89" t="str">
        <v/>
      </c>
      <c r="B4047" s="89" t="str">
        <v>Patogenos Transmitidos por la Sangre</v>
      </c>
      <c r="C4047" s="90" t="str">
        <v/>
      </c>
      <c r="D4047" s="89" t="str">
        <v>Periódica</v>
      </c>
      <c r="E4047" s="89">
        <v>365</v>
      </c>
      <c r="F4047" s="89" t="str">
        <v/>
      </c>
      <c r="G4047" s="89" t="str">
        <f ca="1"/>
        <v/>
      </c>
    </row>
    <row r="4048" spans="1:7" x14ac:dyDescent="0.3">
      <c r="A4048" s="89" t="str">
        <v/>
      </c>
      <c r="B4048" s="89" t="str">
        <v>Conservacion Auditiva</v>
      </c>
      <c r="C4048" s="90" t="str">
        <v/>
      </c>
      <c r="D4048" s="89" t="str">
        <v>Periódica</v>
      </c>
      <c r="E4048" s="89">
        <v>365</v>
      </c>
      <c r="F4048" s="89" t="str">
        <v/>
      </c>
      <c r="G4048" s="89" t="str">
        <f ca="1"/>
        <v/>
      </c>
    </row>
    <row r="4049" spans="1:7" x14ac:dyDescent="0.3">
      <c r="A4049" s="89" t="str">
        <v/>
      </c>
      <c r="B4049" s="89" t="str">
        <v xml:space="preserve">Ergonomia //  / Levantamiento &amp; Seguridad en la Espalda </v>
      </c>
      <c r="C4049" s="90" t="str">
        <v/>
      </c>
      <c r="D4049" s="89" t="str">
        <v>Periódica</v>
      </c>
      <c r="E4049" s="89">
        <v>365</v>
      </c>
      <c r="F4049" s="89" t="str">
        <v/>
      </c>
      <c r="G4049" s="89" t="str">
        <f ca="1"/>
        <v/>
      </c>
    </row>
    <row r="4050" spans="1:7" x14ac:dyDescent="0.3">
      <c r="A4050" s="89" t="str">
        <v/>
      </c>
      <c r="B4050" s="89" t="str">
        <v>Superficies Elevadas (Todos)</v>
      </c>
      <c r="C4050" s="90" t="str">
        <v/>
      </c>
      <c r="D4050" s="89" t="str">
        <v>Periódica</v>
      </c>
      <c r="E4050" s="89">
        <v>365</v>
      </c>
      <c r="F4050" s="89" t="str">
        <v/>
      </c>
      <c r="G4050" s="89" t="str">
        <f ca="1"/>
        <v/>
      </c>
    </row>
    <row r="4051" spans="1:7" x14ac:dyDescent="0.3">
      <c r="A4051" s="89" t="str">
        <v/>
      </c>
      <c r="B4051" s="89" t="str">
        <v>Superficies Elevadas (Personal Habilitado)</v>
      </c>
      <c r="C4051" s="90" t="str">
        <v/>
      </c>
      <c r="D4051" s="89" t="str">
        <v>Periódica</v>
      </c>
      <c r="E4051" s="89">
        <v>365</v>
      </c>
      <c r="F4051" s="89" t="str">
        <v/>
      </c>
      <c r="G4051" s="89" t="str">
        <f ca="1"/>
        <v/>
      </c>
    </row>
    <row r="4052" spans="1:7" x14ac:dyDescent="0.3">
      <c r="A4052" s="89" t="str">
        <v/>
      </c>
      <c r="B4052" s="89" t="str">
        <v>Seguridad Quimica (Todos)</v>
      </c>
      <c r="C4052" s="90" t="str">
        <v/>
      </c>
      <c r="D4052" s="89" t="str">
        <v>Periódica</v>
      </c>
      <c r="E4052" s="89">
        <v>730</v>
      </c>
      <c r="F4052" s="89" t="str">
        <v/>
      </c>
      <c r="G4052" s="89" t="str">
        <f ca="1"/>
        <v/>
      </c>
    </row>
    <row r="4053" spans="1:7" x14ac:dyDescent="0.3">
      <c r="A4053" s="89" t="str">
        <v/>
      </c>
      <c r="B4053" s="89" t="str">
        <v>Seguridad Quimica (Mantenimiento)</v>
      </c>
      <c r="C4053" s="90" t="str">
        <v/>
      </c>
      <c r="D4053" s="89" t="str">
        <v>Periódica</v>
      </c>
      <c r="E4053" s="89">
        <v>365</v>
      </c>
      <c r="F4053" s="89" t="str">
        <v/>
      </c>
      <c r="G4053" s="89" t="str">
        <f ca="1"/>
        <v/>
      </c>
    </row>
    <row r="4054" spans="1:7" x14ac:dyDescent="0.3">
      <c r="A4054" s="89" t="str">
        <v/>
      </c>
      <c r="B4054" s="89" t="str">
        <v>Seguridad Quimica (Contratistas)</v>
      </c>
      <c r="C4054" s="90" t="str">
        <v/>
      </c>
      <c r="D4054" s="89" t="str">
        <v>Periódica</v>
      </c>
      <c r="E4054" s="89">
        <v>365</v>
      </c>
      <c r="F4054" s="89" t="str">
        <v/>
      </c>
      <c r="G4054" s="89" t="str">
        <f ca="1"/>
        <v/>
      </c>
    </row>
    <row r="4055" spans="1:7" x14ac:dyDescent="0.3">
      <c r="A4055" s="89" t="str">
        <v/>
      </c>
      <c r="B4055" s="89" t="str">
        <v>Seguridad para Trabajos en Caliente</v>
      </c>
      <c r="C4055" s="90" t="str">
        <v/>
      </c>
      <c r="D4055" s="89" t="str">
        <v>Periódica</v>
      </c>
      <c r="E4055" s="89">
        <v>365</v>
      </c>
      <c r="F4055" s="89" t="str">
        <v/>
      </c>
      <c r="G4055" s="89" t="str">
        <f ca="1"/>
        <v/>
      </c>
    </row>
    <row r="4056" spans="1:7" x14ac:dyDescent="0.3">
      <c r="A4056" s="89" t="str">
        <v/>
      </c>
      <c r="B4056" s="89" t="str">
        <v>Seguridad con la Radiacion</v>
      </c>
      <c r="C4056" s="90" t="str">
        <v/>
      </c>
      <c r="D4056" s="89" t="str">
        <v>Periódica</v>
      </c>
      <c r="E4056" s="89">
        <v>365</v>
      </c>
      <c r="F4056" s="89" t="str">
        <v/>
      </c>
      <c r="G4056" s="89" t="str">
        <f ca="1"/>
        <v/>
      </c>
    </row>
    <row r="4057" spans="1:7" x14ac:dyDescent="0.3">
      <c r="A4057" s="89" t="str">
        <v/>
      </c>
      <c r="B4057" s="89" t="str">
        <v>Equipo de Proteccion Personal (PPE)</v>
      </c>
      <c r="C4057" s="90" t="str">
        <v/>
      </c>
      <c r="D4057" s="89" t="str">
        <v>Periódica</v>
      </c>
      <c r="E4057" s="89">
        <v>365</v>
      </c>
      <c r="F4057" s="89" t="str">
        <v/>
      </c>
      <c r="G4057" s="89" t="str">
        <f ca="1"/>
        <v/>
      </c>
    </row>
    <row r="4058" spans="1:7" x14ac:dyDescent="0.3">
      <c r="A4058" s="89" t="str">
        <v/>
      </c>
      <c r="B4058" s="89" t="str">
        <v>Proteccion Respiratoria</v>
      </c>
      <c r="C4058" s="90" t="str">
        <v/>
      </c>
      <c r="D4058" s="89" t="str">
        <v>Periódica</v>
      </c>
      <c r="E4058" s="89">
        <v>365</v>
      </c>
      <c r="F4058" s="89" t="str">
        <v/>
      </c>
      <c r="G4058" s="89" t="str">
        <f ca="1"/>
        <v/>
      </c>
    </row>
    <row r="4059" spans="1:7" x14ac:dyDescent="0.3">
      <c r="A4059" s="89" t="str">
        <v/>
      </c>
      <c r="B4059" s="89" t="str">
        <v xml:space="preserve">Seguridad con Escaleras </v>
      </c>
      <c r="C4059" s="90" t="str">
        <v/>
      </c>
      <c r="D4059" s="89" t="str">
        <v>Periódica</v>
      </c>
      <c r="E4059" s="89">
        <v>365</v>
      </c>
      <c r="F4059" s="89" t="str">
        <v/>
      </c>
      <c r="G4059" s="89" t="str">
        <f ca="1"/>
        <v/>
      </c>
    </row>
    <row r="4060" spans="1:7" x14ac:dyDescent="0.3">
      <c r="A4060" s="89" t="str">
        <v/>
      </c>
      <c r="B4060" s="89" t="str">
        <v>Seguridad con Escaleras // Estantes de Almacenamiento</v>
      </c>
      <c r="C4060" s="90" t="str">
        <v/>
      </c>
      <c r="D4060" s="89" t="str">
        <v>Periódica</v>
      </c>
      <c r="E4060" s="89">
        <v>365</v>
      </c>
      <c r="F4060" s="89" t="str">
        <v/>
      </c>
      <c r="G4060" s="89" t="str">
        <f ca="1"/>
        <v/>
      </c>
    </row>
    <row r="4061" spans="1:7" x14ac:dyDescent="0.3">
      <c r="A4061" s="89" t="str">
        <v/>
      </c>
      <c r="B4061" s="89" t="str">
        <v>Responsabilidades del Supervisor</v>
      </c>
      <c r="C4061" s="90" t="str">
        <v/>
      </c>
      <c r="D4061" s="89" t="str">
        <v>Periódica</v>
      </c>
      <c r="E4061" s="89">
        <v>365</v>
      </c>
      <c r="F4061" s="89" t="str">
        <v/>
      </c>
      <c r="G4061" s="89" t="str">
        <f ca="1"/>
        <v/>
      </c>
    </row>
    <row r="4062" spans="1:7" x14ac:dyDescent="0.3">
      <c r="A4062" s="89" t="str">
        <v/>
      </c>
      <c r="B4062" s="89" t="str">
        <v>Espacios Confinados (Todos)</v>
      </c>
      <c r="C4062" s="90" t="str">
        <v/>
      </c>
      <c r="D4062" s="89" t="str">
        <v>Periódica</v>
      </c>
      <c r="E4062" s="89">
        <v>365</v>
      </c>
      <c r="F4062" s="89" t="str">
        <v/>
      </c>
      <c r="G4062" s="89" t="str">
        <f ca="1"/>
        <v/>
      </c>
    </row>
    <row r="4063" spans="1:7" x14ac:dyDescent="0.3">
      <c r="A4063" s="89" t="str">
        <v/>
      </c>
      <c r="B4063" s="89" t="str">
        <v>HSMS.017 / Espacios Confinados (Entrantes)</v>
      </c>
      <c r="C4063" s="90" t="str">
        <v/>
      </c>
      <c r="D4063" s="89" t="str">
        <v>Evento</v>
      </c>
      <c r="E4063" s="89">
        <v>0</v>
      </c>
      <c r="F4063" s="89" t="str">
        <v/>
      </c>
      <c r="G4063" s="89" t="str">
        <f ca="1"/>
        <v/>
      </c>
    </row>
    <row r="4064" spans="1:7" x14ac:dyDescent="0.3">
      <c r="A4064" s="89" t="str">
        <v/>
      </c>
      <c r="B4064" s="89" t="str">
        <v>Programa de Agua (Todos)</v>
      </c>
      <c r="C4064" s="90" t="str">
        <v/>
      </c>
      <c r="D4064" s="89" t="str">
        <v>Evento</v>
      </c>
      <c r="E4064" s="89">
        <v>0</v>
      </c>
      <c r="F4064" s="89" t="str">
        <v/>
      </c>
      <c r="G4064" s="89" t="str">
        <f ca="1"/>
        <v/>
      </c>
    </row>
    <row r="4065" spans="1:7" x14ac:dyDescent="0.3">
      <c r="A4065" s="89" t="str">
        <v/>
      </c>
      <c r="B4065" s="89" t="str">
        <v>Programa de Agua (HSE)</v>
      </c>
      <c r="C4065" s="90" t="str">
        <v/>
      </c>
      <c r="D4065" s="89" t="str">
        <v>Evento</v>
      </c>
      <c r="E4065" s="89">
        <v>0</v>
      </c>
      <c r="F4065" s="89" t="str">
        <v/>
      </c>
      <c r="G4065" s="89" t="str">
        <f ca="1"/>
        <v/>
      </c>
    </row>
    <row r="4066" spans="1:7" x14ac:dyDescent="0.3">
      <c r="A4066" s="89" t="str">
        <v/>
      </c>
      <c r="B4066" s="89" t="str">
        <v>HIV/SIDA y otras enfermedades de transmisión sexual (ETS)</v>
      </c>
      <c r="C4066" s="90" t="str">
        <v/>
      </c>
      <c r="D4066" s="89" t="str">
        <v>Periódica</v>
      </c>
      <c r="E4066" s="89">
        <v>365</v>
      </c>
      <c r="F4066" s="89" t="str">
        <v/>
      </c>
      <c r="G4066" s="89" t="str">
        <f ca="1"/>
        <v/>
      </c>
    </row>
    <row r="4067" spans="1:7" x14ac:dyDescent="0.3">
      <c r="A4067" s="89" t="str">
        <v/>
      </c>
      <c r="B4067" s="89" t="str">
        <v>Drogas de abuso (concientización y prevención)</v>
      </c>
      <c r="C4067" s="90" t="str">
        <v/>
      </c>
      <c r="D4067" s="89" t="str">
        <v>Periódica</v>
      </c>
      <c r="E4067" s="89">
        <v>365</v>
      </c>
      <c r="F4067" s="89" t="str">
        <v/>
      </c>
      <c r="G4067" s="89" t="str">
        <f ca="1"/>
        <v/>
      </c>
    </row>
    <row r="4068" spans="1:7" x14ac:dyDescent="0.3">
      <c r="A4068" s="89" t="str">
        <v/>
      </c>
      <c r="B4068" s="89" t="str">
        <v>Vida saludable (hábitos, autocuidado y bienestar)</v>
      </c>
      <c r="C4068" s="90" t="str">
        <v/>
      </c>
      <c r="D4068" s="89" t="str">
        <v>Periódica</v>
      </c>
      <c r="E4068" s="89">
        <v>365</v>
      </c>
      <c r="F4068" s="89" t="str">
        <v/>
      </c>
      <c r="G4068" s="89" t="str">
        <f ca="1"/>
        <v/>
      </c>
    </row>
    <row r="4069" spans="1:7" x14ac:dyDescent="0.3">
      <c r="A4069" s="89" t="str">
        <v/>
      </c>
      <c r="B4069" s="89" t="str">
        <v>Primeros auxilios y Reanimación Cardio Pulmonar (RCP)</v>
      </c>
      <c r="C4069" s="90" t="str">
        <v/>
      </c>
      <c r="D4069" s="89" t="str">
        <v>Periódica</v>
      </c>
      <c r="E4069" s="89">
        <v>365</v>
      </c>
      <c r="F4069" s="89" t="str">
        <v/>
      </c>
      <c r="G4069" s="89" t="str">
        <f ca="1"/>
        <v/>
      </c>
    </row>
    <row r="4070" spans="1:7" x14ac:dyDescent="0.3">
      <c r="A4070" s="89" t="str">
        <v/>
      </c>
      <c r="B4070" s="89" t="str">
        <v>Prevención cardiovascular (factores de riesgo y señales de alarma)</v>
      </c>
      <c r="C4070" s="90" t="str">
        <v/>
      </c>
      <c r="D4070" s="89" t="str">
        <v>Periódica</v>
      </c>
      <c r="E4070" s="89">
        <v>365</v>
      </c>
      <c r="F4070" s="89" t="str">
        <v/>
      </c>
      <c r="G4070" s="89" t="str">
        <f ca="1"/>
        <v/>
      </c>
    </row>
    <row r="4071" spans="1:7" x14ac:dyDescent="0.3">
      <c r="A4071" s="89" t="str">
        <v/>
      </c>
      <c r="B4071" s="89" t="str">
        <v>Efectos del tabaco sobre la salud</v>
      </c>
      <c r="C4071" s="90" t="str">
        <v/>
      </c>
      <c r="D4071" s="89" t="str">
        <v>Periódica</v>
      </c>
      <c r="E4071" s="89">
        <v>365</v>
      </c>
      <c r="F4071" s="89" t="str">
        <v/>
      </c>
      <c r="G4071" s="89" t="str">
        <f ca="1"/>
        <v/>
      </c>
    </row>
    <row r="4072" spans="1:7" x14ac:dyDescent="0.3">
      <c r="A4072" s="89" t="str">
        <v/>
      </c>
      <c r="B4072" s="89" t="str">
        <v>Cargadora (Op. Montacargas)</v>
      </c>
      <c r="C4072" s="90" t="str">
        <v/>
      </c>
      <c r="D4072" s="89" t="str">
        <v>Periódica</v>
      </c>
      <c r="E4072" s="89">
        <v>365</v>
      </c>
      <c r="F4072" s="89" t="str">
        <v/>
      </c>
      <c r="G4072" s="89" t="str">
        <f ca="1"/>
        <v/>
      </c>
    </row>
    <row r="4073" spans="1:7" x14ac:dyDescent="0.3">
      <c r="A4073" s="89" t="str">
        <v/>
      </c>
      <c r="B4073" s="89">
        <v>0</v>
      </c>
      <c r="C4073" s="90" t="str">
        <v/>
      </c>
      <c r="D4073" s="89" t="str">
        <v/>
      </c>
      <c r="E4073" s="89" t="str">
        <v/>
      </c>
      <c r="F4073" s="89" t="str">
        <v/>
      </c>
      <c r="G4073" s="89" t="str">
        <f ca="1"/>
        <v/>
      </c>
    </row>
    <row r="4074" spans="1:7" x14ac:dyDescent="0.3">
      <c r="A4074" s="89" t="str">
        <v/>
      </c>
      <c r="B4074" s="89">
        <v>0</v>
      </c>
      <c r="C4074" s="90" t="str">
        <v/>
      </c>
      <c r="D4074" s="89" t="str">
        <v/>
      </c>
      <c r="E4074" s="89" t="str">
        <v/>
      </c>
      <c r="F4074" s="89" t="str">
        <v/>
      </c>
      <c r="G4074" s="89" t="str">
        <f ca="1"/>
        <v/>
      </c>
    </row>
    <row r="4075" spans="1:7" x14ac:dyDescent="0.3">
      <c r="A4075" s="89" t="str">
        <v/>
      </c>
      <c r="B4075" s="89">
        <v>0</v>
      </c>
      <c r="C4075" s="90" t="str">
        <v/>
      </c>
      <c r="D4075" s="89" t="str">
        <v/>
      </c>
      <c r="E4075" s="89" t="str">
        <v/>
      </c>
      <c r="F4075" s="89" t="str">
        <v/>
      </c>
      <c r="G4075" s="89" t="str">
        <f ca="1"/>
        <v/>
      </c>
    </row>
    <row r="4076" spans="1:7" x14ac:dyDescent="0.3">
      <c r="A4076" s="89" t="str">
        <v/>
      </c>
      <c r="B4076" s="89">
        <v>0</v>
      </c>
      <c r="C4076" s="90" t="str">
        <v/>
      </c>
      <c r="D4076" s="89" t="str">
        <v/>
      </c>
      <c r="E4076" s="89" t="str">
        <v/>
      </c>
      <c r="F4076" s="89" t="str">
        <v/>
      </c>
      <c r="G4076" s="89" t="str">
        <f ca="1"/>
        <v/>
      </c>
    </row>
    <row r="4077" spans="1:7" x14ac:dyDescent="0.3">
      <c r="A4077" s="89" t="str">
        <v/>
      </c>
      <c r="B4077" s="89">
        <v>0</v>
      </c>
      <c r="C4077" s="90" t="str">
        <v/>
      </c>
      <c r="D4077" s="89" t="str">
        <v/>
      </c>
      <c r="E4077" s="89" t="str">
        <v/>
      </c>
      <c r="F4077" s="89" t="str">
        <v/>
      </c>
      <c r="G4077" s="89" t="str">
        <f ca="1"/>
        <v/>
      </c>
    </row>
    <row r="4078" spans="1:7" x14ac:dyDescent="0.3">
      <c r="A4078" s="89" t="str">
        <v/>
      </c>
      <c r="B4078" s="89">
        <v>0</v>
      </c>
      <c r="C4078" s="90" t="str">
        <v/>
      </c>
      <c r="D4078" s="89" t="str">
        <v/>
      </c>
      <c r="E4078" s="89" t="str">
        <v/>
      </c>
      <c r="F4078" s="89" t="str">
        <v/>
      </c>
      <c r="G4078" s="89" t="str">
        <f ca="1"/>
        <v/>
      </c>
    </row>
    <row r="4079" spans="1:7" x14ac:dyDescent="0.3">
      <c r="A4079" s="89" t="str">
        <v/>
      </c>
      <c r="B4079" s="89">
        <v>0</v>
      </c>
      <c r="C4079" s="90" t="str">
        <v/>
      </c>
      <c r="D4079" s="89" t="str">
        <v/>
      </c>
      <c r="E4079" s="89" t="str">
        <v/>
      </c>
      <c r="F4079" s="89" t="str">
        <v/>
      </c>
      <c r="G4079" s="89" t="str">
        <f ca="1"/>
        <v/>
      </c>
    </row>
    <row r="4080" spans="1:7" x14ac:dyDescent="0.3">
      <c r="A4080" s="89" t="str">
        <v/>
      </c>
      <c r="B4080" s="89">
        <v>0</v>
      </c>
      <c r="C4080" s="90" t="str">
        <v/>
      </c>
      <c r="D4080" s="89" t="str">
        <v/>
      </c>
      <c r="E4080" s="89" t="str">
        <v/>
      </c>
      <c r="F4080" s="89" t="str">
        <v/>
      </c>
      <c r="G4080" s="89" t="str">
        <f ca="1"/>
        <v/>
      </c>
    </row>
    <row r="4081" spans="1:7" x14ac:dyDescent="0.3">
      <c r="A4081" s="89" t="str">
        <v/>
      </c>
      <c r="B4081" s="89">
        <v>0</v>
      </c>
      <c r="C4081" s="90" t="str">
        <v/>
      </c>
      <c r="D4081" s="89" t="str">
        <v/>
      </c>
      <c r="E4081" s="89" t="str">
        <v/>
      </c>
      <c r="F4081" s="89" t="str">
        <v/>
      </c>
      <c r="G4081" s="89" t="str">
        <f ca="1"/>
        <v/>
      </c>
    </row>
    <row r="4082" spans="1:7" x14ac:dyDescent="0.3">
      <c r="A4082" s="89" t="str">
        <v/>
      </c>
      <c r="B4082" s="89" t="str">
        <v>Programa de Aire</v>
      </c>
      <c r="C4082" s="90" t="str">
        <v/>
      </c>
      <c r="D4082" s="89" t="str">
        <v>Evento</v>
      </c>
      <c r="E4082" s="89">
        <v>0</v>
      </c>
      <c r="F4082" s="89" t="str">
        <v/>
      </c>
      <c r="G4082" s="89" t="str">
        <f ca="1"/>
        <v/>
      </c>
    </row>
    <row r="4083" spans="1:7" x14ac:dyDescent="0.3">
      <c r="A4083" s="89" t="str">
        <v/>
      </c>
      <c r="B4083" s="89" t="str">
        <v>Conciencia Ambiental</v>
      </c>
      <c r="C4083" s="90" t="str">
        <v/>
      </c>
      <c r="D4083" s="89" t="str">
        <v>Periódica</v>
      </c>
      <c r="E4083" s="89">
        <v>365</v>
      </c>
      <c r="F4083" s="89" t="str">
        <v/>
      </c>
      <c r="G4083" s="89" t="str">
        <f ca="1"/>
        <v/>
      </c>
    </row>
    <row r="4084" spans="1:7" x14ac:dyDescent="0.3">
      <c r="A4084" s="89" t="str">
        <v/>
      </c>
      <c r="B4084" s="89" t="str">
        <v xml:space="preserve">Control de Documentos e Informacion de HSE </v>
      </c>
      <c r="C4084" s="90" t="str">
        <v/>
      </c>
      <c r="D4084" s="89" t="str">
        <v>Evento</v>
      </c>
      <c r="E4084" s="89">
        <v>0</v>
      </c>
      <c r="F4084" s="89" t="str">
        <v/>
      </c>
      <c r="G4084" s="89" t="str">
        <f ca="1"/>
        <v/>
      </c>
    </row>
    <row r="4085" spans="1:7" x14ac:dyDescent="0.3">
      <c r="A4085" s="89" t="str">
        <v/>
      </c>
      <c r="B4085" s="89" t="str">
        <v xml:space="preserve"> Acciones Correctivas y Preventivas (CAPA)</v>
      </c>
      <c r="C4085" s="90" t="str">
        <v/>
      </c>
      <c r="D4085" s="89" t="str">
        <v>Evento</v>
      </c>
      <c r="E4085" s="89">
        <v>0</v>
      </c>
      <c r="F4085" s="89" t="str">
        <v/>
      </c>
      <c r="G4085" s="89" t="str">
        <f ca="1"/>
        <v/>
      </c>
    </row>
    <row r="4086" spans="1:7" x14ac:dyDescent="0.3">
      <c r="A4086" s="89" t="str">
        <v/>
      </c>
      <c r="B4086" s="89" t="str">
        <v>Seguridad Basada en el Comportamiento (Observation Program) // HSMS.043 / Autoridad de Detener el Trabajo</v>
      </c>
      <c r="C4086" s="90" t="str">
        <v/>
      </c>
      <c r="D4086" s="89" t="str">
        <v>Periódica</v>
      </c>
      <c r="E4086" s="89">
        <v>365</v>
      </c>
      <c r="F4086" s="89" t="str">
        <v/>
      </c>
      <c r="G4086" s="89" t="str">
        <f ca="1"/>
        <v/>
      </c>
    </row>
    <row r="4087" spans="1:7" x14ac:dyDescent="0.3">
      <c r="A4087" s="89" t="str">
        <v/>
      </c>
      <c r="B4087" s="89" t="str">
        <v>Identificacion de Peligros y Evaluacion de Riesgos</v>
      </c>
      <c r="C4087" s="90" t="str">
        <v/>
      </c>
      <c r="D4087" s="89" t="str">
        <v>Evento</v>
      </c>
      <c r="E4087" s="89">
        <v>0</v>
      </c>
      <c r="F4087" s="89" t="str">
        <v/>
      </c>
      <c r="G4087" s="89" t="str">
        <f ca="1"/>
        <v/>
      </c>
    </row>
    <row r="4088" spans="1:7" x14ac:dyDescent="0.3">
      <c r="A4088" s="89" t="str">
        <v/>
      </c>
      <c r="B4088" s="89" t="str">
        <v xml:space="preserve"> Plan de Respuesta ante Eemergencias / HSMS.010 /Primeros Axulios &amp; RCP/DEA / HSMSWT-002 / Patogenos Trasnmitidos por la Sangre</v>
      </c>
      <c r="C4088" s="90" t="str">
        <v/>
      </c>
      <c r="D4088" s="89" t="str">
        <v>Periódica</v>
      </c>
      <c r="E4088" s="89">
        <v>365</v>
      </c>
      <c r="F4088" s="89" t="str">
        <v/>
      </c>
      <c r="G4088" s="89" t="str">
        <f ca="1"/>
        <v/>
      </c>
    </row>
    <row r="4089" spans="1:7" x14ac:dyDescent="0.3">
      <c r="A4089" s="89" t="str">
        <v/>
      </c>
      <c r="B4089" s="89" t="str">
        <v>Reporte y Gestion de Incidentes HSE (Todos)</v>
      </c>
      <c r="C4089" s="90" t="str">
        <v/>
      </c>
      <c r="D4089" s="89" t="str">
        <v>Periódica</v>
      </c>
      <c r="E4089" s="89">
        <v>365</v>
      </c>
      <c r="F4089" s="89" t="str">
        <v/>
      </c>
      <c r="G4089" s="89" t="str">
        <f ca="1"/>
        <v/>
      </c>
    </row>
    <row r="4090" spans="1:7" x14ac:dyDescent="0.3">
      <c r="A4090" s="89" t="str">
        <v/>
      </c>
      <c r="B4090" s="89" t="str">
        <v>Reporte, Gestion e Investigacion de Incidentes HSE (supervisores / investigadores (rol))</v>
      </c>
      <c r="C4090" s="90" t="str">
        <v/>
      </c>
      <c r="D4090" s="89" t="str">
        <v>Periódica</v>
      </c>
      <c r="E4090" s="89">
        <v>1095</v>
      </c>
      <c r="F4090" s="89" t="str">
        <v/>
      </c>
      <c r="G4090" s="89" t="str">
        <f ca="1"/>
        <v/>
      </c>
    </row>
    <row r="4091" spans="1:7" x14ac:dyDescent="0.3">
      <c r="A4091" s="89" t="str">
        <v/>
      </c>
      <c r="B4091" s="89" t="str">
        <v>Gruas y Equipos de Izaje (Todos)</v>
      </c>
      <c r="C4091" s="90" t="str">
        <v/>
      </c>
      <c r="D4091" s="89" t="str">
        <v>Periódica</v>
      </c>
      <c r="E4091" s="89">
        <v>365</v>
      </c>
      <c r="F4091" s="89" t="str">
        <v/>
      </c>
      <c r="G4091" s="89" t="str">
        <f ca="1"/>
        <v/>
      </c>
    </row>
    <row r="4092" spans="1:7" x14ac:dyDescent="0.3">
      <c r="A4092" s="89" t="str">
        <v/>
      </c>
      <c r="B4092" s="89" t="str">
        <v>HSMS.007 / Gruas y Equipos de Izaje (Operadores)</v>
      </c>
      <c r="C4092" s="90" t="str">
        <v/>
      </c>
      <c r="D4092" s="89" t="str">
        <v>Periódica</v>
      </c>
      <c r="E4092" s="89">
        <v>365</v>
      </c>
      <c r="F4092" s="89" t="str">
        <v/>
      </c>
      <c r="G4092" s="89" t="str">
        <f ca="1"/>
        <v/>
      </c>
    </row>
    <row r="4093" spans="1:7" x14ac:dyDescent="0.3">
      <c r="A4093" s="89" t="str">
        <v/>
      </c>
      <c r="B4093" s="89" t="str">
        <v>Proteccion Contra Incendios (Todos)</v>
      </c>
      <c r="C4093" s="90" t="str">
        <v/>
      </c>
      <c r="D4093" s="89" t="str">
        <v>Periódica</v>
      </c>
      <c r="E4093" s="89">
        <v>365</v>
      </c>
      <c r="F4093" s="89" t="str">
        <v/>
      </c>
      <c r="G4093" s="89" t="str">
        <f ca="1"/>
        <v/>
      </c>
    </row>
    <row r="4094" spans="1:7" x14ac:dyDescent="0.3">
      <c r="A4094" s="89" t="str">
        <v/>
      </c>
      <c r="B4094" s="89" t="str">
        <v>Proteccion Contra Incendios (Brigadistas)</v>
      </c>
      <c r="C4094" s="90" t="str">
        <v/>
      </c>
      <c r="D4094" s="89" t="str">
        <v>Periódica</v>
      </c>
      <c r="E4094" s="89">
        <v>365</v>
      </c>
      <c r="F4094" s="89" t="str">
        <v/>
      </c>
      <c r="G4094" s="89" t="str">
        <f ca="1"/>
        <v/>
      </c>
    </row>
    <row r="4095" spans="1:7" x14ac:dyDescent="0.3">
      <c r="A4095" s="89" t="str">
        <v/>
      </c>
      <c r="B4095" s="89" t="str">
        <v>Primeros Auxilios (Brigadistas)</v>
      </c>
      <c r="C4095" s="90" t="str">
        <v/>
      </c>
      <c r="D4095" s="89" t="str">
        <v>Periódica</v>
      </c>
      <c r="E4095" s="89">
        <v>365</v>
      </c>
      <c r="F4095" s="89" t="str">
        <v/>
      </c>
      <c r="G4095" s="89" t="str">
        <f ca="1"/>
        <v/>
      </c>
    </row>
    <row r="4096" spans="1:7" x14ac:dyDescent="0.3">
      <c r="A4096" s="89" t="str">
        <v/>
      </c>
      <c r="B4096" s="89" t="str">
        <v>Seguridad Electrica (Todos)</v>
      </c>
      <c r="C4096" s="90" t="str">
        <v/>
      </c>
      <c r="D4096" s="89" t="str">
        <v>Periódica</v>
      </c>
      <c r="E4096" s="89">
        <v>365</v>
      </c>
      <c r="F4096" s="89" t="str">
        <v/>
      </c>
      <c r="G4096" s="89" t="str">
        <f ca="1"/>
        <v/>
      </c>
    </row>
    <row r="4097" spans="1:7" x14ac:dyDescent="0.3">
      <c r="A4097" s="89" t="str">
        <v/>
      </c>
      <c r="B4097" s="89" t="str">
        <v>Seguridad Electrica (Personal Autorizado)</v>
      </c>
      <c r="C4097" s="90" t="str">
        <v/>
      </c>
      <c r="D4097" s="89" t="str">
        <v>Periódica</v>
      </c>
      <c r="E4097" s="89">
        <v>1095</v>
      </c>
      <c r="F4097" s="89" t="str">
        <v/>
      </c>
      <c r="G4097" s="89" t="str">
        <f ca="1"/>
        <v/>
      </c>
    </row>
    <row r="4098" spans="1:7" x14ac:dyDescent="0.3">
      <c r="A4098" s="89" t="str">
        <v/>
      </c>
      <c r="B4098" s="89" t="str">
        <v>Camiones Industriales Motorizados (PIT) (Todos)</v>
      </c>
      <c r="C4098" s="90" t="str">
        <v/>
      </c>
      <c r="D4098" s="89" t="str">
        <v>Periódica</v>
      </c>
      <c r="E4098" s="89">
        <v>365</v>
      </c>
      <c r="F4098" s="89" t="str">
        <v/>
      </c>
      <c r="G4098" s="89" t="str">
        <f ca="1"/>
        <v/>
      </c>
    </row>
    <row r="4099" spans="1:7" x14ac:dyDescent="0.3">
      <c r="A4099" s="89" t="str">
        <v/>
      </c>
      <c r="B4099" s="89" t="str">
        <v>Camiones Industriales Motorizados (PIT) (Op. Montacargas)</v>
      </c>
      <c r="C4099" s="90" t="str">
        <v/>
      </c>
      <c r="D4099" s="89" t="str">
        <v>Periódica</v>
      </c>
      <c r="E4099" s="89">
        <v>365</v>
      </c>
      <c r="F4099" s="89" t="str">
        <v/>
      </c>
      <c r="G4099" s="89" t="str">
        <f ca="1"/>
        <v/>
      </c>
    </row>
    <row r="4100" spans="1:7" x14ac:dyDescent="0.3">
      <c r="A4100" s="89" t="str">
        <v/>
      </c>
      <c r="B4100" s="89" t="str">
        <v>Control de Energias Peligrosas (LOTO) (Todos)</v>
      </c>
      <c r="C4100" s="90" t="str">
        <v/>
      </c>
      <c r="D4100" s="89" t="str">
        <v>Evento</v>
      </c>
      <c r="E4100" s="89">
        <v>0</v>
      </c>
      <c r="F4100" s="89" t="str">
        <v/>
      </c>
      <c r="G4100" s="89" t="str">
        <f ca="1"/>
        <v/>
      </c>
    </row>
    <row r="4101" spans="1:7" x14ac:dyDescent="0.3">
      <c r="A4101" s="89" t="str">
        <v/>
      </c>
      <c r="B4101" s="89" t="str">
        <v>Control de Energias Peligrosas (LOTO) (Empleados Autorizados)</v>
      </c>
      <c r="C4101" s="90" t="str">
        <v/>
      </c>
      <c r="D4101" s="89" t="str">
        <v>Periódica</v>
      </c>
      <c r="E4101" s="89">
        <v>365</v>
      </c>
      <c r="F4101" s="89" t="str">
        <v/>
      </c>
      <c r="G4101" s="89" t="str">
        <f ca="1"/>
        <v/>
      </c>
    </row>
    <row r="4102" spans="1:7" x14ac:dyDescent="0.3">
      <c r="A4102" s="89" t="str">
        <v/>
      </c>
      <c r="B4102" s="89" t="str">
        <v>Seguridad aplicada al Pozo &amp; Yacimiento</v>
      </c>
      <c r="C4102" s="90" t="str">
        <v/>
      </c>
      <c r="D4102" s="89" t="str">
        <v>Periódica</v>
      </c>
      <c r="E4102" s="89">
        <v>365</v>
      </c>
      <c r="F4102" s="89" t="str">
        <v/>
      </c>
      <c r="G4102" s="89" t="str">
        <f ca="1"/>
        <v/>
      </c>
    </row>
    <row r="4103" spans="1:7" x14ac:dyDescent="0.3">
      <c r="A4103" s="89" t="str">
        <v/>
      </c>
      <c r="B4103" s="89" t="str">
        <v>Las Reglas que Salvan Vidas</v>
      </c>
      <c r="C4103" s="90" t="str">
        <v/>
      </c>
      <c r="D4103" s="89" t="str">
        <v>Periódica</v>
      </c>
      <c r="E4103" s="89">
        <v>365</v>
      </c>
      <c r="F4103" s="89" t="str">
        <v/>
      </c>
      <c r="G4103" s="89" t="str">
        <f ca="1"/>
        <v/>
      </c>
    </row>
    <row r="4104" spans="1:7" x14ac:dyDescent="0.3">
      <c r="A4104" s="89" t="str">
        <v/>
      </c>
      <c r="B4104" s="89" t="str">
        <v xml:space="preserve">Resguardo de Maquinas &amp; Equipos </v>
      </c>
      <c r="C4104" s="90" t="str">
        <v/>
      </c>
      <c r="D4104" s="89" t="str">
        <v>Periódica</v>
      </c>
      <c r="E4104" s="89">
        <v>365</v>
      </c>
      <c r="F4104" s="89" t="str">
        <v/>
      </c>
      <c r="G4104" s="89" t="str">
        <f ca="1"/>
        <v/>
      </c>
    </row>
    <row r="4105" spans="1:7" x14ac:dyDescent="0.3">
      <c r="A4105" s="89" t="str">
        <v/>
      </c>
      <c r="B4105" s="89" t="str">
        <v>Conduccion y Gestion de Viajes (Todos)</v>
      </c>
      <c r="C4105" s="90" t="str">
        <v/>
      </c>
      <c r="D4105" s="89" t="str">
        <v>Periódica</v>
      </c>
      <c r="E4105" s="89">
        <v>730</v>
      </c>
      <c r="F4105" s="89" t="str">
        <v/>
      </c>
      <c r="G4105" s="89" t="str">
        <f ca="1"/>
        <v/>
      </c>
    </row>
    <row r="4106" spans="1:7" x14ac:dyDescent="0.3">
      <c r="A4106" s="89" t="str">
        <v/>
      </c>
      <c r="B4106" s="89" t="str">
        <v>Conduccion y Gestion de Viajes (Conductores)</v>
      </c>
      <c r="C4106" s="90" t="str">
        <v/>
      </c>
      <c r="D4106" s="89" t="str">
        <v>Periódica</v>
      </c>
      <c r="E4106" s="89">
        <v>1095</v>
      </c>
      <c r="F4106" s="89" t="str">
        <v/>
      </c>
      <c r="G4106" s="89" t="str">
        <f ca="1"/>
        <v/>
      </c>
    </row>
    <row r="4107" spans="1:7" x14ac:dyDescent="0.3">
      <c r="A4107" s="89" t="str">
        <v/>
      </c>
      <c r="B4107" s="89" t="str">
        <v>Patogenos Transmitidos por la Sangre</v>
      </c>
      <c r="C4107" s="90" t="str">
        <v/>
      </c>
      <c r="D4107" s="89" t="str">
        <v>Periódica</v>
      </c>
      <c r="E4107" s="89">
        <v>365</v>
      </c>
      <c r="F4107" s="89" t="str">
        <v/>
      </c>
      <c r="G4107" s="89" t="str">
        <f ca="1"/>
        <v/>
      </c>
    </row>
    <row r="4108" spans="1:7" x14ac:dyDescent="0.3">
      <c r="A4108" s="89" t="str">
        <v/>
      </c>
      <c r="B4108" s="89" t="str">
        <v>Conservacion Auditiva</v>
      </c>
      <c r="C4108" s="90" t="str">
        <v/>
      </c>
      <c r="D4108" s="89" t="str">
        <v>Periódica</v>
      </c>
      <c r="E4108" s="89">
        <v>365</v>
      </c>
      <c r="F4108" s="89" t="str">
        <v/>
      </c>
      <c r="G4108" s="89" t="str">
        <f ca="1"/>
        <v/>
      </c>
    </row>
    <row r="4109" spans="1:7" x14ac:dyDescent="0.3">
      <c r="A4109" s="89" t="str">
        <v/>
      </c>
      <c r="B4109" s="89" t="str">
        <v xml:space="preserve">Ergonomia //  / Levantamiento &amp; Seguridad en la Espalda </v>
      </c>
      <c r="C4109" s="90" t="str">
        <v/>
      </c>
      <c r="D4109" s="89" t="str">
        <v>Periódica</v>
      </c>
      <c r="E4109" s="89">
        <v>365</v>
      </c>
      <c r="F4109" s="89" t="str">
        <v/>
      </c>
      <c r="G4109" s="89" t="str">
        <f ca="1"/>
        <v/>
      </c>
    </row>
    <row r="4110" spans="1:7" x14ac:dyDescent="0.3">
      <c r="A4110" s="89" t="str">
        <v/>
      </c>
      <c r="B4110" s="89" t="str">
        <v>Superficies Elevadas (Todos)</v>
      </c>
      <c r="C4110" s="90" t="str">
        <v/>
      </c>
      <c r="D4110" s="89" t="str">
        <v>Periódica</v>
      </c>
      <c r="E4110" s="89">
        <v>365</v>
      </c>
      <c r="F4110" s="89" t="str">
        <v/>
      </c>
      <c r="G4110" s="89" t="str">
        <f ca="1"/>
        <v/>
      </c>
    </row>
    <row r="4111" spans="1:7" x14ac:dyDescent="0.3">
      <c r="A4111" s="89" t="str">
        <v/>
      </c>
      <c r="B4111" s="89" t="str">
        <v>Superficies Elevadas (Personal Habilitado)</v>
      </c>
      <c r="C4111" s="90" t="str">
        <v/>
      </c>
      <c r="D4111" s="89" t="str">
        <v>Periódica</v>
      </c>
      <c r="E4111" s="89">
        <v>365</v>
      </c>
      <c r="F4111" s="89" t="str">
        <v/>
      </c>
      <c r="G4111" s="89" t="str">
        <f ca="1"/>
        <v/>
      </c>
    </row>
    <row r="4112" spans="1:7" x14ac:dyDescent="0.3">
      <c r="A4112" s="89" t="str">
        <v/>
      </c>
      <c r="B4112" s="89" t="str">
        <v>Seguridad Quimica (Todos)</v>
      </c>
      <c r="C4112" s="90" t="str">
        <v/>
      </c>
      <c r="D4112" s="89" t="str">
        <v>Periódica</v>
      </c>
      <c r="E4112" s="89">
        <v>730</v>
      </c>
      <c r="F4112" s="89" t="str">
        <v/>
      </c>
      <c r="G4112" s="89" t="str">
        <f ca="1"/>
        <v/>
      </c>
    </row>
    <row r="4113" spans="1:7" x14ac:dyDescent="0.3">
      <c r="A4113" s="89" t="str">
        <v/>
      </c>
      <c r="B4113" s="89" t="str">
        <v>Seguridad Quimica (Mantenimiento)</v>
      </c>
      <c r="C4113" s="90" t="str">
        <v/>
      </c>
      <c r="D4113" s="89" t="str">
        <v>Periódica</v>
      </c>
      <c r="E4113" s="89">
        <v>365</v>
      </c>
      <c r="F4113" s="89" t="str">
        <v/>
      </c>
      <c r="G4113" s="89" t="str">
        <f ca="1"/>
        <v/>
      </c>
    </row>
    <row r="4114" spans="1:7" x14ac:dyDescent="0.3">
      <c r="A4114" s="89" t="str">
        <v/>
      </c>
      <c r="B4114" s="89" t="str">
        <v>Seguridad Quimica (Contratistas)</v>
      </c>
      <c r="C4114" s="90" t="str">
        <v/>
      </c>
      <c r="D4114" s="89" t="str">
        <v>Periódica</v>
      </c>
      <c r="E4114" s="89">
        <v>365</v>
      </c>
      <c r="F4114" s="89" t="str">
        <v/>
      </c>
      <c r="G4114" s="89" t="str">
        <f ca="1"/>
        <v/>
      </c>
    </row>
    <row r="4115" spans="1:7" x14ac:dyDescent="0.3">
      <c r="A4115" s="89" t="str">
        <v/>
      </c>
      <c r="B4115" s="89" t="str">
        <v>Seguridad para Trabajos en Caliente</v>
      </c>
      <c r="C4115" s="90" t="str">
        <v/>
      </c>
      <c r="D4115" s="89" t="str">
        <v>Periódica</v>
      </c>
      <c r="E4115" s="89">
        <v>365</v>
      </c>
      <c r="F4115" s="89" t="str">
        <v/>
      </c>
      <c r="G4115" s="89" t="str">
        <f ca="1"/>
        <v/>
      </c>
    </row>
    <row r="4116" spans="1:7" x14ac:dyDescent="0.3">
      <c r="A4116" s="89" t="str">
        <v/>
      </c>
      <c r="B4116" s="89" t="str">
        <v>Seguridad con la Radiacion</v>
      </c>
      <c r="C4116" s="90" t="str">
        <v/>
      </c>
      <c r="D4116" s="89" t="str">
        <v>Periódica</v>
      </c>
      <c r="E4116" s="89">
        <v>365</v>
      </c>
      <c r="F4116" s="89" t="str">
        <v/>
      </c>
      <c r="G4116" s="89" t="str">
        <f ca="1"/>
        <v/>
      </c>
    </row>
    <row r="4117" spans="1:7" x14ac:dyDescent="0.3">
      <c r="A4117" s="89" t="str">
        <v/>
      </c>
      <c r="B4117" s="89" t="str">
        <v>Equipo de Proteccion Personal (PPE)</v>
      </c>
      <c r="C4117" s="90" t="str">
        <v/>
      </c>
      <c r="D4117" s="89" t="str">
        <v>Periódica</v>
      </c>
      <c r="E4117" s="89">
        <v>365</v>
      </c>
      <c r="F4117" s="89" t="str">
        <v/>
      </c>
      <c r="G4117" s="89" t="str">
        <f ca="1"/>
        <v/>
      </c>
    </row>
    <row r="4118" spans="1:7" x14ac:dyDescent="0.3">
      <c r="A4118" s="89" t="str">
        <v/>
      </c>
      <c r="B4118" s="89" t="str">
        <v>Proteccion Respiratoria</v>
      </c>
      <c r="C4118" s="90" t="str">
        <v/>
      </c>
      <c r="D4118" s="89" t="str">
        <v>Periódica</v>
      </c>
      <c r="E4118" s="89">
        <v>365</v>
      </c>
      <c r="F4118" s="89" t="str">
        <v/>
      </c>
      <c r="G4118" s="89" t="str">
        <f ca="1"/>
        <v/>
      </c>
    </row>
    <row r="4119" spans="1:7" x14ac:dyDescent="0.3">
      <c r="A4119" s="89" t="str">
        <v/>
      </c>
      <c r="B4119" s="89" t="str">
        <v xml:space="preserve">Seguridad con Escaleras </v>
      </c>
      <c r="C4119" s="90" t="str">
        <v/>
      </c>
      <c r="D4119" s="89" t="str">
        <v>Periódica</v>
      </c>
      <c r="E4119" s="89">
        <v>365</v>
      </c>
      <c r="F4119" s="89" t="str">
        <v/>
      </c>
      <c r="G4119" s="89" t="str">
        <f ca="1"/>
        <v/>
      </c>
    </row>
    <row r="4120" spans="1:7" x14ac:dyDescent="0.3">
      <c r="A4120" s="89" t="str">
        <v/>
      </c>
      <c r="B4120" s="89" t="str">
        <v>Seguridad con Escaleras // Estantes de Almacenamiento</v>
      </c>
      <c r="C4120" s="90" t="str">
        <v/>
      </c>
      <c r="D4120" s="89" t="str">
        <v>Periódica</v>
      </c>
      <c r="E4120" s="89">
        <v>365</v>
      </c>
      <c r="F4120" s="89" t="str">
        <v/>
      </c>
      <c r="G4120" s="89" t="str">
        <f ca="1"/>
        <v/>
      </c>
    </row>
    <row r="4121" spans="1:7" x14ac:dyDescent="0.3">
      <c r="A4121" s="89" t="str">
        <v/>
      </c>
      <c r="B4121" s="89" t="str">
        <v>Responsabilidades del Supervisor</v>
      </c>
      <c r="C4121" s="90" t="str">
        <v/>
      </c>
      <c r="D4121" s="89" t="str">
        <v>Periódica</v>
      </c>
      <c r="E4121" s="89">
        <v>365</v>
      </c>
      <c r="F4121" s="89" t="str">
        <v/>
      </c>
      <c r="G4121" s="89" t="str">
        <f ca="1"/>
        <v/>
      </c>
    </row>
    <row r="4122" spans="1:7" x14ac:dyDescent="0.3">
      <c r="A4122" s="89" t="str">
        <v/>
      </c>
      <c r="B4122" s="89" t="str">
        <v>Espacios Confinados (Todos)</v>
      </c>
      <c r="C4122" s="90" t="str">
        <v/>
      </c>
      <c r="D4122" s="89" t="str">
        <v>Periódica</v>
      </c>
      <c r="E4122" s="89">
        <v>365</v>
      </c>
      <c r="F4122" s="89" t="str">
        <v/>
      </c>
      <c r="G4122" s="89" t="str">
        <f ca="1"/>
        <v/>
      </c>
    </row>
    <row r="4123" spans="1:7" x14ac:dyDescent="0.3">
      <c r="A4123" s="89" t="str">
        <v/>
      </c>
      <c r="B4123" s="89" t="str">
        <v>HSMS.017 / Espacios Confinados (Entrantes)</v>
      </c>
      <c r="C4123" s="90" t="str">
        <v/>
      </c>
      <c r="D4123" s="89" t="str">
        <v>Evento</v>
      </c>
      <c r="E4123" s="89">
        <v>0</v>
      </c>
      <c r="F4123" s="89" t="str">
        <v/>
      </c>
      <c r="G4123" s="89" t="str">
        <f ca="1"/>
        <v/>
      </c>
    </row>
    <row r="4124" spans="1:7" x14ac:dyDescent="0.3">
      <c r="A4124" s="89" t="str">
        <v/>
      </c>
      <c r="B4124" s="89" t="str">
        <v>Programa de Agua (Todos)</v>
      </c>
      <c r="C4124" s="90" t="str">
        <v/>
      </c>
      <c r="D4124" s="89" t="str">
        <v>Evento</v>
      </c>
      <c r="E4124" s="89">
        <v>0</v>
      </c>
      <c r="F4124" s="89" t="str">
        <v/>
      </c>
      <c r="G4124" s="89" t="str">
        <f ca="1"/>
        <v/>
      </c>
    </row>
    <row r="4125" spans="1:7" x14ac:dyDescent="0.3">
      <c r="A4125" s="89" t="str">
        <v/>
      </c>
      <c r="B4125" s="89" t="str">
        <v>Programa de Agua (HSE)</v>
      </c>
      <c r="C4125" s="90" t="str">
        <v/>
      </c>
      <c r="D4125" s="89" t="str">
        <v>Evento</v>
      </c>
      <c r="E4125" s="89">
        <v>0</v>
      </c>
      <c r="F4125" s="89" t="str">
        <v/>
      </c>
      <c r="G4125" s="89" t="str">
        <f ca="1"/>
        <v/>
      </c>
    </row>
    <row r="4126" spans="1:7" x14ac:dyDescent="0.3">
      <c r="A4126" s="89" t="str">
        <v/>
      </c>
      <c r="B4126" s="89" t="str">
        <v>HIV/SIDA y otras enfermedades de transmisión sexual (ETS)</v>
      </c>
      <c r="C4126" s="90" t="str">
        <v/>
      </c>
      <c r="D4126" s="89" t="str">
        <v>Periódica</v>
      </c>
      <c r="E4126" s="89">
        <v>365</v>
      </c>
      <c r="F4126" s="89" t="str">
        <v/>
      </c>
      <c r="G4126" s="89" t="str">
        <f ca="1"/>
        <v/>
      </c>
    </row>
    <row r="4127" spans="1:7" x14ac:dyDescent="0.3">
      <c r="A4127" s="89" t="str">
        <v/>
      </c>
      <c r="B4127" s="89" t="str">
        <v>Drogas de abuso (concientización y prevención)</v>
      </c>
      <c r="C4127" s="90" t="str">
        <v/>
      </c>
      <c r="D4127" s="89" t="str">
        <v>Periódica</v>
      </c>
      <c r="E4127" s="89">
        <v>365</v>
      </c>
      <c r="F4127" s="89" t="str">
        <v/>
      </c>
      <c r="G4127" s="89" t="str">
        <f ca="1"/>
        <v/>
      </c>
    </row>
    <row r="4128" spans="1:7" x14ac:dyDescent="0.3">
      <c r="A4128" s="89" t="str">
        <v/>
      </c>
      <c r="B4128" s="89" t="str">
        <v>Vida saludable (hábitos, autocuidado y bienestar)</v>
      </c>
      <c r="C4128" s="90" t="str">
        <v/>
      </c>
      <c r="D4128" s="89" t="str">
        <v>Periódica</v>
      </c>
      <c r="E4128" s="89">
        <v>365</v>
      </c>
      <c r="F4128" s="89" t="str">
        <v/>
      </c>
      <c r="G4128" s="89" t="str">
        <f ca="1"/>
        <v/>
      </c>
    </row>
    <row r="4129" spans="1:7" x14ac:dyDescent="0.3">
      <c r="A4129" s="89" t="str">
        <v/>
      </c>
      <c r="B4129" s="89" t="str">
        <v>Primeros auxilios y Reanimación Cardio Pulmonar (RCP)</v>
      </c>
      <c r="C4129" s="90" t="str">
        <v/>
      </c>
      <c r="D4129" s="89" t="str">
        <v>Periódica</v>
      </c>
      <c r="E4129" s="89">
        <v>365</v>
      </c>
      <c r="F4129" s="89" t="str">
        <v/>
      </c>
      <c r="G4129" s="89" t="str">
        <f ca="1"/>
        <v/>
      </c>
    </row>
    <row r="4130" spans="1:7" x14ac:dyDescent="0.3">
      <c r="A4130" s="89" t="str">
        <v/>
      </c>
      <c r="B4130" s="89" t="str">
        <v>Prevención cardiovascular (factores de riesgo y señales de alarma)</v>
      </c>
      <c r="C4130" s="90" t="str">
        <v/>
      </c>
      <c r="D4130" s="89" t="str">
        <v>Periódica</v>
      </c>
      <c r="E4130" s="89">
        <v>365</v>
      </c>
      <c r="F4130" s="89" t="str">
        <v/>
      </c>
      <c r="G4130" s="89" t="str">
        <f ca="1"/>
        <v/>
      </c>
    </row>
    <row r="4131" spans="1:7" x14ac:dyDescent="0.3">
      <c r="A4131" s="89" t="str">
        <v/>
      </c>
      <c r="B4131" s="89" t="str">
        <v>Efectos del tabaco sobre la salud</v>
      </c>
      <c r="C4131" s="90" t="str">
        <v/>
      </c>
      <c r="D4131" s="89" t="str">
        <v>Periódica</v>
      </c>
      <c r="E4131" s="89">
        <v>365</v>
      </c>
      <c r="F4131" s="89" t="str">
        <v/>
      </c>
      <c r="G4131" s="89" t="str">
        <f ca="1"/>
        <v/>
      </c>
    </row>
    <row r="4132" spans="1:7" x14ac:dyDescent="0.3">
      <c r="A4132" s="89" t="str">
        <v/>
      </c>
      <c r="B4132" s="89" t="str">
        <v>Cargadora (Op. Montacargas)</v>
      </c>
      <c r="C4132" s="90" t="str">
        <v/>
      </c>
      <c r="D4132" s="89" t="str">
        <v>Periódica</v>
      </c>
      <c r="E4132" s="89">
        <v>365</v>
      </c>
      <c r="F4132" s="89" t="str">
        <v/>
      </c>
      <c r="G4132" s="89" t="str">
        <f ca="1"/>
        <v/>
      </c>
    </row>
    <row r="4133" spans="1:7" x14ac:dyDescent="0.3">
      <c r="A4133" s="89" t="str">
        <v/>
      </c>
      <c r="B4133" s="89">
        <v>0</v>
      </c>
      <c r="C4133" s="90" t="str">
        <v/>
      </c>
      <c r="D4133" s="89" t="str">
        <v/>
      </c>
      <c r="E4133" s="89" t="str">
        <v/>
      </c>
      <c r="F4133" s="89" t="str">
        <v/>
      </c>
      <c r="G4133" s="89" t="str">
        <f ca="1"/>
        <v/>
      </c>
    </row>
    <row r="4134" spans="1:7" x14ac:dyDescent="0.3">
      <c r="A4134" s="89" t="str">
        <v/>
      </c>
      <c r="B4134" s="89">
        <v>0</v>
      </c>
      <c r="C4134" s="90" t="str">
        <v/>
      </c>
      <c r="D4134" s="89" t="str">
        <v/>
      </c>
      <c r="E4134" s="89" t="str">
        <v/>
      </c>
      <c r="F4134" s="89" t="str">
        <v/>
      </c>
      <c r="G4134" s="89" t="str">
        <f ca="1"/>
        <v/>
      </c>
    </row>
    <row r="4135" spans="1:7" x14ac:dyDescent="0.3">
      <c r="A4135" s="89" t="str">
        <v/>
      </c>
      <c r="B4135" s="89">
        <v>0</v>
      </c>
      <c r="C4135" s="90" t="str">
        <v/>
      </c>
      <c r="D4135" s="89" t="str">
        <v/>
      </c>
      <c r="E4135" s="89" t="str">
        <v/>
      </c>
      <c r="F4135" s="89" t="str">
        <v/>
      </c>
      <c r="G4135" s="89" t="str">
        <f ca="1"/>
        <v/>
      </c>
    </row>
    <row r="4136" spans="1:7" x14ac:dyDescent="0.3">
      <c r="A4136" s="89" t="str">
        <v/>
      </c>
      <c r="B4136" s="89">
        <v>0</v>
      </c>
      <c r="C4136" s="90" t="str">
        <v/>
      </c>
      <c r="D4136" s="89" t="str">
        <v/>
      </c>
      <c r="E4136" s="89" t="str">
        <v/>
      </c>
      <c r="F4136" s="89" t="str">
        <v/>
      </c>
      <c r="G4136" s="89" t="str">
        <f ca="1"/>
        <v/>
      </c>
    </row>
    <row r="4137" spans="1:7" x14ac:dyDescent="0.3">
      <c r="A4137" s="89" t="str">
        <v/>
      </c>
      <c r="B4137" s="89">
        <v>0</v>
      </c>
      <c r="C4137" s="90" t="str">
        <v/>
      </c>
      <c r="D4137" s="89" t="str">
        <v/>
      </c>
      <c r="E4137" s="89" t="str">
        <v/>
      </c>
      <c r="F4137" s="89" t="str">
        <v/>
      </c>
      <c r="G4137" s="89" t="str">
        <f ca="1"/>
        <v/>
      </c>
    </row>
    <row r="4138" spans="1:7" x14ac:dyDescent="0.3">
      <c r="A4138" s="89" t="str">
        <v/>
      </c>
      <c r="B4138" s="89">
        <v>0</v>
      </c>
      <c r="C4138" s="90" t="str">
        <v/>
      </c>
      <c r="D4138" s="89" t="str">
        <v/>
      </c>
      <c r="E4138" s="89" t="str">
        <v/>
      </c>
      <c r="F4138" s="89" t="str">
        <v/>
      </c>
      <c r="G4138" s="89" t="str">
        <f ca="1"/>
        <v/>
      </c>
    </row>
    <row r="4139" spans="1:7" x14ac:dyDescent="0.3">
      <c r="A4139" s="89" t="str">
        <v/>
      </c>
      <c r="B4139" s="89">
        <v>0</v>
      </c>
      <c r="C4139" s="90" t="str">
        <v/>
      </c>
      <c r="D4139" s="89" t="str">
        <v/>
      </c>
      <c r="E4139" s="89" t="str">
        <v/>
      </c>
      <c r="F4139" s="89" t="str">
        <v/>
      </c>
      <c r="G4139" s="89" t="str">
        <f ca="1"/>
        <v/>
      </c>
    </row>
    <row r="4140" spans="1:7" x14ac:dyDescent="0.3">
      <c r="A4140" s="89" t="str">
        <v/>
      </c>
      <c r="B4140" s="89">
        <v>0</v>
      </c>
      <c r="C4140" s="90" t="str">
        <v/>
      </c>
      <c r="D4140" s="89" t="str">
        <v/>
      </c>
      <c r="E4140" s="89" t="str">
        <v/>
      </c>
      <c r="F4140" s="89" t="str">
        <v/>
      </c>
      <c r="G4140" s="89" t="str">
        <f ca="1"/>
        <v/>
      </c>
    </row>
    <row r="4141" spans="1:7" x14ac:dyDescent="0.3">
      <c r="A4141" s="89" t="str">
        <v/>
      </c>
      <c r="B4141" s="89">
        <v>0</v>
      </c>
      <c r="C4141" s="90" t="str">
        <v/>
      </c>
      <c r="D4141" s="89" t="str">
        <v/>
      </c>
      <c r="E4141" s="89" t="str">
        <v/>
      </c>
      <c r="F4141" s="89" t="str">
        <v/>
      </c>
      <c r="G4141" s="89" t="str">
        <f ca="1"/>
        <v/>
      </c>
    </row>
    <row r="4142" spans="1:7" x14ac:dyDescent="0.3">
      <c r="A4142" s="89" t="str">
        <v/>
      </c>
      <c r="B4142" s="89" t="str">
        <v>Programa de Aire</v>
      </c>
      <c r="C4142" s="90" t="str">
        <v/>
      </c>
      <c r="D4142" s="89" t="str">
        <v>Evento</v>
      </c>
      <c r="E4142" s="89">
        <v>0</v>
      </c>
      <c r="F4142" s="89" t="str">
        <v/>
      </c>
      <c r="G4142" s="89" t="str">
        <f ca="1"/>
        <v/>
      </c>
    </row>
    <row r="4143" spans="1:7" x14ac:dyDescent="0.3">
      <c r="A4143" s="89" t="str">
        <v/>
      </c>
      <c r="B4143" s="89" t="str">
        <v>Conciencia Ambiental</v>
      </c>
      <c r="C4143" s="90" t="str">
        <v/>
      </c>
      <c r="D4143" s="89" t="str">
        <v>Periódica</v>
      </c>
      <c r="E4143" s="89">
        <v>365</v>
      </c>
      <c r="F4143" s="89" t="str">
        <v/>
      </c>
      <c r="G4143" s="89" t="str">
        <f ca="1"/>
        <v/>
      </c>
    </row>
    <row r="4144" spans="1:7" x14ac:dyDescent="0.3">
      <c r="A4144" s="89" t="str">
        <v/>
      </c>
      <c r="B4144" s="89" t="str">
        <v xml:space="preserve">Control de Documentos e Informacion de HSE </v>
      </c>
      <c r="C4144" s="90" t="str">
        <v/>
      </c>
      <c r="D4144" s="89" t="str">
        <v>Evento</v>
      </c>
      <c r="E4144" s="89">
        <v>0</v>
      </c>
      <c r="F4144" s="89" t="str">
        <v/>
      </c>
      <c r="G4144" s="89" t="str">
        <f ca="1"/>
        <v/>
      </c>
    </row>
    <row r="4145" spans="1:7" x14ac:dyDescent="0.3">
      <c r="A4145" s="89" t="str">
        <v/>
      </c>
      <c r="B4145" s="89" t="str">
        <v xml:space="preserve"> Acciones Correctivas y Preventivas (CAPA)</v>
      </c>
      <c r="C4145" s="90" t="str">
        <v/>
      </c>
      <c r="D4145" s="89" t="str">
        <v>Evento</v>
      </c>
      <c r="E4145" s="89">
        <v>0</v>
      </c>
      <c r="F4145" s="89" t="str">
        <v/>
      </c>
      <c r="G4145" s="89" t="str">
        <f ca="1"/>
        <v/>
      </c>
    </row>
    <row r="4146" spans="1:7" x14ac:dyDescent="0.3">
      <c r="A4146" s="89" t="str">
        <v/>
      </c>
      <c r="B4146" s="89" t="str">
        <v>Seguridad Basada en el Comportamiento (Observation Program) // HSMS.043 / Autoridad de Detener el Trabajo</v>
      </c>
      <c r="C4146" s="90" t="str">
        <v/>
      </c>
      <c r="D4146" s="89" t="str">
        <v>Periódica</v>
      </c>
      <c r="E4146" s="89">
        <v>365</v>
      </c>
      <c r="F4146" s="89" t="str">
        <v/>
      </c>
      <c r="G4146" s="89" t="str">
        <f ca="1"/>
        <v/>
      </c>
    </row>
    <row r="4147" spans="1:7" x14ac:dyDescent="0.3">
      <c r="A4147" s="89" t="str">
        <v/>
      </c>
      <c r="B4147" s="89" t="str">
        <v>Identificacion de Peligros y Evaluacion de Riesgos</v>
      </c>
      <c r="C4147" s="90" t="str">
        <v/>
      </c>
      <c r="D4147" s="89" t="str">
        <v>Evento</v>
      </c>
      <c r="E4147" s="89">
        <v>0</v>
      </c>
      <c r="F4147" s="89" t="str">
        <v/>
      </c>
      <c r="G4147" s="89" t="str">
        <f ca="1"/>
        <v/>
      </c>
    </row>
    <row r="4148" spans="1:7" x14ac:dyDescent="0.3">
      <c r="A4148" s="89" t="str">
        <v/>
      </c>
      <c r="B4148" s="89" t="str">
        <v xml:space="preserve"> Plan de Respuesta ante Eemergencias / HSMS.010 /Primeros Axulios &amp; RCP/DEA / HSMSWT-002 / Patogenos Trasnmitidos por la Sangre</v>
      </c>
      <c r="C4148" s="90" t="str">
        <v/>
      </c>
      <c r="D4148" s="89" t="str">
        <v>Periódica</v>
      </c>
      <c r="E4148" s="89">
        <v>365</v>
      </c>
      <c r="F4148" s="89" t="str">
        <v/>
      </c>
      <c r="G4148" s="89" t="str">
        <f ca="1"/>
        <v/>
      </c>
    </row>
    <row r="4149" spans="1:7" x14ac:dyDescent="0.3">
      <c r="A4149" s="89" t="str">
        <v/>
      </c>
      <c r="B4149" s="89" t="str">
        <v>Reporte y Gestion de Incidentes HSE (Todos)</v>
      </c>
      <c r="C4149" s="90" t="str">
        <v/>
      </c>
      <c r="D4149" s="89" t="str">
        <v>Periódica</v>
      </c>
      <c r="E4149" s="89">
        <v>365</v>
      </c>
      <c r="F4149" s="89" t="str">
        <v/>
      </c>
      <c r="G4149" s="89" t="str">
        <f ca="1"/>
        <v/>
      </c>
    </row>
    <row r="4150" spans="1:7" x14ac:dyDescent="0.3">
      <c r="A4150" s="89" t="str">
        <v/>
      </c>
      <c r="B4150" s="89" t="str">
        <v>Reporte, Gestion e Investigacion de Incidentes HSE (supervisores / investigadores (rol))</v>
      </c>
      <c r="C4150" s="90" t="str">
        <v/>
      </c>
      <c r="D4150" s="89" t="str">
        <v>Periódica</v>
      </c>
      <c r="E4150" s="89">
        <v>1095</v>
      </c>
      <c r="F4150" s="89" t="str">
        <v/>
      </c>
      <c r="G4150" s="89" t="str">
        <f ca="1"/>
        <v/>
      </c>
    </row>
    <row r="4151" spans="1:7" x14ac:dyDescent="0.3">
      <c r="A4151" s="89" t="str">
        <v/>
      </c>
      <c r="B4151" s="89" t="str">
        <v>Gruas y Equipos de Izaje (Todos)</v>
      </c>
      <c r="C4151" s="90" t="str">
        <v/>
      </c>
      <c r="D4151" s="89" t="str">
        <v>Periódica</v>
      </c>
      <c r="E4151" s="89">
        <v>365</v>
      </c>
      <c r="F4151" s="89" t="str">
        <v/>
      </c>
      <c r="G4151" s="89" t="str">
        <f ca="1"/>
        <v/>
      </c>
    </row>
    <row r="4152" spans="1:7" x14ac:dyDescent="0.3">
      <c r="A4152" s="89" t="str">
        <v/>
      </c>
      <c r="B4152" s="89" t="str">
        <v>HSMS.007 / Gruas y Equipos de Izaje (Operadores)</v>
      </c>
      <c r="C4152" s="90" t="str">
        <v/>
      </c>
      <c r="D4152" s="89" t="str">
        <v>Periódica</v>
      </c>
      <c r="E4152" s="89">
        <v>365</v>
      </c>
      <c r="F4152" s="89" t="str">
        <v/>
      </c>
      <c r="G4152" s="89" t="str">
        <f ca="1"/>
        <v/>
      </c>
    </row>
    <row r="4153" spans="1:7" x14ac:dyDescent="0.3">
      <c r="A4153" s="89" t="str">
        <v/>
      </c>
      <c r="B4153" s="89" t="str">
        <v>Proteccion Contra Incendios (Todos)</v>
      </c>
      <c r="C4153" s="90" t="str">
        <v/>
      </c>
      <c r="D4153" s="89" t="str">
        <v>Periódica</v>
      </c>
      <c r="E4153" s="89">
        <v>365</v>
      </c>
      <c r="F4153" s="89" t="str">
        <v/>
      </c>
      <c r="G4153" s="89" t="str">
        <f ca="1"/>
        <v/>
      </c>
    </row>
    <row r="4154" spans="1:7" x14ac:dyDescent="0.3">
      <c r="A4154" s="89" t="str">
        <v/>
      </c>
      <c r="B4154" s="89" t="str">
        <v>Proteccion Contra Incendios (Brigadistas)</v>
      </c>
      <c r="C4154" s="90" t="str">
        <v/>
      </c>
      <c r="D4154" s="89" t="str">
        <v>Periódica</v>
      </c>
      <c r="E4154" s="89">
        <v>365</v>
      </c>
      <c r="F4154" s="89" t="str">
        <v/>
      </c>
      <c r="G4154" s="89" t="str">
        <f ca="1"/>
        <v/>
      </c>
    </row>
    <row r="4155" spans="1:7" x14ac:dyDescent="0.3">
      <c r="A4155" s="89" t="str">
        <v/>
      </c>
      <c r="B4155" s="89" t="str">
        <v>Primeros Auxilios (Brigadistas)</v>
      </c>
      <c r="C4155" s="90" t="str">
        <v/>
      </c>
      <c r="D4155" s="89" t="str">
        <v>Periódica</v>
      </c>
      <c r="E4155" s="89">
        <v>365</v>
      </c>
      <c r="F4155" s="89" t="str">
        <v/>
      </c>
      <c r="G4155" s="89" t="str">
        <f ca="1"/>
        <v/>
      </c>
    </row>
    <row r="4156" spans="1:7" x14ac:dyDescent="0.3">
      <c r="A4156" s="89" t="str">
        <v/>
      </c>
      <c r="B4156" s="89" t="str">
        <v>Seguridad Electrica (Todos)</v>
      </c>
      <c r="C4156" s="90" t="str">
        <v/>
      </c>
      <c r="D4156" s="89" t="str">
        <v>Periódica</v>
      </c>
      <c r="E4156" s="89">
        <v>365</v>
      </c>
      <c r="F4156" s="89" t="str">
        <v/>
      </c>
      <c r="G4156" s="89" t="str">
        <f ca="1"/>
        <v/>
      </c>
    </row>
    <row r="4157" spans="1:7" x14ac:dyDescent="0.3">
      <c r="A4157" s="89" t="str">
        <v/>
      </c>
      <c r="B4157" s="89" t="str">
        <v>Seguridad Electrica (Personal Autorizado)</v>
      </c>
      <c r="C4157" s="90" t="str">
        <v/>
      </c>
      <c r="D4157" s="89" t="str">
        <v>Periódica</v>
      </c>
      <c r="E4157" s="89">
        <v>1095</v>
      </c>
      <c r="F4157" s="89" t="str">
        <v/>
      </c>
      <c r="G4157" s="89" t="str">
        <f ca="1"/>
        <v/>
      </c>
    </row>
    <row r="4158" spans="1:7" x14ac:dyDescent="0.3">
      <c r="A4158" s="89" t="str">
        <v/>
      </c>
      <c r="B4158" s="89" t="str">
        <v>Camiones Industriales Motorizados (PIT) (Todos)</v>
      </c>
      <c r="C4158" s="90" t="str">
        <v/>
      </c>
      <c r="D4158" s="89" t="str">
        <v>Periódica</v>
      </c>
      <c r="E4158" s="89">
        <v>365</v>
      </c>
      <c r="F4158" s="89" t="str">
        <v/>
      </c>
      <c r="G4158" s="89" t="str">
        <f ca="1"/>
        <v/>
      </c>
    </row>
    <row r="4159" spans="1:7" x14ac:dyDescent="0.3">
      <c r="A4159" s="89" t="str">
        <v/>
      </c>
      <c r="B4159" s="89" t="str">
        <v>Camiones Industriales Motorizados (PIT) (Op. Montacargas)</v>
      </c>
      <c r="C4159" s="90" t="str">
        <v/>
      </c>
      <c r="D4159" s="89" t="str">
        <v>Periódica</v>
      </c>
      <c r="E4159" s="89">
        <v>365</v>
      </c>
      <c r="F4159" s="89" t="str">
        <v/>
      </c>
      <c r="G4159" s="89" t="str">
        <f ca="1"/>
        <v/>
      </c>
    </row>
    <row r="4160" spans="1:7" x14ac:dyDescent="0.3">
      <c r="A4160" s="89" t="str">
        <v/>
      </c>
      <c r="B4160" s="89" t="str">
        <v>Control de Energias Peligrosas (LOTO) (Todos)</v>
      </c>
      <c r="C4160" s="90" t="str">
        <v/>
      </c>
      <c r="D4160" s="89" t="str">
        <v>Evento</v>
      </c>
      <c r="E4160" s="89">
        <v>0</v>
      </c>
      <c r="F4160" s="89" t="str">
        <v/>
      </c>
      <c r="G4160" s="89" t="str">
        <f ca="1"/>
        <v/>
      </c>
    </row>
    <row r="4161" spans="1:7" x14ac:dyDescent="0.3">
      <c r="A4161" s="89" t="str">
        <v/>
      </c>
      <c r="B4161" s="89" t="str">
        <v>Control de Energias Peligrosas (LOTO) (Empleados Autorizados)</v>
      </c>
      <c r="C4161" s="90" t="str">
        <v/>
      </c>
      <c r="D4161" s="89" t="str">
        <v>Periódica</v>
      </c>
      <c r="E4161" s="89">
        <v>365</v>
      </c>
      <c r="F4161" s="89" t="str">
        <v/>
      </c>
      <c r="G4161" s="89" t="str">
        <f ca="1"/>
        <v/>
      </c>
    </row>
    <row r="4162" spans="1:7" x14ac:dyDescent="0.3">
      <c r="A4162" s="89" t="str">
        <v/>
      </c>
      <c r="B4162" s="89" t="str">
        <v>Seguridad aplicada al Pozo &amp; Yacimiento</v>
      </c>
      <c r="C4162" s="90" t="str">
        <v/>
      </c>
      <c r="D4162" s="89" t="str">
        <v>Periódica</v>
      </c>
      <c r="E4162" s="89">
        <v>365</v>
      </c>
      <c r="F4162" s="89" t="str">
        <v/>
      </c>
      <c r="G4162" s="89" t="str">
        <f ca="1"/>
        <v/>
      </c>
    </row>
    <row r="4163" spans="1:7" x14ac:dyDescent="0.3">
      <c r="A4163" s="89" t="str">
        <v/>
      </c>
      <c r="B4163" s="89" t="str">
        <v>Las Reglas que Salvan Vidas</v>
      </c>
      <c r="C4163" s="90" t="str">
        <v/>
      </c>
      <c r="D4163" s="89" t="str">
        <v>Periódica</v>
      </c>
      <c r="E4163" s="89">
        <v>365</v>
      </c>
      <c r="F4163" s="89" t="str">
        <v/>
      </c>
      <c r="G4163" s="89" t="str">
        <f ca="1"/>
        <v/>
      </c>
    </row>
    <row r="4164" spans="1:7" x14ac:dyDescent="0.3">
      <c r="A4164" s="89" t="str">
        <v/>
      </c>
      <c r="B4164" s="89" t="str">
        <v xml:space="preserve">Resguardo de Maquinas &amp; Equipos </v>
      </c>
      <c r="C4164" s="90" t="str">
        <v/>
      </c>
      <c r="D4164" s="89" t="str">
        <v>Periódica</v>
      </c>
      <c r="E4164" s="89">
        <v>365</v>
      </c>
      <c r="F4164" s="89" t="str">
        <v/>
      </c>
      <c r="G4164" s="89" t="str">
        <f ca="1"/>
        <v/>
      </c>
    </row>
    <row r="4165" spans="1:7" x14ac:dyDescent="0.3">
      <c r="A4165" s="89" t="str">
        <v/>
      </c>
      <c r="B4165" s="89" t="str">
        <v>Conduccion y Gestion de Viajes (Todos)</v>
      </c>
      <c r="C4165" s="90" t="str">
        <v/>
      </c>
      <c r="D4165" s="89" t="str">
        <v>Periódica</v>
      </c>
      <c r="E4165" s="89">
        <v>730</v>
      </c>
      <c r="F4165" s="89" t="str">
        <v/>
      </c>
      <c r="G4165" s="89" t="str">
        <f ca="1"/>
        <v/>
      </c>
    </row>
    <row r="4166" spans="1:7" x14ac:dyDescent="0.3">
      <c r="A4166" s="89" t="str">
        <v/>
      </c>
      <c r="B4166" s="89" t="str">
        <v>Conduccion y Gestion de Viajes (Conductores)</v>
      </c>
      <c r="C4166" s="90" t="str">
        <v/>
      </c>
      <c r="D4166" s="89" t="str">
        <v>Periódica</v>
      </c>
      <c r="E4166" s="89">
        <v>1095</v>
      </c>
      <c r="F4166" s="89" t="str">
        <v/>
      </c>
      <c r="G4166" s="89" t="str">
        <f ca="1"/>
        <v/>
      </c>
    </row>
    <row r="4167" spans="1:7" x14ac:dyDescent="0.3">
      <c r="A4167" s="89" t="str">
        <v/>
      </c>
      <c r="B4167" s="89" t="str">
        <v>Patogenos Transmitidos por la Sangre</v>
      </c>
      <c r="C4167" s="90" t="str">
        <v/>
      </c>
      <c r="D4167" s="89" t="str">
        <v>Periódica</v>
      </c>
      <c r="E4167" s="89">
        <v>365</v>
      </c>
      <c r="F4167" s="89" t="str">
        <v/>
      </c>
      <c r="G4167" s="89" t="str">
        <f ca="1"/>
        <v/>
      </c>
    </row>
    <row r="4168" spans="1:7" x14ac:dyDescent="0.3">
      <c r="A4168" s="89" t="str">
        <v/>
      </c>
      <c r="B4168" s="89" t="str">
        <v>Conservacion Auditiva</v>
      </c>
      <c r="C4168" s="90" t="str">
        <v/>
      </c>
      <c r="D4168" s="89" t="str">
        <v>Periódica</v>
      </c>
      <c r="E4168" s="89">
        <v>365</v>
      </c>
      <c r="F4168" s="89" t="str">
        <v/>
      </c>
      <c r="G4168" s="89" t="str">
        <f ca="1"/>
        <v/>
      </c>
    </row>
    <row r="4169" spans="1:7" x14ac:dyDescent="0.3">
      <c r="A4169" s="89" t="str">
        <v/>
      </c>
      <c r="B4169" s="89" t="str">
        <v xml:space="preserve">Ergonomia //  / Levantamiento &amp; Seguridad en la Espalda </v>
      </c>
      <c r="C4169" s="90" t="str">
        <v/>
      </c>
      <c r="D4169" s="89" t="str">
        <v>Periódica</v>
      </c>
      <c r="E4169" s="89">
        <v>365</v>
      </c>
      <c r="F4169" s="89" t="str">
        <v/>
      </c>
      <c r="G4169" s="89" t="str">
        <f ca="1"/>
        <v/>
      </c>
    </row>
    <row r="4170" spans="1:7" x14ac:dyDescent="0.3">
      <c r="A4170" s="89" t="str">
        <v/>
      </c>
      <c r="B4170" s="89" t="str">
        <v>Superficies Elevadas (Todos)</v>
      </c>
      <c r="C4170" s="90" t="str">
        <v/>
      </c>
      <c r="D4170" s="89" t="str">
        <v>Periódica</v>
      </c>
      <c r="E4170" s="89">
        <v>365</v>
      </c>
      <c r="F4170" s="89" t="str">
        <v/>
      </c>
      <c r="G4170" s="89" t="str">
        <f ca="1"/>
        <v/>
      </c>
    </row>
    <row r="4171" spans="1:7" x14ac:dyDescent="0.3">
      <c r="A4171" s="89" t="str">
        <v/>
      </c>
      <c r="B4171" s="89" t="str">
        <v>Superficies Elevadas (Personal Habilitado)</v>
      </c>
      <c r="C4171" s="90" t="str">
        <v/>
      </c>
      <c r="D4171" s="89" t="str">
        <v>Periódica</v>
      </c>
      <c r="E4171" s="89">
        <v>365</v>
      </c>
      <c r="F4171" s="89" t="str">
        <v/>
      </c>
      <c r="G4171" s="89" t="str">
        <f ca="1"/>
        <v/>
      </c>
    </row>
    <row r="4172" spans="1:7" x14ac:dyDescent="0.3">
      <c r="A4172" s="89" t="str">
        <v/>
      </c>
      <c r="B4172" s="89" t="str">
        <v>Seguridad Quimica (Todos)</v>
      </c>
      <c r="C4172" s="90" t="str">
        <v/>
      </c>
      <c r="D4172" s="89" t="str">
        <v>Periódica</v>
      </c>
      <c r="E4172" s="89">
        <v>730</v>
      </c>
      <c r="F4172" s="89" t="str">
        <v/>
      </c>
      <c r="G4172" s="89" t="str">
        <f ca="1"/>
        <v/>
      </c>
    </row>
    <row r="4173" spans="1:7" x14ac:dyDescent="0.3">
      <c r="A4173" s="89" t="str">
        <v/>
      </c>
      <c r="B4173" s="89" t="str">
        <v>Seguridad Quimica (Mantenimiento)</v>
      </c>
      <c r="C4173" s="90" t="str">
        <v/>
      </c>
      <c r="D4173" s="89" t="str">
        <v>Periódica</v>
      </c>
      <c r="E4173" s="89">
        <v>365</v>
      </c>
      <c r="F4173" s="89" t="str">
        <v/>
      </c>
      <c r="G4173" s="89" t="str">
        <f ca="1"/>
        <v/>
      </c>
    </row>
    <row r="4174" spans="1:7" x14ac:dyDescent="0.3">
      <c r="A4174" s="89" t="str">
        <v/>
      </c>
      <c r="B4174" s="89" t="str">
        <v>Seguridad Quimica (Contratistas)</v>
      </c>
      <c r="C4174" s="90" t="str">
        <v/>
      </c>
      <c r="D4174" s="89" t="str">
        <v>Periódica</v>
      </c>
      <c r="E4174" s="89">
        <v>365</v>
      </c>
      <c r="F4174" s="89" t="str">
        <v/>
      </c>
      <c r="G4174" s="89" t="str">
        <f ca="1"/>
        <v/>
      </c>
    </row>
    <row r="4175" spans="1:7" x14ac:dyDescent="0.3">
      <c r="A4175" s="89" t="str">
        <v/>
      </c>
      <c r="B4175" s="89" t="str">
        <v>Seguridad para Trabajos en Caliente</v>
      </c>
      <c r="C4175" s="90" t="str">
        <v/>
      </c>
      <c r="D4175" s="89" t="str">
        <v>Periódica</v>
      </c>
      <c r="E4175" s="89">
        <v>365</v>
      </c>
      <c r="F4175" s="89" t="str">
        <v/>
      </c>
      <c r="G4175" s="89" t="str">
        <f ca="1"/>
        <v/>
      </c>
    </row>
    <row r="4176" spans="1:7" x14ac:dyDescent="0.3">
      <c r="A4176" s="89" t="str">
        <v/>
      </c>
      <c r="B4176" s="89" t="str">
        <v>Seguridad con la Radiacion</v>
      </c>
      <c r="C4176" s="90" t="str">
        <v/>
      </c>
      <c r="D4176" s="89" t="str">
        <v>Periódica</v>
      </c>
      <c r="E4176" s="89">
        <v>365</v>
      </c>
      <c r="F4176" s="89" t="str">
        <v/>
      </c>
      <c r="G4176" s="89" t="str">
        <f ca="1"/>
        <v/>
      </c>
    </row>
    <row r="4177" spans="1:7" x14ac:dyDescent="0.3">
      <c r="A4177" s="89" t="str">
        <v/>
      </c>
      <c r="B4177" s="89" t="str">
        <v>Equipo de Proteccion Personal (PPE)</v>
      </c>
      <c r="C4177" s="90" t="str">
        <v/>
      </c>
      <c r="D4177" s="89" t="str">
        <v>Periódica</v>
      </c>
      <c r="E4177" s="89">
        <v>365</v>
      </c>
      <c r="F4177" s="89" t="str">
        <v/>
      </c>
      <c r="G4177" s="89" t="str">
        <f ca="1"/>
        <v/>
      </c>
    </row>
    <row r="4178" spans="1:7" x14ac:dyDescent="0.3">
      <c r="A4178" s="89" t="str">
        <v/>
      </c>
      <c r="B4178" s="89" t="str">
        <v>Proteccion Respiratoria</v>
      </c>
      <c r="C4178" s="90" t="str">
        <v/>
      </c>
      <c r="D4178" s="89" t="str">
        <v>Periódica</v>
      </c>
      <c r="E4178" s="89">
        <v>365</v>
      </c>
      <c r="F4178" s="89" t="str">
        <v/>
      </c>
      <c r="G4178" s="89" t="str">
        <f ca="1"/>
        <v/>
      </c>
    </row>
    <row r="4179" spans="1:7" x14ac:dyDescent="0.3">
      <c r="A4179" s="89" t="str">
        <v/>
      </c>
      <c r="B4179" s="89" t="str">
        <v xml:space="preserve">Seguridad con Escaleras </v>
      </c>
      <c r="C4179" s="90" t="str">
        <v/>
      </c>
      <c r="D4179" s="89" t="str">
        <v>Periódica</v>
      </c>
      <c r="E4179" s="89">
        <v>365</v>
      </c>
      <c r="F4179" s="89" t="str">
        <v/>
      </c>
      <c r="G4179" s="89" t="str">
        <f ca="1"/>
        <v/>
      </c>
    </row>
    <row r="4180" spans="1:7" x14ac:dyDescent="0.3">
      <c r="A4180" s="89" t="str">
        <v/>
      </c>
      <c r="B4180" s="89" t="str">
        <v>Seguridad con Escaleras // Estantes de Almacenamiento</v>
      </c>
      <c r="C4180" s="90" t="str">
        <v/>
      </c>
      <c r="D4180" s="89" t="str">
        <v>Periódica</v>
      </c>
      <c r="E4180" s="89">
        <v>365</v>
      </c>
      <c r="F4180" s="89" t="str">
        <v/>
      </c>
      <c r="G4180" s="89" t="str">
        <f ca="1"/>
        <v/>
      </c>
    </row>
    <row r="4181" spans="1:7" x14ac:dyDescent="0.3">
      <c r="A4181" s="89" t="str">
        <v/>
      </c>
      <c r="B4181" s="89" t="str">
        <v>Responsabilidades del Supervisor</v>
      </c>
      <c r="C4181" s="90" t="str">
        <v/>
      </c>
      <c r="D4181" s="89" t="str">
        <v>Periódica</v>
      </c>
      <c r="E4181" s="89">
        <v>365</v>
      </c>
      <c r="F4181" s="89" t="str">
        <v/>
      </c>
      <c r="G4181" s="89" t="str">
        <f ca="1"/>
        <v/>
      </c>
    </row>
    <row r="4182" spans="1:7" x14ac:dyDescent="0.3">
      <c r="A4182" s="89" t="str">
        <v/>
      </c>
      <c r="B4182" s="89" t="str">
        <v>Espacios Confinados (Todos)</v>
      </c>
      <c r="C4182" s="90" t="str">
        <v/>
      </c>
      <c r="D4182" s="89" t="str">
        <v>Periódica</v>
      </c>
      <c r="E4182" s="89">
        <v>365</v>
      </c>
      <c r="F4182" s="89" t="str">
        <v/>
      </c>
      <c r="G4182" s="89" t="str">
        <f ca="1"/>
        <v/>
      </c>
    </row>
    <row r="4183" spans="1:7" x14ac:dyDescent="0.3">
      <c r="A4183" s="89" t="str">
        <v/>
      </c>
      <c r="B4183" s="89" t="str">
        <v>HSMS.017 / Espacios Confinados (Entrantes)</v>
      </c>
      <c r="C4183" s="90" t="str">
        <v/>
      </c>
      <c r="D4183" s="89" t="str">
        <v>Evento</v>
      </c>
      <c r="E4183" s="89">
        <v>0</v>
      </c>
      <c r="F4183" s="89" t="str">
        <v/>
      </c>
      <c r="G4183" s="89" t="str">
        <f ca="1"/>
        <v/>
      </c>
    </row>
    <row r="4184" spans="1:7" x14ac:dyDescent="0.3">
      <c r="A4184" s="89" t="str">
        <v/>
      </c>
      <c r="B4184" s="89" t="str">
        <v>Programa de Agua (Todos)</v>
      </c>
      <c r="C4184" s="90" t="str">
        <v/>
      </c>
      <c r="D4184" s="89" t="str">
        <v>Evento</v>
      </c>
      <c r="E4184" s="89">
        <v>0</v>
      </c>
      <c r="F4184" s="89" t="str">
        <v/>
      </c>
      <c r="G4184" s="89" t="str">
        <f ca="1"/>
        <v/>
      </c>
    </row>
    <row r="4185" spans="1:7" x14ac:dyDescent="0.3">
      <c r="A4185" s="89" t="str">
        <v/>
      </c>
      <c r="B4185" s="89" t="str">
        <v>Programa de Agua (HSE)</v>
      </c>
      <c r="C4185" s="90" t="str">
        <v/>
      </c>
      <c r="D4185" s="89" t="str">
        <v>Evento</v>
      </c>
      <c r="E4185" s="89">
        <v>0</v>
      </c>
      <c r="F4185" s="89" t="str">
        <v/>
      </c>
      <c r="G4185" s="89" t="str">
        <f ca="1"/>
        <v/>
      </c>
    </row>
    <row r="4186" spans="1:7" x14ac:dyDescent="0.3">
      <c r="A4186" s="89" t="str">
        <v/>
      </c>
      <c r="B4186" s="89" t="str">
        <v>HIV/SIDA y otras enfermedades de transmisión sexual (ETS)</v>
      </c>
      <c r="C4186" s="90" t="str">
        <v/>
      </c>
      <c r="D4186" s="89" t="str">
        <v>Periódica</v>
      </c>
      <c r="E4186" s="89">
        <v>365</v>
      </c>
      <c r="F4186" s="89" t="str">
        <v/>
      </c>
      <c r="G4186" s="89" t="str">
        <f ca="1"/>
        <v/>
      </c>
    </row>
    <row r="4187" spans="1:7" x14ac:dyDescent="0.3">
      <c r="A4187" s="89" t="str">
        <v/>
      </c>
      <c r="B4187" s="89" t="str">
        <v>Drogas de abuso (concientización y prevención)</v>
      </c>
      <c r="C4187" s="90" t="str">
        <v/>
      </c>
      <c r="D4187" s="89" t="str">
        <v>Periódica</v>
      </c>
      <c r="E4187" s="89">
        <v>365</v>
      </c>
      <c r="F4187" s="89" t="str">
        <v/>
      </c>
      <c r="G4187" s="89" t="str">
        <f ca="1"/>
        <v/>
      </c>
    </row>
    <row r="4188" spans="1:7" x14ac:dyDescent="0.3">
      <c r="A4188" s="89" t="str">
        <v/>
      </c>
      <c r="B4188" s="89" t="str">
        <v>Vida saludable (hábitos, autocuidado y bienestar)</v>
      </c>
      <c r="C4188" s="90" t="str">
        <v/>
      </c>
      <c r="D4188" s="89" t="str">
        <v>Periódica</v>
      </c>
      <c r="E4188" s="89">
        <v>365</v>
      </c>
      <c r="F4188" s="89" t="str">
        <v/>
      </c>
      <c r="G4188" s="89" t="str">
        <f ca="1"/>
        <v/>
      </c>
    </row>
    <row r="4189" spans="1:7" x14ac:dyDescent="0.3">
      <c r="A4189" s="89" t="str">
        <v/>
      </c>
      <c r="B4189" s="89" t="str">
        <v>Primeros auxilios y Reanimación Cardio Pulmonar (RCP)</v>
      </c>
      <c r="C4189" s="90" t="str">
        <v/>
      </c>
      <c r="D4189" s="89" t="str">
        <v>Periódica</v>
      </c>
      <c r="E4189" s="89">
        <v>365</v>
      </c>
      <c r="F4189" s="89" t="str">
        <v/>
      </c>
      <c r="G4189" s="89" t="str">
        <f ca="1"/>
        <v/>
      </c>
    </row>
    <row r="4190" spans="1:7" x14ac:dyDescent="0.3">
      <c r="A4190" s="89" t="str">
        <v/>
      </c>
      <c r="B4190" s="89" t="str">
        <v>Prevención cardiovascular (factores de riesgo y señales de alarma)</v>
      </c>
      <c r="C4190" s="90" t="str">
        <v/>
      </c>
      <c r="D4190" s="89" t="str">
        <v>Periódica</v>
      </c>
      <c r="E4190" s="89">
        <v>365</v>
      </c>
      <c r="F4190" s="89" t="str">
        <v/>
      </c>
      <c r="G4190" s="89" t="str">
        <f ca="1"/>
        <v/>
      </c>
    </row>
    <row r="4191" spans="1:7" x14ac:dyDescent="0.3">
      <c r="A4191" s="89" t="str">
        <v/>
      </c>
      <c r="B4191" s="89" t="str">
        <v>Efectos del tabaco sobre la salud</v>
      </c>
      <c r="C4191" s="90" t="str">
        <v/>
      </c>
      <c r="D4191" s="89" t="str">
        <v>Periódica</v>
      </c>
      <c r="E4191" s="89">
        <v>365</v>
      </c>
      <c r="F4191" s="89" t="str">
        <v/>
      </c>
      <c r="G4191" s="89" t="str">
        <f ca="1"/>
        <v/>
      </c>
    </row>
    <row r="4192" spans="1:7" x14ac:dyDescent="0.3">
      <c r="A4192" s="89" t="str">
        <v/>
      </c>
      <c r="B4192" s="89" t="str">
        <v>Cargadora (Op. Montacargas)</v>
      </c>
      <c r="C4192" s="90" t="str">
        <v/>
      </c>
      <c r="D4192" s="89" t="str">
        <v>Periódica</v>
      </c>
      <c r="E4192" s="89">
        <v>365</v>
      </c>
      <c r="F4192" s="89" t="str">
        <v/>
      </c>
      <c r="G4192" s="89" t="str">
        <f ca="1"/>
        <v/>
      </c>
    </row>
    <row r="4193" spans="1:7" x14ac:dyDescent="0.3">
      <c r="A4193" s="89" t="str">
        <v/>
      </c>
      <c r="B4193" s="89">
        <v>0</v>
      </c>
      <c r="C4193" s="90" t="str">
        <v/>
      </c>
      <c r="D4193" s="89" t="str">
        <v/>
      </c>
      <c r="E4193" s="89" t="str">
        <v/>
      </c>
      <c r="F4193" s="89" t="str">
        <v/>
      </c>
      <c r="G4193" s="89" t="str">
        <f ca="1"/>
        <v/>
      </c>
    </row>
    <row r="4194" spans="1:7" x14ac:dyDescent="0.3">
      <c r="A4194" s="89" t="str">
        <v/>
      </c>
      <c r="B4194" s="89">
        <v>0</v>
      </c>
      <c r="C4194" s="90" t="str">
        <v/>
      </c>
      <c r="D4194" s="89" t="str">
        <v/>
      </c>
      <c r="E4194" s="89" t="str">
        <v/>
      </c>
      <c r="F4194" s="89" t="str">
        <v/>
      </c>
      <c r="G4194" s="89" t="str">
        <f ca="1"/>
        <v/>
      </c>
    </row>
    <row r="4195" spans="1:7" x14ac:dyDescent="0.3">
      <c r="A4195" s="89" t="str">
        <v/>
      </c>
      <c r="B4195" s="89">
        <v>0</v>
      </c>
      <c r="C4195" s="90" t="str">
        <v/>
      </c>
      <c r="D4195" s="89" t="str">
        <v/>
      </c>
      <c r="E4195" s="89" t="str">
        <v/>
      </c>
      <c r="F4195" s="89" t="str">
        <v/>
      </c>
      <c r="G4195" s="89" t="str">
        <f ca="1"/>
        <v/>
      </c>
    </row>
    <row r="4196" spans="1:7" x14ac:dyDescent="0.3">
      <c r="A4196" s="89" t="str">
        <v/>
      </c>
      <c r="B4196" s="89">
        <v>0</v>
      </c>
      <c r="C4196" s="90" t="str">
        <v/>
      </c>
      <c r="D4196" s="89" t="str">
        <v/>
      </c>
      <c r="E4196" s="89" t="str">
        <v/>
      </c>
      <c r="F4196" s="89" t="str">
        <v/>
      </c>
      <c r="G4196" s="89" t="str">
        <f ca="1"/>
        <v/>
      </c>
    </row>
    <row r="4197" spans="1:7" x14ac:dyDescent="0.3">
      <c r="A4197" s="89" t="str">
        <v/>
      </c>
      <c r="B4197" s="89">
        <v>0</v>
      </c>
      <c r="C4197" s="90" t="str">
        <v/>
      </c>
      <c r="D4197" s="89" t="str">
        <v/>
      </c>
      <c r="E4197" s="89" t="str">
        <v/>
      </c>
      <c r="F4197" s="89" t="str">
        <v/>
      </c>
      <c r="G4197" s="89" t="str">
        <f ca="1"/>
        <v/>
      </c>
    </row>
    <row r="4198" spans="1:7" x14ac:dyDescent="0.3">
      <c r="A4198" s="89" t="str">
        <v/>
      </c>
      <c r="B4198" s="89">
        <v>0</v>
      </c>
      <c r="C4198" s="90" t="str">
        <v/>
      </c>
      <c r="D4198" s="89" t="str">
        <v/>
      </c>
      <c r="E4198" s="89" t="str">
        <v/>
      </c>
      <c r="F4198" s="89" t="str">
        <v/>
      </c>
      <c r="G4198" s="89" t="str">
        <f ca="1"/>
        <v/>
      </c>
    </row>
    <row r="4199" spans="1:7" x14ac:dyDescent="0.3">
      <c r="A4199" s="89" t="str">
        <v/>
      </c>
      <c r="B4199" s="89">
        <v>0</v>
      </c>
      <c r="C4199" s="90" t="str">
        <v/>
      </c>
      <c r="D4199" s="89" t="str">
        <v/>
      </c>
      <c r="E4199" s="89" t="str">
        <v/>
      </c>
      <c r="F4199" s="89" t="str">
        <v/>
      </c>
      <c r="G4199" s="89" t="str">
        <f ca="1"/>
        <v/>
      </c>
    </row>
    <row r="4200" spans="1:7" x14ac:dyDescent="0.3">
      <c r="A4200" s="89" t="str">
        <v/>
      </c>
      <c r="B4200" s="89">
        <v>0</v>
      </c>
      <c r="C4200" s="90" t="str">
        <v/>
      </c>
      <c r="D4200" s="89" t="str">
        <v/>
      </c>
      <c r="E4200" s="89" t="str">
        <v/>
      </c>
      <c r="F4200" s="89" t="str">
        <v/>
      </c>
      <c r="G4200" s="89" t="str">
        <f ca="1"/>
        <v/>
      </c>
    </row>
    <row r="4201" spans="1:7" x14ac:dyDescent="0.3">
      <c r="A4201" s="89" t="str">
        <v/>
      </c>
      <c r="B4201" s="89">
        <v>0</v>
      </c>
      <c r="C4201" s="90" t="str">
        <v/>
      </c>
      <c r="D4201" s="89" t="str">
        <v/>
      </c>
      <c r="E4201" s="89" t="str">
        <v/>
      </c>
      <c r="F4201" s="89" t="str">
        <v/>
      </c>
      <c r="G4201" s="89" t="str">
        <f ca="1"/>
        <v/>
      </c>
    </row>
    <row r="4202" spans="1:7" x14ac:dyDescent="0.3">
      <c r="A4202" s="89" t="str">
        <v/>
      </c>
      <c r="B4202" s="89" t="str">
        <v>Programa de Aire</v>
      </c>
      <c r="C4202" s="90" t="str">
        <v/>
      </c>
      <c r="D4202" s="89" t="str">
        <v>Evento</v>
      </c>
      <c r="E4202" s="89">
        <v>0</v>
      </c>
      <c r="F4202" s="89" t="str">
        <v/>
      </c>
      <c r="G4202" s="89" t="str">
        <f ca="1"/>
        <v/>
      </c>
    </row>
    <row r="4203" spans="1:7" x14ac:dyDescent="0.3">
      <c r="A4203" s="89" t="str">
        <v/>
      </c>
      <c r="B4203" s="89" t="str">
        <v>Conciencia Ambiental</v>
      </c>
      <c r="C4203" s="90" t="str">
        <v/>
      </c>
      <c r="D4203" s="89" t="str">
        <v>Periódica</v>
      </c>
      <c r="E4203" s="89">
        <v>365</v>
      </c>
      <c r="F4203" s="89" t="str">
        <v/>
      </c>
      <c r="G4203" s="89" t="str">
        <f ca="1"/>
        <v/>
      </c>
    </row>
    <row r="4204" spans="1:7" x14ac:dyDescent="0.3">
      <c r="A4204" s="89" t="str">
        <v/>
      </c>
      <c r="B4204" s="89" t="str">
        <v xml:space="preserve">Control de Documentos e Informacion de HSE </v>
      </c>
      <c r="C4204" s="90" t="str">
        <v/>
      </c>
      <c r="D4204" s="89" t="str">
        <v>Evento</v>
      </c>
      <c r="E4204" s="89">
        <v>0</v>
      </c>
      <c r="F4204" s="89" t="str">
        <v/>
      </c>
      <c r="G4204" s="89" t="str">
        <f ca="1"/>
        <v/>
      </c>
    </row>
    <row r="4205" spans="1:7" x14ac:dyDescent="0.3">
      <c r="A4205" s="89" t="str">
        <v/>
      </c>
      <c r="B4205" s="89" t="str">
        <v xml:space="preserve"> Acciones Correctivas y Preventivas (CAPA)</v>
      </c>
      <c r="C4205" s="90" t="str">
        <v/>
      </c>
      <c r="D4205" s="89" t="str">
        <v>Evento</v>
      </c>
      <c r="E4205" s="89">
        <v>0</v>
      </c>
      <c r="F4205" s="89" t="str">
        <v/>
      </c>
      <c r="G4205" s="89" t="str">
        <f ca="1"/>
        <v/>
      </c>
    </row>
    <row r="4206" spans="1:7" x14ac:dyDescent="0.3">
      <c r="A4206" s="89" t="str">
        <v/>
      </c>
      <c r="B4206" s="89" t="str">
        <v>Seguridad Basada en el Comportamiento (Observation Program) // HSMS.043 / Autoridad de Detener el Trabajo</v>
      </c>
      <c r="C4206" s="90" t="str">
        <v/>
      </c>
      <c r="D4206" s="89" t="str">
        <v>Periódica</v>
      </c>
      <c r="E4206" s="89">
        <v>365</v>
      </c>
      <c r="F4206" s="89" t="str">
        <v/>
      </c>
      <c r="G4206" s="89" t="str">
        <f ca="1"/>
        <v/>
      </c>
    </row>
    <row r="4207" spans="1:7" x14ac:dyDescent="0.3">
      <c r="A4207" s="89" t="str">
        <v/>
      </c>
      <c r="B4207" s="89" t="str">
        <v>Identificacion de Peligros y Evaluacion de Riesgos</v>
      </c>
      <c r="C4207" s="90" t="str">
        <v/>
      </c>
      <c r="D4207" s="89" t="str">
        <v>Evento</v>
      </c>
      <c r="E4207" s="89">
        <v>0</v>
      </c>
      <c r="F4207" s="89" t="str">
        <v/>
      </c>
      <c r="G4207" s="89" t="str">
        <f ca="1"/>
        <v/>
      </c>
    </row>
    <row r="4208" spans="1:7" x14ac:dyDescent="0.3">
      <c r="A4208" s="89" t="str">
        <v/>
      </c>
      <c r="B4208" s="89" t="str">
        <v xml:space="preserve"> Plan de Respuesta ante Eemergencias / HSMS.010 /Primeros Axulios &amp; RCP/DEA / HSMSWT-002 / Patogenos Trasnmitidos por la Sangre</v>
      </c>
      <c r="C4208" s="90" t="str">
        <v/>
      </c>
      <c r="D4208" s="89" t="str">
        <v>Periódica</v>
      </c>
      <c r="E4208" s="89">
        <v>365</v>
      </c>
      <c r="F4208" s="89" t="str">
        <v/>
      </c>
      <c r="G4208" s="89" t="str">
        <f ca="1"/>
        <v/>
      </c>
    </row>
    <row r="4209" spans="1:7" x14ac:dyDescent="0.3">
      <c r="A4209" s="89" t="str">
        <v/>
      </c>
      <c r="B4209" s="89" t="str">
        <v>Reporte y Gestion de Incidentes HSE (Todos)</v>
      </c>
      <c r="C4209" s="90" t="str">
        <v/>
      </c>
      <c r="D4209" s="89" t="str">
        <v>Periódica</v>
      </c>
      <c r="E4209" s="89">
        <v>365</v>
      </c>
      <c r="F4209" s="89" t="str">
        <v/>
      </c>
      <c r="G4209" s="89" t="str">
        <f ca="1"/>
        <v/>
      </c>
    </row>
    <row r="4210" spans="1:7" x14ac:dyDescent="0.3">
      <c r="A4210" s="89" t="str">
        <v/>
      </c>
      <c r="B4210" s="89" t="str">
        <v>Reporte, Gestion e Investigacion de Incidentes HSE (supervisores / investigadores (rol))</v>
      </c>
      <c r="C4210" s="90" t="str">
        <v/>
      </c>
      <c r="D4210" s="89" t="str">
        <v>Periódica</v>
      </c>
      <c r="E4210" s="89">
        <v>1095</v>
      </c>
      <c r="F4210" s="89" t="str">
        <v/>
      </c>
      <c r="G4210" s="89" t="str">
        <f ca="1"/>
        <v/>
      </c>
    </row>
    <row r="4211" spans="1:7" x14ac:dyDescent="0.3">
      <c r="A4211" s="89" t="str">
        <v/>
      </c>
      <c r="B4211" s="89" t="str">
        <v>Gruas y Equipos de Izaje (Todos)</v>
      </c>
      <c r="C4211" s="90" t="str">
        <v/>
      </c>
      <c r="D4211" s="89" t="str">
        <v>Periódica</v>
      </c>
      <c r="E4211" s="89">
        <v>365</v>
      </c>
      <c r="F4211" s="89" t="str">
        <v/>
      </c>
      <c r="G4211" s="89" t="str">
        <f ca="1"/>
        <v/>
      </c>
    </row>
    <row r="4212" spans="1:7" x14ac:dyDescent="0.3">
      <c r="A4212" s="89" t="str">
        <v/>
      </c>
      <c r="B4212" s="89" t="str">
        <v>HSMS.007 / Gruas y Equipos de Izaje (Operadores)</v>
      </c>
      <c r="C4212" s="90" t="str">
        <v/>
      </c>
      <c r="D4212" s="89" t="str">
        <v>Periódica</v>
      </c>
      <c r="E4212" s="89">
        <v>365</v>
      </c>
      <c r="F4212" s="89" t="str">
        <v/>
      </c>
      <c r="G4212" s="89" t="str">
        <f ca="1"/>
        <v/>
      </c>
    </row>
    <row r="4213" spans="1:7" x14ac:dyDescent="0.3">
      <c r="A4213" s="89" t="str">
        <v/>
      </c>
      <c r="B4213" s="89" t="str">
        <v>Proteccion Contra Incendios (Todos)</v>
      </c>
      <c r="C4213" s="90" t="str">
        <v/>
      </c>
      <c r="D4213" s="89" t="str">
        <v>Periódica</v>
      </c>
      <c r="E4213" s="89">
        <v>365</v>
      </c>
      <c r="F4213" s="89" t="str">
        <v/>
      </c>
      <c r="G4213" s="89" t="str">
        <f ca="1"/>
        <v/>
      </c>
    </row>
    <row r="4214" spans="1:7" x14ac:dyDescent="0.3">
      <c r="A4214" s="89" t="str">
        <v/>
      </c>
      <c r="B4214" s="89" t="str">
        <v>Proteccion Contra Incendios (Brigadistas)</v>
      </c>
      <c r="C4214" s="90" t="str">
        <v/>
      </c>
      <c r="D4214" s="89" t="str">
        <v>Periódica</v>
      </c>
      <c r="E4214" s="89">
        <v>365</v>
      </c>
      <c r="F4214" s="89" t="str">
        <v/>
      </c>
      <c r="G4214" s="89" t="str">
        <f ca="1"/>
        <v/>
      </c>
    </row>
    <row r="4215" spans="1:7" x14ac:dyDescent="0.3">
      <c r="A4215" s="89" t="str">
        <v/>
      </c>
      <c r="B4215" s="89" t="str">
        <v>Primeros Auxilios (Brigadistas)</v>
      </c>
      <c r="C4215" s="90" t="str">
        <v/>
      </c>
      <c r="D4215" s="89" t="str">
        <v>Periódica</v>
      </c>
      <c r="E4215" s="89">
        <v>365</v>
      </c>
      <c r="F4215" s="89" t="str">
        <v/>
      </c>
      <c r="G4215" s="89" t="str">
        <f ca="1"/>
        <v/>
      </c>
    </row>
    <row r="4216" spans="1:7" x14ac:dyDescent="0.3">
      <c r="A4216" s="89" t="str">
        <v/>
      </c>
      <c r="B4216" s="89" t="str">
        <v>Seguridad Electrica (Todos)</v>
      </c>
      <c r="C4216" s="90" t="str">
        <v/>
      </c>
      <c r="D4216" s="89" t="str">
        <v>Periódica</v>
      </c>
      <c r="E4216" s="89">
        <v>365</v>
      </c>
      <c r="F4216" s="89" t="str">
        <v/>
      </c>
      <c r="G4216" s="89" t="str">
        <f ca="1"/>
        <v/>
      </c>
    </row>
    <row r="4217" spans="1:7" x14ac:dyDescent="0.3">
      <c r="A4217" s="89" t="str">
        <v/>
      </c>
      <c r="B4217" s="89" t="str">
        <v>Seguridad Electrica (Personal Autorizado)</v>
      </c>
      <c r="C4217" s="90" t="str">
        <v/>
      </c>
      <c r="D4217" s="89" t="str">
        <v>Periódica</v>
      </c>
      <c r="E4217" s="89">
        <v>1095</v>
      </c>
      <c r="F4217" s="89" t="str">
        <v/>
      </c>
      <c r="G4217" s="89" t="str">
        <f ca="1"/>
        <v/>
      </c>
    </row>
    <row r="4218" spans="1:7" x14ac:dyDescent="0.3">
      <c r="A4218" s="89" t="str">
        <v/>
      </c>
      <c r="B4218" s="89" t="str">
        <v>Camiones Industriales Motorizados (PIT) (Todos)</v>
      </c>
      <c r="C4218" s="90" t="str">
        <v/>
      </c>
      <c r="D4218" s="89" t="str">
        <v>Periódica</v>
      </c>
      <c r="E4218" s="89">
        <v>365</v>
      </c>
      <c r="F4218" s="89" t="str">
        <v/>
      </c>
      <c r="G4218" s="89" t="str">
        <f ca="1"/>
        <v/>
      </c>
    </row>
    <row r="4219" spans="1:7" x14ac:dyDescent="0.3">
      <c r="A4219" s="89" t="str">
        <v/>
      </c>
      <c r="B4219" s="89" t="str">
        <v>Camiones Industriales Motorizados (PIT) (Op. Montacargas)</v>
      </c>
      <c r="C4219" s="90" t="str">
        <v/>
      </c>
      <c r="D4219" s="89" t="str">
        <v>Periódica</v>
      </c>
      <c r="E4219" s="89">
        <v>365</v>
      </c>
      <c r="F4219" s="89" t="str">
        <v/>
      </c>
      <c r="G4219" s="89" t="str">
        <f ca="1"/>
        <v/>
      </c>
    </row>
    <row r="4220" spans="1:7" x14ac:dyDescent="0.3">
      <c r="A4220" s="89" t="str">
        <v/>
      </c>
      <c r="B4220" s="89" t="str">
        <v>Control de Energias Peligrosas (LOTO) (Todos)</v>
      </c>
      <c r="C4220" s="90" t="str">
        <v/>
      </c>
      <c r="D4220" s="89" t="str">
        <v>Evento</v>
      </c>
      <c r="E4220" s="89">
        <v>0</v>
      </c>
      <c r="F4220" s="89" t="str">
        <v/>
      </c>
      <c r="G4220" s="89" t="str">
        <f ca="1"/>
        <v/>
      </c>
    </row>
    <row r="4221" spans="1:7" x14ac:dyDescent="0.3">
      <c r="A4221" s="89" t="str">
        <v/>
      </c>
      <c r="B4221" s="89" t="str">
        <v>Control de Energias Peligrosas (LOTO) (Empleados Autorizados)</v>
      </c>
      <c r="C4221" s="90" t="str">
        <v/>
      </c>
      <c r="D4221" s="89" t="str">
        <v>Periódica</v>
      </c>
      <c r="E4221" s="89">
        <v>365</v>
      </c>
      <c r="F4221" s="89" t="str">
        <v/>
      </c>
      <c r="G4221" s="89" t="str">
        <f ca="1"/>
        <v/>
      </c>
    </row>
    <row r="4222" spans="1:7" x14ac:dyDescent="0.3">
      <c r="A4222" s="89" t="str">
        <v/>
      </c>
      <c r="B4222" s="89" t="str">
        <v>Seguridad aplicada al Pozo &amp; Yacimiento</v>
      </c>
      <c r="C4222" s="90" t="str">
        <v/>
      </c>
      <c r="D4222" s="89" t="str">
        <v>Periódica</v>
      </c>
      <c r="E4222" s="89">
        <v>365</v>
      </c>
      <c r="F4222" s="89" t="str">
        <v/>
      </c>
      <c r="G4222" s="89" t="str">
        <f ca="1"/>
        <v/>
      </c>
    </row>
    <row r="4223" spans="1:7" x14ac:dyDescent="0.3">
      <c r="A4223" s="89" t="str">
        <v/>
      </c>
      <c r="B4223" s="89" t="str">
        <v>Las Reglas que Salvan Vidas</v>
      </c>
      <c r="C4223" s="90" t="str">
        <v/>
      </c>
      <c r="D4223" s="89" t="str">
        <v>Periódica</v>
      </c>
      <c r="E4223" s="89">
        <v>365</v>
      </c>
      <c r="F4223" s="89" t="str">
        <v/>
      </c>
      <c r="G4223" s="89" t="str">
        <f ca="1"/>
        <v/>
      </c>
    </row>
    <row r="4224" spans="1:7" x14ac:dyDescent="0.3">
      <c r="A4224" s="89" t="str">
        <v/>
      </c>
      <c r="B4224" s="89" t="str">
        <v xml:space="preserve">Resguardo de Maquinas &amp; Equipos </v>
      </c>
      <c r="C4224" s="90" t="str">
        <v/>
      </c>
      <c r="D4224" s="89" t="str">
        <v>Periódica</v>
      </c>
      <c r="E4224" s="89">
        <v>365</v>
      </c>
      <c r="F4224" s="89" t="str">
        <v/>
      </c>
      <c r="G4224" s="89" t="str">
        <f ca="1"/>
        <v/>
      </c>
    </row>
    <row r="4225" spans="1:7" x14ac:dyDescent="0.3">
      <c r="A4225" s="89" t="str">
        <v/>
      </c>
      <c r="B4225" s="89" t="str">
        <v>Conduccion y Gestion de Viajes (Todos)</v>
      </c>
      <c r="C4225" s="90" t="str">
        <v/>
      </c>
      <c r="D4225" s="89" t="str">
        <v>Periódica</v>
      </c>
      <c r="E4225" s="89">
        <v>730</v>
      </c>
      <c r="F4225" s="89" t="str">
        <v/>
      </c>
      <c r="G4225" s="89" t="str">
        <f ca="1"/>
        <v/>
      </c>
    </row>
    <row r="4226" spans="1:7" x14ac:dyDescent="0.3">
      <c r="A4226" s="89" t="str">
        <v/>
      </c>
      <c r="B4226" s="89" t="str">
        <v>Conduccion y Gestion de Viajes (Conductores)</v>
      </c>
      <c r="C4226" s="90" t="str">
        <v/>
      </c>
      <c r="D4226" s="89" t="str">
        <v>Periódica</v>
      </c>
      <c r="E4226" s="89">
        <v>1095</v>
      </c>
      <c r="F4226" s="89" t="str">
        <v/>
      </c>
      <c r="G4226" s="89" t="str">
        <f ca="1"/>
        <v/>
      </c>
    </row>
    <row r="4227" spans="1:7" x14ac:dyDescent="0.3">
      <c r="A4227" s="89" t="str">
        <v/>
      </c>
      <c r="B4227" s="89" t="str">
        <v>Patogenos Transmitidos por la Sangre</v>
      </c>
      <c r="C4227" s="90" t="str">
        <v/>
      </c>
      <c r="D4227" s="89" t="str">
        <v>Periódica</v>
      </c>
      <c r="E4227" s="89">
        <v>365</v>
      </c>
      <c r="F4227" s="89" t="str">
        <v/>
      </c>
      <c r="G4227" s="89" t="str">
        <f ca="1"/>
        <v/>
      </c>
    </row>
    <row r="4228" spans="1:7" x14ac:dyDescent="0.3">
      <c r="A4228" s="89" t="str">
        <v/>
      </c>
      <c r="B4228" s="89" t="str">
        <v>Conservacion Auditiva</v>
      </c>
      <c r="C4228" s="90" t="str">
        <v/>
      </c>
      <c r="D4228" s="89" t="str">
        <v>Periódica</v>
      </c>
      <c r="E4228" s="89">
        <v>365</v>
      </c>
      <c r="F4228" s="89" t="str">
        <v/>
      </c>
      <c r="G4228" s="89" t="str">
        <f ca="1"/>
        <v/>
      </c>
    </row>
    <row r="4229" spans="1:7" x14ac:dyDescent="0.3">
      <c r="A4229" s="89" t="str">
        <v/>
      </c>
      <c r="B4229" s="89" t="str">
        <v xml:space="preserve">Ergonomia //  / Levantamiento &amp; Seguridad en la Espalda </v>
      </c>
      <c r="C4229" s="90" t="str">
        <v/>
      </c>
      <c r="D4229" s="89" t="str">
        <v>Periódica</v>
      </c>
      <c r="E4229" s="89">
        <v>365</v>
      </c>
      <c r="F4229" s="89" t="str">
        <v/>
      </c>
      <c r="G4229" s="89" t="str">
        <f ca="1"/>
        <v/>
      </c>
    </row>
    <row r="4230" spans="1:7" x14ac:dyDescent="0.3">
      <c r="A4230" s="89" t="str">
        <v/>
      </c>
      <c r="B4230" s="89" t="str">
        <v>Superficies Elevadas (Todos)</v>
      </c>
      <c r="C4230" s="90" t="str">
        <v/>
      </c>
      <c r="D4230" s="89" t="str">
        <v>Periódica</v>
      </c>
      <c r="E4230" s="89">
        <v>365</v>
      </c>
      <c r="F4230" s="89" t="str">
        <v/>
      </c>
      <c r="G4230" s="89" t="str">
        <f ca="1"/>
        <v/>
      </c>
    </row>
    <row r="4231" spans="1:7" x14ac:dyDescent="0.3">
      <c r="A4231" s="89" t="str">
        <v/>
      </c>
      <c r="B4231" s="89" t="str">
        <v>Superficies Elevadas (Personal Habilitado)</v>
      </c>
      <c r="C4231" s="90" t="str">
        <v/>
      </c>
      <c r="D4231" s="89" t="str">
        <v>Periódica</v>
      </c>
      <c r="E4231" s="89">
        <v>365</v>
      </c>
      <c r="F4231" s="89" t="str">
        <v/>
      </c>
      <c r="G4231" s="89" t="str">
        <f ca="1"/>
        <v/>
      </c>
    </row>
    <row r="4232" spans="1:7" x14ac:dyDescent="0.3">
      <c r="A4232" s="89" t="str">
        <v/>
      </c>
      <c r="B4232" s="89" t="str">
        <v>Seguridad Quimica (Todos)</v>
      </c>
      <c r="C4232" s="90" t="str">
        <v/>
      </c>
      <c r="D4232" s="89" t="str">
        <v>Periódica</v>
      </c>
      <c r="E4232" s="89">
        <v>730</v>
      </c>
      <c r="F4232" s="89" t="str">
        <v/>
      </c>
      <c r="G4232" s="89" t="str">
        <f ca="1"/>
        <v/>
      </c>
    </row>
    <row r="4233" spans="1:7" x14ac:dyDescent="0.3">
      <c r="A4233" s="89" t="str">
        <v/>
      </c>
      <c r="B4233" s="89" t="str">
        <v>Seguridad Quimica (Mantenimiento)</v>
      </c>
      <c r="C4233" s="90" t="str">
        <v/>
      </c>
      <c r="D4233" s="89" t="str">
        <v>Periódica</v>
      </c>
      <c r="E4233" s="89">
        <v>365</v>
      </c>
      <c r="F4233" s="89" t="str">
        <v/>
      </c>
      <c r="G4233" s="89" t="str">
        <f ca="1"/>
        <v/>
      </c>
    </row>
    <row r="4234" spans="1:7" x14ac:dyDescent="0.3">
      <c r="A4234" s="89" t="str">
        <v/>
      </c>
      <c r="B4234" s="89" t="str">
        <v>Seguridad Quimica (Contratistas)</v>
      </c>
      <c r="C4234" s="90" t="str">
        <v/>
      </c>
      <c r="D4234" s="89" t="str">
        <v>Periódica</v>
      </c>
      <c r="E4234" s="89">
        <v>365</v>
      </c>
      <c r="F4234" s="89" t="str">
        <v/>
      </c>
      <c r="G4234" s="89" t="str">
        <f ca="1"/>
        <v/>
      </c>
    </row>
    <row r="4235" spans="1:7" x14ac:dyDescent="0.3">
      <c r="A4235" s="89" t="str">
        <v/>
      </c>
      <c r="B4235" s="89" t="str">
        <v>Seguridad para Trabajos en Caliente</v>
      </c>
      <c r="C4235" s="90" t="str">
        <v/>
      </c>
      <c r="D4235" s="89" t="str">
        <v>Periódica</v>
      </c>
      <c r="E4235" s="89">
        <v>365</v>
      </c>
      <c r="F4235" s="89" t="str">
        <v/>
      </c>
      <c r="G4235" s="89" t="str">
        <f ca="1"/>
        <v/>
      </c>
    </row>
    <row r="4236" spans="1:7" x14ac:dyDescent="0.3">
      <c r="A4236" s="89" t="str">
        <v/>
      </c>
      <c r="B4236" s="89" t="str">
        <v>Seguridad con la Radiacion</v>
      </c>
      <c r="C4236" s="90" t="str">
        <v/>
      </c>
      <c r="D4236" s="89" t="str">
        <v>Periódica</v>
      </c>
      <c r="E4236" s="89">
        <v>365</v>
      </c>
      <c r="F4236" s="89" t="str">
        <v/>
      </c>
      <c r="G4236" s="89" t="str">
        <f ca="1"/>
        <v/>
      </c>
    </row>
    <row r="4237" spans="1:7" x14ac:dyDescent="0.3">
      <c r="A4237" s="89" t="str">
        <v/>
      </c>
      <c r="B4237" s="89" t="str">
        <v>Equipo de Proteccion Personal (PPE)</v>
      </c>
      <c r="C4237" s="90" t="str">
        <v/>
      </c>
      <c r="D4237" s="89" t="str">
        <v>Periódica</v>
      </c>
      <c r="E4237" s="89">
        <v>365</v>
      </c>
      <c r="F4237" s="89" t="str">
        <v/>
      </c>
      <c r="G4237" s="89" t="str">
        <f ca="1"/>
        <v/>
      </c>
    </row>
    <row r="4238" spans="1:7" x14ac:dyDescent="0.3">
      <c r="A4238" s="89" t="str">
        <v/>
      </c>
      <c r="B4238" s="89" t="str">
        <v>Proteccion Respiratoria</v>
      </c>
      <c r="C4238" s="90" t="str">
        <v/>
      </c>
      <c r="D4238" s="89" t="str">
        <v>Periódica</v>
      </c>
      <c r="E4238" s="89">
        <v>365</v>
      </c>
      <c r="F4238" s="89" t="str">
        <v/>
      </c>
      <c r="G4238" s="89" t="str">
        <f ca="1"/>
        <v/>
      </c>
    </row>
    <row r="4239" spans="1:7" x14ac:dyDescent="0.3">
      <c r="A4239" s="89" t="str">
        <v/>
      </c>
      <c r="B4239" s="89" t="str">
        <v xml:space="preserve">Seguridad con Escaleras </v>
      </c>
      <c r="C4239" s="90" t="str">
        <v/>
      </c>
      <c r="D4239" s="89" t="str">
        <v>Periódica</v>
      </c>
      <c r="E4239" s="89">
        <v>365</v>
      </c>
      <c r="F4239" s="89" t="str">
        <v/>
      </c>
      <c r="G4239" s="89" t="str">
        <f ca="1"/>
        <v/>
      </c>
    </row>
    <row r="4240" spans="1:7" x14ac:dyDescent="0.3">
      <c r="A4240" s="89" t="str">
        <v/>
      </c>
      <c r="B4240" s="89" t="str">
        <v>Seguridad con Escaleras // Estantes de Almacenamiento</v>
      </c>
      <c r="C4240" s="90" t="str">
        <v/>
      </c>
      <c r="D4240" s="89" t="str">
        <v>Periódica</v>
      </c>
      <c r="E4240" s="89">
        <v>365</v>
      </c>
      <c r="F4240" s="89" t="str">
        <v/>
      </c>
      <c r="G4240" s="89" t="str">
        <f ca="1"/>
        <v/>
      </c>
    </row>
    <row r="4241" spans="1:7" x14ac:dyDescent="0.3">
      <c r="A4241" s="89" t="str">
        <v/>
      </c>
      <c r="B4241" s="89" t="str">
        <v>Responsabilidades del Supervisor</v>
      </c>
      <c r="C4241" s="90" t="str">
        <v/>
      </c>
      <c r="D4241" s="89" t="str">
        <v>Periódica</v>
      </c>
      <c r="E4241" s="89">
        <v>365</v>
      </c>
      <c r="F4241" s="89" t="str">
        <v/>
      </c>
      <c r="G4241" s="89" t="str">
        <f ca="1"/>
        <v/>
      </c>
    </row>
    <row r="4242" spans="1:7" x14ac:dyDescent="0.3">
      <c r="A4242" s="89" t="str">
        <v/>
      </c>
      <c r="B4242" s="89" t="str">
        <v>Espacios Confinados (Todos)</v>
      </c>
      <c r="C4242" s="90" t="str">
        <v/>
      </c>
      <c r="D4242" s="89" t="str">
        <v>Periódica</v>
      </c>
      <c r="E4242" s="89">
        <v>365</v>
      </c>
      <c r="F4242" s="89" t="str">
        <v/>
      </c>
      <c r="G4242" s="89" t="str">
        <f ca="1"/>
        <v/>
      </c>
    </row>
    <row r="4243" spans="1:7" x14ac:dyDescent="0.3">
      <c r="A4243" s="89" t="str">
        <v/>
      </c>
      <c r="B4243" s="89" t="str">
        <v>HSMS.017 / Espacios Confinados (Entrantes)</v>
      </c>
      <c r="C4243" s="90" t="str">
        <v/>
      </c>
      <c r="D4243" s="89" t="str">
        <v>Evento</v>
      </c>
      <c r="E4243" s="89">
        <v>0</v>
      </c>
      <c r="F4243" s="89" t="str">
        <v/>
      </c>
      <c r="G4243" s="89" t="str">
        <f ca="1"/>
        <v/>
      </c>
    </row>
    <row r="4244" spans="1:7" x14ac:dyDescent="0.3">
      <c r="A4244" s="89" t="str">
        <v/>
      </c>
      <c r="B4244" s="89" t="str">
        <v>Programa de Agua (Todos)</v>
      </c>
      <c r="C4244" s="90" t="str">
        <v/>
      </c>
      <c r="D4244" s="89" t="str">
        <v>Evento</v>
      </c>
      <c r="E4244" s="89">
        <v>0</v>
      </c>
      <c r="F4244" s="89" t="str">
        <v/>
      </c>
      <c r="G4244" s="89" t="str">
        <f ca="1"/>
        <v/>
      </c>
    </row>
    <row r="4245" spans="1:7" x14ac:dyDescent="0.3">
      <c r="A4245" s="89" t="str">
        <v/>
      </c>
      <c r="B4245" s="89" t="str">
        <v>Programa de Agua (HSE)</v>
      </c>
      <c r="C4245" s="90" t="str">
        <v/>
      </c>
      <c r="D4245" s="89" t="str">
        <v>Evento</v>
      </c>
      <c r="E4245" s="89">
        <v>0</v>
      </c>
      <c r="F4245" s="89" t="str">
        <v/>
      </c>
      <c r="G4245" s="89" t="str">
        <f ca="1"/>
        <v/>
      </c>
    </row>
    <row r="4246" spans="1:7" x14ac:dyDescent="0.3">
      <c r="A4246" s="89" t="str">
        <v/>
      </c>
      <c r="B4246" s="89" t="str">
        <v>HIV/SIDA y otras enfermedades de transmisión sexual (ETS)</v>
      </c>
      <c r="C4246" s="90" t="str">
        <v/>
      </c>
      <c r="D4246" s="89" t="str">
        <v>Periódica</v>
      </c>
      <c r="E4246" s="89">
        <v>365</v>
      </c>
      <c r="F4246" s="89" t="str">
        <v/>
      </c>
      <c r="G4246" s="89" t="str">
        <f ca="1"/>
        <v/>
      </c>
    </row>
    <row r="4247" spans="1:7" x14ac:dyDescent="0.3">
      <c r="A4247" s="89" t="str">
        <v/>
      </c>
      <c r="B4247" s="89" t="str">
        <v>Drogas de abuso (concientización y prevención)</v>
      </c>
      <c r="C4247" s="90" t="str">
        <v/>
      </c>
      <c r="D4247" s="89" t="str">
        <v>Periódica</v>
      </c>
      <c r="E4247" s="89">
        <v>365</v>
      </c>
      <c r="F4247" s="89" t="str">
        <v/>
      </c>
      <c r="G4247" s="89" t="str">
        <f ca="1"/>
        <v/>
      </c>
    </row>
    <row r="4248" spans="1:7" x14ac:dyDescent="0.3">
      <c r="A4248" s="89" t="str">
        <v/>
      </c>
      <c r="B4248" s="89" t="str">
        <v>Vida saludable (hábitos, autocuidado y bienestar)</v>
      </c>
      <c r="C4248" s="90" t="str">
        <v/>
      </c>
      <c r="D4248" s="89" t="str">
        <v>Periódica</v>
      </c>
      <c r="E4248" s="89">
        <v>365</v>
      </c>
      <c r="F4248" s="89" t="str">
        <v/>
      </c>
      <c r="G4248" s="89" t="str">
        <f ca="1"/>
        <v/>
      </c>
    </row>
    <row r="4249" spans="1:7" x14ac:dyDescent="0.3">
      <c r="A4249" s="89" t="str">
        <v/>
      </c>
      <c r="B4249" s="89" t="str">
        <v>Primeros auxilios y Reanimación Cardio Pulmonar (RCP)</v>
      </c>
      <c r="C4249" s="90" t="str">
        <v/>
      </c>
      <c r="D4249" s="89" t="str">
        <v>Periódica</v>
      </c>
      <c r="E4249" s="89">
        <v>365</v>
      </c>
      <c r="F4249" s="89" t="str">
        <v/>
      </c>
      <c r="G4249" s="89" t="str">
        <f ca="1"/>
        <v/>
      </c>
    </row>
    <row r="4250" spans="1:7" x14ac:dyDescent="0.3">
      <c r="A4250" s="89" t="str">
        <v/>
      </c>
      <c r="B4250" s="89" t="str">
        <v>Prevención cardiovascular (factores de riesgo y señales de alarma)</v>
      </c>
      <c r="C4250" s="90" t="str">
        <v/>
      </c>
      <c r="D4250" s="89" t="str">
        <v>Periódica</v>
      </c>
      <c r="E4250" s="89">
        <v>365</v>
      </c>
      <c r="F4250" s="89" t="str">
        <v/>
      </c>
      <c r="G4250" s="89" t="str">
        <f ca="1"/>
        <v/>
      </c>
    </row>
    <row r="4251" spans="1:7" x14ac:dyDescent="0.3">
      <c r="A4251" s="89" t="str">
        <v/>
      </c>
      <c r="B4251" s="89" t="str">
        <v>Efectos del tabaco sobre la salud</v>
      </c>
      <c r="C4251" s="90" t="str">
        <v/>
      </c>
      <c r="D4251" s="89" t="str">
        <v>Periódica</v>
      </c>
      <c r="E4251" s="89">
        <v>365</v>
      </c>
      <c r="F4251" s="89" t="str">
        <v/>
      </c>
      <c r="G4251" s="89" t="str">
        <f ca="1"/>
        <v/>
      </c>
    </row>
    <row r="4252" spans="1:7" x14ac:dyDescent="0.3">
      <c r="A4252" s="89" t="str">
        <v/>
      </c>
      <c r="B4252" s="89" t="str">
        <v>Cargadora (Op. Montacargas)</v>
      </c>
      <c r="C4252" s="90" t="str">
        <v/>
      </c>
      <c r="D4252" s="89" t="str">
        <v>Periódica</v>
      </c>
      <c r="E4252" s="89">
        <v>365</v>
      </c>
      <c r="F4252" s="89" t="str">
        <v/>
      </c>
      <c r="G4252" s="89" t="str">
        <f ca="1"/>
        <v/>
      </c>
    </row>
    <row r="4253" spans="1:7" x14ac:dyDescent="0.3">
      <c r="A4253" s="89" t="str">
        <v/>
      </c>
      <c r="B4253" s="89">
        <v>0</v>
      </c>
      <c r="C4253" s="90" t="str">
        <v/>
      </c>
      <c r="D4253" s="89" t="str">
        <v/>
      </c>
      <c r="E4253" s="89" t="str">
        <v/>
      </c>
      <c r="F4253" s="89" t="str">
        <v/>
      </c>
      <c r="G4253" s="89" t="str">
        <f ca="1"/>
        <v/>
      </c>
    </row>
    <row r="4254" spans="1:7" x14ac:dyDescent="0.3">
      <c r="A4254" s="89" t="str">
        <v/>
      </c>
      <c r="B4254" s="89">
        <v>0</v>
      </c>
      <c r="C4254" s="90" t="str">
        <v/>
      </c>
      <c r="D4254" s="89" t="str">
        <v/>
      </c>
      <c r="E4254" s="89" t="str">
        <v/>
      </c>
      <c r="F4254" s="89" t="str">
        <v/>
      </c>
      <c r="G4254" s="89" t="str">
        <f ca="1"/>
        <v/>
      </c>
    </row>
    <row r="4255" spans="1:7" x14ac:dyDescent="0.3">
      <c r="A4255" s="89" t="str">
        <v/>
      </c>
      <c r="B4255" s="89">
        <v>0</v>
      </c>
      <c r="C4255" s="90" t="str">
        <v/>
      </c>
      <c r="D4255" s="89" t="str">
        <v/>
      </c>
      <c r="E4255" s="89" t="str">
        <v/>
      </c>
      <c r="F4255" s="89" t="str">
        <v/>
      </c>
      <c r="G4255" s="89" t="str">
        <f ca="1"/>
        <v/>
      </c>
    </row>
    <row r="4256" spans="1:7" x14ac:dyDescent="0.3">
      <c r="A4256" s="89" t="str">
        <v/>
      </c>
      <c r="B4256" s="89">
        <v>0</v>
      </c>
      <c r="C4256" s="90" t="str">
        <v/>
      </c>
      <c r="D4256" s="89" t="str">
        <v/>
      </c>
      <c r="E4256" s="89" t="str">
        <v/>
      </c>
      <c r="F4256" s="89" t="str">
        <v/>
      </c>
      <c r="G4256" s="89" t="str">
        <f ca="1"/>
        <v/>
      </c>
    </row>
    <row r="4257" spans="1:7" x14ac:dyDescent="0.3">
      <c r="A4257" s="89" t="str">
        <v/>
      </c>
      <c r="B4257" s="89">
        <v>0</v>
      </c>
      <c r="C4257" s="90" t="str">
        <v/>
      </c>
      <c r="D4257" s="89" t="str">
        <v/>
      </c>
      <c r="E4257" s="89" t="str">
        <v/>
      </c>
      <c r="F4257" s="89" t="str">
        <v/>
      </c>
      <c r="G4257" s="89" t="str">
        <f ca="1"/>
        <v/>
      </c>
    </row>
    <row r="4258" spans="1:7" x14ac:dyDescent="0.3">
      <c r="A4258" s="89" t="str">
        <v/>
      </c>
      <c r="B4258" s="89">
        <v>0</v>
      </c>
      <c r="C4258" s="90" t="str">
        <v/>
      </c>
      <c r="D4258" s="89" t="str">
        <v/>
      </c>
      <c r="E4258" s="89" t="str">
        <v/>
      </c>
      <c r="F4258" s="89" t="str">
        <v/>
      </c>
      <c r="G4258" s="89" t="str">
        <f ca="1"/>
        <v/>
      </c>
    </row>
    <row r="4259" spans="1:7" x14ac:dyDescent="0.3">
      <c r="A4259" s="89" t="str">
        <v/>
      </c>
      <c r="B4259" s="89">
        <v>0</v>
      </c>
      <c r="C4259" s="90" t="str">
        <v/>
      </c>
      <c r="D4259" s="89" t="str">
        <v/>
      </c>
      <c r="E4259" s="89" t="str">
        <v/>
      </c>
      <c r="F4259" s="89" t="str">
        <v/>
      </c>
      <c r="G4259" s="89" t="str">
        <f ca="1"/>
        <v/>
      </c>
    </row>
    <row r="4260" spans="1:7" x14ac:dyDescent="0.3">
      <c r="A4260" s="89" t="str">
        <v/>
      </c>
      <c r="B4260" s="89">
        <v>0</v>
      </c>
      <c r="C4260" s="90" t="str">
        <v/>
      </c>
      <c r="D4260" s="89" t="str">
        <v/>
      </c>
      <c r="E4260" s="89" t="str">
        <v/>
      </c>
      <c r="F4260" s="89" t="str">
        <v/>
      </c>
      <c r="G4260" s="89" t="str">
        <f ca="1"/>
        <v/>
      </c>
    </row>
    <row r="4261" spans="1:7" x14ac:dyDescent="0.3">
      <c r="A4261" s="89" t="str">
        <v/>
      </c>
      <c r="B4261" s="89">
        <v>0</v>
      </c>
      <c r="C4261" s="90" t="str">
        <v/>
      </c>
      <c r="D4261" s="89" t="str">
        <v/>
      </c>
      <c r="E4261" s="89" t="str">
        <v/>
      </c>
      <c r="F4261" s="89" t="str">
        <v/>
      </c>
      <c r="G4261" s="89" t="str">
        <f ca="1"/>
        <v/>
      </c>
    </row>
    <row r="4262" spans="1:7" x14ac:dyDescent="0.3">
      <c r="A4262" s="89" t="str">
        <v/>
      </c>
      <c r="B4262" s="89" t="str">
        <v>Programa de Aire</v>
      </c>
      <c r="C4262" s="90" t="str">
        <v/>
      </c>
      <c r="D4262" s="89" t="str">
        <v>Evento</v>
      </c>
      <c r="E4262" s="89">
        <v>0</v>
      </c>
      <c r="F4262" s="89" t="str">
        <v/>
      </c>
      <c r="G4262" s="89" t="str">
        <f ca="1"/>
        <v/>
      </c>
    </row>
    <row r="4263" spans="1:7" x14ac:dyDescent="0.3">
      <c r="A4263" s="89" t="str">
        <v/>
      </c>
      <c r="B4263" s="89" t="str">
        <v>Conciencia Ambiental</v>
      </c>
      <c r="C4263" s="90" t="str">
        <v/>
      </c>
      <c r="D4263" s="89" t="str">
        <v>Periódica</v>
      </c>
      <c r="E4263" s="89">
        <v>365</v>
      </c>
      <c r="F4263" s="89" t="str">
        <v/>
      </c>
      <c r="G4263" s="89" t="str">
        <f ca="1"/>
        <v/>
      </c>
    </row>
    <row r="4264" spans="1:7" x14ac:dyDescent="0.3">
      <c r="A4264" s="89" t="str">
        <v/>
      </c>
      <c r="B4264" s="89" t="str">
        <v xml:space="preserve">Control de Documentos e Informacion de HSE </v>
      </c>
      <c r="C4264" s="90" t="str">
        <v/>
      </c>
      <c r="D4264" s="89" t="str">
        <v>Evento</v>
      </c>
      <c r="E4264" s="89">
        <v>0</v>
      </c>
      <c r="F4264" s="89" t="str">
        <v/>
      </c>
      <c r="G4264" s="89" t="str">
        <f ca="1"/>
        <v/>
      </c>
    </row>
    <row r="4265" spans="1:7" x14ac:dyDescent="0.3">
      <c r="A4265" s="89" t="str">
        <v/>
      </c>
      <c r="B4265" s="89" t="str">
        <v xml:space="preserve"> Acciones Correctivas y Preventivas (CAPA)</v>
      </c>
      <c r="C4265" s="90" t="str">
        <v/>
      </c>
      <c r="D4265" s="89" t="str">
        <v>Evento</v>
      </c>
      <c r="E4265" s="89">
        <v>0</v>
      </c>
      <c r="F4265" s="89" t="str">
        <v/>
      </c>
      <c r="G4265" s="89" t="str">
        <f ca="1"/>
        <v/>
      </c>
    </row>
    <row r="4266" spans="1:7" x14ac:dyDescent="0.3">
      <c r="A4266" s="89" t="str">
        <v/>
      </c>
      <c r="B4266" s="89" t="str">
        <v>Seguridad Basada en el Comportamiento (Observation Program) // HSMS.043 / Autoridad de Detener el Trabajo</v>
      </c>
      <c r="C4266" s="90" t="str">
        <v/>
      </c>
      <c r="D4266" s="89" t="str">
        <v>Periódica</v>
      </c>
      <c r="E4266" s="89">
        <v>365</v>
      </c>
      <c r="F4266" s="89" t="str">
        <v/>
      </c>
      <c r="G4266" s="89" t="str">
        <f ca="1"/>
        <v/>
      </c>
    </row>
    <row r="4267" spans="1:7" x14ac:dyDescent="0.3">
      <c r="A4267" s="89" t="str">
        <v/>
      </c>
      <c r="B4267" s="89" t="str">
        <v>Identificacion de Peligros y Evaluacion de Riesgos</v>
      </c>
      <c r="C4267" s="90" t="str">
        <v/>
      </c>
      <c r="D4267" s="89" t="str">
        <v>Evento</v>
      </c>
      <c r="E4267" s="89">
        <v>0</v>
      </c>
      <c r="F4267" s="89" t="str">
        <v/>
      </c>
      <c r="G4267" s="89" t="str">
        <f ca="1"/>
        <v/>
      </c>
    </row>
    <row r="4268" spans="1:7" x14ac:dyDescent="0.3">
      <c r="A4268" s="89" t="str">
        <v/>
      </c>
      <c r="B4268" s="89" t="str">
        <v xml:space="preserve"> Plan de Respuesta ante Eemergencias / HSMS.010 /Primeros Axulios &amp; RCP/DEA / HSMSWT-002 / Patogenos Trasnmitidos por la Sangre</v>
      </c>
      <c r="C4268" s="90" t="str">
        <v/>
      </c>
      <c r="D4268" s="89" t="str">
        <v>Periódica</v>
      </c>
      <c r="E4268" s="89">
        <v>365</v>
      </c>
      <c r="F4268" s="89" t="str">
        <v/>
      </c>
      <c r="G4268" s="89" t="str">
        <f ca="1"/>
        <v/>
      </c>
    </row>
    <row r="4269" spans="1:7" x14ac:dyDescent="0.3">
      <c r="A4269" s="89" t="str">
        <v/>
      </c>
      <c r="B4269" s="89" t="str">
        <v>Reporte y Gestion de Incidentes HSE (Todos)</v>
      </c>
      <c r="C4269" s="90" t="str">
        <v/>
      </c>
      <c r="D4269" s="89" t="str">
        <v>Periódica</v>
      </c>
      <c r="E4269" s="89">
        <v>365</v>
      </c>
      <c r="F4269" s="89" t="str">
        <v/>
      </c>
      <c r="G4269" s="89" t="str">
        <f ca="1"/>
        <v/>
      </c>
    </row>
    <row r="4270" spans="1:7" x14ac:dyDescent="0.3">
      <c r="A4270" s="89" t="str">
        <v/>
      </c>
      <c r="B4270" s="89" t="str">
        <v>Reporte, Gestion e Investigacion de Incidentes HSE (supervisores / investigadores (rol))</v>
      </c>
      <c r="C4270" s="90" t="str">
        <v/>
      </c>
      <c r="D4270" s="89" t="str">
        <v>Periódica</v>
      </c>
      <c r="E4270" s="89">
        <v>1095</v>
      </c>
      <c r="F4270" s="89" t="str">
        <v/>
      </c>
      <c r="G4270" s="89" t="str">
        <f ca="1"/>
        <v/>
      </c>
    </row>
    <row r="4271" spans="1:7" x14ac:dyDescent="0.3">
      <c r="A4271" s="89" t="str">
        <v/>
      </c>
      <c r="B4271" s="89" t="str">
        <v>Gruas y Equipos de Izaje (Todos)</v>
      </c>
      <c r="C4271" s="90" t="str">
        <v/>
      </c>
      <c r="D4271" s="89" t="str">
        <v>Periódica</v>
      </c>
      <c r="E4271" s="89">
        <v>365</v>
      </c>
      <c r="F4271" s="89" t="str">
        <v/>
      </c>
      <c r="G4271" s="89" t="str">
        <f ca="1"/>
        <v/>
      </c>
    </row>
    <row r="4272" spans="1:7" x14ac:dyDescent="0.3">
      <c r="A4272" s="89" t="str">
        <v/>
      </c>
      <c r="B4272" s="89" t="str">
        <v>HSMS.007 / Gruas y Equipos de Izaje (Operadores)</v>
      </c>
      <c r="C4272" s="90" t="str">
        <v/>
      </c>
      <c r="D4272" s="89" t="str">
        <v>Periódica</v>
      </c>
      <c r="E4272" s="89">
        <v>365</v>
      </c>
      <c r="F4272" s="89" t="str">
        <v/>
      </c>
      <c r="G4272" s="89" t="str">
        <f ca="1"/>
        <v/>
      </c>
    </row>
    <row r="4273" spans="1:7" x14ac:dyDescent="0.3">
      <c r="A4273" s="89" t="str">
        <v/>
      </c>
      <c r="B4273" s="89" t="str">
        <v>Proteccion Contra Incendios (Todos)</v>
      </c>
      <c r="C4273" s="90" t="str">
        <v/>
      </c>
      <c r="D4273" s="89" t="str">
        <v>Periódica</v>
      </c>
      <c r="E4273" s="89">
        <v>365</v>
      </c>
      <c r="F4273" s="89" t="str">
        <v/>
      </c>
      <c r="G4273" s="89" t="str">
        <f ca="1"/>
        <v/>
      </c>
    </row>
    <row r="4274" spans="1:7" x14ac:dyDescent="0.3">
      <c r="A4274" s="89" t="str">
        <v/>
      </c>
      <c r="B4274" s="89" t="str">
        <v>Proteccion Contra Incendios (Brigadistas)</v>
      </c>
      <c r="C4274" s="90" t="str">
        <v/>
      </c>
      <c r="D4274" s="89" t="str">
        <v>Periódica</v>
      </c>
      <c r="E4274" s="89">
        <v>365</v>
      </c>
      <c r="F4274" s="89" t="str">
        <v/>
      </c>
      <c r="G4274" s="89" t="str">
        <f ca="1"/>
        <v/>
      </c>
    </row>
    <row r="4275" spans="1:7" x14ac:dyDescent="0.3">
      <c r="A4275" s="89" t="str">
        <v/>
      </c>
      <c r="B4275" s="89" t="str">
        <v>Primeros Auxilios (Brigadistas)</v>
      </c>
      <c r="C4275" s="90" t="str">
        <v/>
      </c>
      <c r="D4275" s="89" t="str">
        <v>Periódica</v>
      </c>
      <c r="E4275" s="89">
        <v>365</v>
      </c>
      <c r="F4275" s="89" t="str">
        <v/>
      </c>
      <c r="G4275" s="89" t="str">
        <f ca="1"/>
        <v/>
      </c>
    </row>
    <row r="4276" spans="1:7" x14ac:dyDescent="0.3">
      <c r="A4276" s="89" t="str">
        <v/>
      </c>
      <c r="B4276" s="89" t="str">
        <v>Seguridad Electrica (Todos)</v>
      </c>
      <c r="C4276" s="90" t="str">
        <v/>
      </c>
      <c r="D4276" s="89" t="str">
        <v>Periódica</v>
      </c>
      <c r="E4276" s="89">
        <v>365</v>
      </c>
      <c r="F4276" s="89" t="str">
        <v/>
      </c>
      <c r="G4276" s="89" t="str">
        <f ca="1"/>
        <v/>
      </c>
    </row>
    <row r="4277" spans="1:7" x14ac:dyDescent="0.3">
      <c r="A4277" s="89" t="str">
        <v/>
      </c>
      <c r="B4277" s="89" t="str">
        <v>Seguridad Electrica (Personal Autorizado)</v>
      </c>
      <c r="C4277" s="90" t="str">
        <v/>
      </c>
      <c r="D4277" s="89" t="str">
        <v>Periódica</v>
      </c>
      <c r="E4277" s="89">
        <v>1095</v>
      </c>
      <c r="F4277" s="89" t="str">
        <v/>
      </c>
      <c r="G4277" s="89" t="str">
        <f ca="1"/>
        <v/>
      </c>
    </row>
    <row r="4278" spans="1:7" x14ac:dyDescent="0.3">
      <c r="A4278" s="89" t="str">
        <v/>
      </c>
      <c r="B4278" s="89" t="str">
        <v>Camiones Industriales Motorizados (PIT) (Todos)</v>
      </c>
      <c r="C4278" s="90" t="str">
        <v/>
      </c>
      <c r="D4278" s="89" t="str">
        <v>Periódica</v>
      </c>
      <c r="E4278" s="89">
        <v>365</v>
      </c>
      <c r="F4278" s="89" t="str">
        <v/>
      </c>
      <c r="G4278" s="89" t="str">
        <f ca="1"/>
        <v/>
      </c>
    </row>
    <row r="4279" spans="1:7" x14ac:dyDescent="0.3">
      <c r="A4279" s="89" t="str">
        <v/>
      </c>
      <c r="B4279" s="89" t="str">
        <v>Camiones Industriales Motorizados (PIT) (Op. Montacargas)</v>
      </c>
      <c r="C4279" s="90" t="str">
        <v/>
      </c>
      <c r="D4279" s="89" t="str">
        <v>Periódica</v>
      </c>
      <c r="E4279" s="89">
        <v>365</v>
      </c>
      <c r="F4279" s="89" t="str">
        <v/>
      </c>
      <c r="G4279" s="89" t="str">
        <f ca="1"/>
        <v/>
      </c>
    </row>
    <row r="4280" spans="1:7" x14ac:dyDescent="0.3">
      <c r="A4280" s="89" t="str">
        <v/>
      </c>
      <c r="B4280" s="89" t="str">
        <v>Control de Energias Peligrosas (LOTO) (Todos)</v>
      </c>
      <c r="C4280" s="90" t="str">
        <v/>
      </c>
      <c r="D4280" s="89" t="str">
        <v>Evento</v>
      </c>
      <c r="E4280" s="89">
        <v>0</v>
      </c>
      <c r="F4280" s="89" t="str">
        <v/>
      </c>
      <c r="G4280" s="89" t="str">
        <f ca="1"/>
        <v/>
      </c>
    </row>
    <row r="4281" spans="1:7" x14ac:dyDescent="0.3">
      <c r="A4281" s="89" t="str">
        <v/>
      </c>
      <c r="B4281" s="89" t="str">
        <v>Control de Energias Peligrosas (LOTO) (Empleados Autorizados)</v>
      </c>
      <c r="C4281" s="90" t="str">
        <v/>
      </c>
      <c r="D4281" s="89" t="str">
        <v>Periódica</v>
      </c>
      <c r="E4281" s="89">
        <v>365</v>
      </c>
      <c r="F4281" s="89" t="str">
        <v/>
      </c>
      <c r="G4281" s="89" t="str">
        <f ca="1"/>
        <v/>
      </c>
    </row>
    <row r="4282" spans="1:7" x14ac:dyDescent="0.3">
      <c r="A4282" s="89" t="str">
        <v/>
      </c>
      <c r="B4282" s="89" t="str">
        <v>Seguridad aplicada al Pozo &amp; Yacimiento</v>
      </c>
      <c r="C4282" s="90" t="str">
        <v/>
      </c>
      <c r="D4282" s="89" t="str">
        <v>Periódica</v>
      </c>
      <c r="E4282" s="89">
        <v>365</v>
      </c>
      <c r="F4282" s="89" t="str">
        <v/>
      </c>
      <c r="G4282" s="89" t="str">
        <f ca="1"/>
        <v/>
      </c>
    </row>
    <row r="4283" spans="1:7" x14ac:dyDescent="0.3">
      <c r="A4283" s="89" t="str">
        <v/>
      </c>
      <c r="B4283" s="89" t="str">
        <v>Las Reglas que Salvan Vidas</v>
      </c>
      <c r="C4283" s="90" t="str">
        <v/>
      </c>
      <c r="D4283" s="89" t="str">
        <v>Periódica</v>
      </c>
      <c r="E4283" s="89">
        <v>365</v>
      </c>
      <c r="F4283" s="89" t="str">
        <v/>
      </c>
      <c r="G4283" s="89" t="str">
        <f ca="1"/>
        <v/>
      </c>
    </row>
    <row r="4284" spans="1:7" x14ac:dyDescent="0.3">
      <c r="A4284" s="89" t="str">
        <v/>
      </c>
      <c r="B4284" s="89" t="str">
        <v xml:space="preserve">Resguardo de Maquinas &amp; Equipos </v>
      </c>
      <c r="C4284" s="90" t="str">
        <v/>
      </c>
      <c r="D4284" s="89" t="str">
        <v>Periódica</v>
      </c>
      <c r="E4284" s="89">
        <v>365</v>
      </c>
      <c r="F4284" s="89" t="str">
        <v/>
      </c>
      <c r="G4284" s="89" t="str">
        <f ca="1"/>
        <v/>
      </c>
    </row>
    <row r="4285" spans="1:7" x14ac:dyDescent="0.3">
      <c r="A4285" s="89" t="str">
        <v/>
      </c>
      <c r="B4285" s="89" t="str">
        <v>Conduccion y Gestion de Viajes (Todos)</v>
      </c>
      <c r="C4285" s="90" t="str">
        <v/>
      </c>
      <c r="D4285" s="89" t="str">
        <v>Periódica</v>
      </c>
      <c r="E4285" s="89">
        <v>730</v>
      </c>
      <c r="F4285" s="89" t="str">
        <v/>
      </c>
      <c r="G4285" s="89" t="str">
        <f ca="1"/>
        <v/>
      </c>
    </row>
    <row r="4286" spans="1:7" x14ac:dyDescent="0.3">
      <c r="A4286" s="89" t="str">
        <v/>
      </c>
      <c r="B4286" s="89" t="str">
        <v>Conduccion y Gestion de Viajes (Conductores)</v>
      </c>
      <c r="C4286" s="90" t="str">
        <v/>
      </c>
      <c r="D4286" s="89" t="str">
        <v>Periódica</v>
      </c>
      <c r="E4286" s="89">
        <v>1095</v>
      </c>
      <c r="F4286" s="89" t="str">
        <v/>
      </c>
      <c r="G4286" s="89" t="str">
        <f ca="1"/>
        <v/>
      </c>
    </row>
    <row r="4287" spans="1:7" x14ac:dyDescent="0.3">
      <c r="A4287" s="89" t="str">
        <v/>
      </c>
      <c r="B4287" s="89" t="str">
        <v>Patogenos Transmitidos por la Sangre</v>
      </c>
      <c r="C4287" s="90" t="str">
        <v/>
      </c>
      <c r="D4287" s="89" t="str">
        <v>Periódica</v>
      </c>
      <c r="E4287" s="89">
        <v>365</v>
      </c>
      <c r="F4287" s="89" t="str">
        <v/>
      </c>
      <c r="G4287" s="89" t="str">
        <f ca="1"/>
        <v/>
      </c>
    </row>
    <row r="4288" spans="1:7" x14ac:dyDescent="0.3">
      <c r="A4288" s="89" t="str">
        <v/>
      </c>
      <c r="B4288" s="89" t="str">
        <v>Conservacion Auditiva</v>
      </c>
      <c r="C4288" s="90" t="str">
        <v/>
      </c>
      <c r="D4288" s="89" t="str">
        <v>Periódica</v>
      </c>
      <c r="E4288" s="89">
        <v>365</v>
      </c>
      <c r="F4288" s="89" t="str">
        <v/>
      </c>
      <c r="G4288" s="89" t="str">
        <f ca="1"/>
        <v/>
      </c>
    </row>
    <row r="4289" spans="1:7" x14ac:dyDescent="0.3">
      <c r="A4289" s="89" t="str">
        <v/>
      </c>
      <c r="B4289" s="89" t="str">
        <v xml:space="preserve">Ergonomia //  / Levantamiento &amp; Seguridad en la Espalda </v>
      </c>
      <c r="C4289" s="90" t="str">
        <v/>
      </c>
      <c r="D4289" s="89" t="str">
        <v>Periódica</v>
      </c>
      <c r="E4289" s="89">
        <v>365</v>
      </c>
      <c r="F4289" s="89" t="str">
        <v/>
      </c>
      <c r="G4289" s="89" t="str">
        <f ca="1"/>
        <v/>
      </c>
    </row>
    <row r="4290" spans="1:7" x14ac:dyDescent="0.3">
      <c r="A4290" s="89" t="str">
        <v/>
      </c>
      <c r="B4290" s="89" t="str">
        <v>Superficies Elevadas (Todos)</v>
      </c>
      <c r="C4290" s="90" t="str">
        <v/>
      </c>
      <c r="D4290" s="89" t="str">
        <v>Periódica</v>
      </c>
      <c r="E4290" s="89">
        <v>365</v>
      </c>
      <c r="F4290" s="89" t="str">
        <v/>
      </c>
      <c r="G4290" s="89" t="str">
        <f ca="1"/>
        <v/>
      </c>
    </row>
    <row r="4291" spans="1:7" x14ac:dyDescent="0.3">
      <c r="A4291" s="89" t="str">
        <v/>
      </c>
      <c r="B4291" s="89" t="str">
        <v>Superficies Elevadas (Personal Habilitado)</v>
      </c>
      <c r="C4291" s="90" t="str">
        <v/>
      </c>
      <c r="D4291" s="89" t="str">
        <v>Periódica</v>
      </c>
      <c r="E4291" s="89">
        <v>365</v>
      </c>
      <c r="F4291" s="89" t="str">
        <v/>
      </c>
      <c r="G4291" s="89" t="str">
        <f ca="1"/>
        <v/>
      </c>
    </row>
    <row r="4292" spans="1:7" x14ac:dyDescent="0.3">
      <c r="A4292" s="89" t="str">
        <v/>
      </c>
      <c r="B4292" s="89" t="str">
        <v>Seguridad Quimica (Todos)</v>
      </c>
      <c r="C4292" s="90" t="str">
        <v/>
      </c>
      <c r="D4292" s="89" t="str">
        <v>Periódica</v>
      </c>
      <c r="E4292" s="89">
        <v>730</v>
      </c>
      <c r="F4292" s="89" t="str">
        <v/>
      </c>
      <c r="G4292" s="89" t="str">
        <f ca="1"/>
        <v/>
      </c>
    </row>
    <row r="4293" spans="1:7" x14ac:dyDescent="0.3">
      <c r="A4293" s="89" t="str">
        <v/>
      </c>
      <c r="B4293" s="89" t="str">
        <v>Seguridad Quimica (Mantenimiento)</v>
      </c>
      <c r="C4293" s="90" t="str">
        <v/>
      </c>
      <c r="D4293" s="89" t="str">
        <v>Periódica</v>
      </c>
      <c r="E4293" s="89">
        <v>365</v>
      </c>
      <c r="F4293" s="89" t="str">
        <v/>
      </c>
      <c r="G4293" s="89" t="str">
        <f ca="1"/>
        <v/>
      </c>
    </row>
    <row r="4294" spans="1:7" x14ac:dyDescent="0.3">
      <c r="A4294" s="89" t="str">
        <v/>
      </c>
      <c r="B4294" s="89" t="str">
        <v>Seguridad Quimica (Contratistas)</v>
      </c>
      <c r="C4294" s="90" t="str">
        <v/>
      </c>
      <c r="D4294" s="89" t="str">
        <v>Periódica</v>
      </c>
      <c r="E4294" s="89">
        <v>365</v>
      </c>
      <c r="F4294" s="89" t="str">
        <v/>
      </c>
      <c r="G4294" s="89" t="str">
        <f ca="1"/>
        <v/>
      </c>
    </row>
    <row r="4295" spans="1:7" x14ac:dyDescent="0.3">
      <c r="A4295" s="89" t="str">
        <v/>
      </c>
      <c r="B4295" s="89" t="str">
        <v>Seguridad para Trabajos en Caliente</v>
      </c>
      <c r="C4295" s="90" t="str">
        <v/>
      </c>
      <c r="D4295" s="89" t="str">
        <v>Periódica</v>
      </c>
      <c r="E4295" s="89">
        <v>365</v>
      </c>
      <c r="F4295" s="89" t="str">
        <v/>
      </c>
      <c r="G4295" s="89" t="str">
        <f ca="1"/>
        <v/>
      </c>
    </row>
    <row r="4296" spans="1:7" x14ac:dyDescent="0.3">
      <c r="A4296" s="89" t="str">
        <v/>
      </c>
      <c r="B4296" s="89" t="str">
        <v>Seguridad con la Radiacion</v>
      </c>
      <c r="C4296" s="90" t="str">
        <v/>
      </c>
      <c r="D4296" s="89" t="str">
        <v>Periódica</v>
      </c>
      <c r="E4296" s="89">
        <v>365</v>
      </c>
      <c r="F4296" s="89" t="str">
        <v/>
      </c>
      <c r="G4296" s="89" t="str">
        <f ca="1"/>
        <v/>
      </c>
    </row>
    <row r="4297" spans="1:7" x14ac:dyDescent="0.3">
      <c r="A4297" s="89" t="str">
        <v/>
      </c>
      <c r="B4297" s="89" t="str">
        <v>Equipo de Proteccion Personal (PPE)</v>
      </c>
      <c r="C4297" s="90" t="str">
        <v/>
      </c>
      <c r="D4297" s="89" t="str">
        <v>Periódica</v>
      </c>
      <c r="E4297" s="89">
        <v>365</v>
      </c>
      <c r="F4297" s="89" t="str">
        <v/>
      </c>
      <c r="G4297" s="89" t="str">
        <f ca="1"/>
        <v/>
      </c>
    </row>
    <row r="4298" spans="1:7" x14ac:dyDescent="0.3">
      <c r="A4298" s="89" t="str">
        <v/>
      </c>
      <c r="B4298" s="89" t="str">
        <v>Proteccion Respiratoria</v>
      </c>
      <c r="C4298" s="90" t="str">
        <v/>
      </c>
      <c r="D4298" s="89" t="str">
        <v>Periódica</v>
      </c>
      <c r="E4298" s="89">
        <v>365</v>
      </c>
      <c r="F4298" s="89" t="str">
        <v/>
      </c>
      <c r="G4298" s="89" t="str">
        <f ca="1"/>
        <v/>
      </c>
    </row>
    <row r="4299" spans="1:7" x14ac:dyDescent="0.3">
      <c r="A4299" s="89" t="str">
        <v/>
      </c>
      <c r="B4299" s="89" t="str">
        <v xml:space="preserve">Seguridad con Escaleras </v>
      </c>
      <c r="C4299" s="90" t="str">
        <v/>
      </c>
      <c r="D4299" s="89" t="str">
        <v>Periódica</v>
      </c>
      <c r="E4299" s="89">
        <v>365</v>
      </c>
      <c r="F4299" s="89" t="str">
        <v/>
      </c>
      <c r="G4299" s="89" t="str">
        <f ca="1"/>
        <v/>
      </c>
    </row>
    <row r="4300" spans="1:7" x14ac:dyDescent="0.3">
      <c r="A4300" s="89" t="str">
        <v/>
      </c>
      <c r="B4300" s="89" t="str">
        <v>Seguridad con Escaleras // Estantes de Almacenamiento</v>
      </c>
      <c r="C4300" s="90" t="str">
        <v/>
      </c>
      <c r="D4300" s="89" t="str">
        <v>Periódica</v>
      </c>
      <c r="E4300" s="89">
        <v>365</v>
      </c>
      <c r="F4300" s="89" t="str">
        <v/>
      </c>
      <c r="G4300" s="89" t="str">
        <f ca="1"/>
        <v/>
      </c>
    </row>
    <row r="4301" spans="1:7" x14ac:dyDescent="0.3">
      <c r="A4301" s="89" t="str">
        <v/>
      </c>
      <c r="B4301" s="89" t="str">
        <v>Responsabilidades del Supervisor</v>
      </c>
      <c r="C4301" s="90" t="str">
        <v/>
      </c>
      <c r="D4301" s="89" t="str">
        <v>Periódica</v>
      </c>
      <c r="E4301" s="89">
        <v>365</v>
      </c>
      <c r="F4301" s="89" t="str">
        <v/>
      </c>
      <c r="G4301" s="89" t="str">
        <f ca="1"/>
        <v/>
      </c>
    </row>
    <row r="4302" spans="1:7" x14ac:dyDescent="0.3">
      <c r="A4302" s="89" t="str">
        <v/>
      </c>
      <c r="B4302" s="89" t="str">
        <v>Espacios Confinados (Todos)</v>
      </c>
      <c r="C4302" s="90" t="str">
        <v/>
      </c>
      <c r="D4302" s="89" t="str">
        <v>Periódica</v>
      </c>
      <c r="E4302" s="89">
        <v>365</v>
      </c>
      <c r="F4302" s="89" t="str">
        <v/>
      </c>
      <c r="G4302" s="89" t="str">
        <f ca="1"/>
        <v/>
      </c>
    </row>
    <row r="4303" spans="1:7" x14ac:dyDescent="0.3">
      <c r="A4303" s="89" t="str">
        <v/>
      </c>
      <c r="B4303" s="89" t="str">
        <v>HSMS.017 / Espacios Confinados (Entrantes)</v>
      </c>
      <c r="C4303" s="90" t="str">
        <v/>
      </c>
      <c r="D4303" s="89" t="str">
        <v>Evento</v>
      </c>
      <c r="E4303" s="89">
        <v>0</v>
      </c>
      <c r="F4303" s="89" t="str">
        <v/>
      </c>
      <c r="G4303" s="89" t="str">
        <f ca="1"/>
        <v/>
      </c>
    </row>
    <row r="4304" spans="1:7" x14ac:dyDescent="0.3">
      <c r="A4304" s="89" t="str">
        <v/>
      </c>
      <c r="B4304" s="89" t="str">
        <v>Programa de Agua (Todos)</v>
      </c>
      <c r="C4304" s="90" t="str">
        <v/>
      </c>
      <c r="D4304" s="89" t="str">
        <v>Evento</v>
      </c>
      <c r="E4304" s="89">
        <v>0</v>
      </c>
      <c r="F4304" s="89" t="str">
        <v/>
      </c>
      <c r="G4304" s="89" t="str">
        <f ca="1"/>
        <v/>
      </c>
    </row>
    <row r="4305" spans="1:7" x14ac:dyDescent="0.3">
      <c r="A4305" s="89" t="str">
        <v/>
      </c>
      <c r="B4305" s="89" t="str">
        <v>Programa de Agua (HSE)</v>
      </c>
      <c r="C4305" s="90" t="str">
        <v/>
      </c>
      <c r="D4305" s="89" t="str">
        <v>Evento</v>
      </c>
      <c r="E4305" s="89">
        <v>0</v>
      </c>
      <c r="F4305" s="89" t="str">
        <v/>
      </c>
      <c r="G4305" s="89" t="str">
        <f ca="1"/>
        <v/>
      </c>
    </row>
    <row r="4306" spans="1:7" x14ac:dyDescent="0.3">
      <c r="A4306" s="89" t="str">
        <v/>
      </c>
      <c r="B4306" s="89" t="str">
        <v>HIV/SIDA y otras enfermedades de transmisión sexual (ETS)</v>
      </c>
      <c r="C4306" s="90" t="str">
        <v/>
      </c>
      <c r="D4306" s="89" t="str">
        <v>Periódica</v>
      </c>
      <c r="E4306" s="89">
        <v>365</v>
      </c>
      <c r="F4306" s="89" t="str">
        <v/>
      </c>
      <c r="G4306" s="89" t="str">
        <f ca="1"/>
        <v/>
      </c>
    </row>
    <row r="4307" spans="1:7" x14ac:dyDescent="0.3">
      <c r="A4307" s="89" t="str">
        <v/>
      </c>
      <c r="B4307" s="89" t="str">
        <v>Drogas de abuso (concientización y prevención)</v>
      </c>
      <c r="C4307" s="90" t="str">
        <v/>
      </c>
      <c r="D4307" s="89" t="str">
        <v>Periódica</v>
      </c>
      <c r="E4307" s="89">
        <v>365</v>
      </c>
      <c r="F4307" s="89" t="str">
        <v/>
      </c>
      <c r="G4307" s="89" t="str">
        <f ca="1"/>
        <v/>
      </c>
    </row>
    <row r="4308" spans="1:7" x14ac:dyDescent="0.3">
      <c r="A4308" s="89" t="str">
        <v/>
      </c>
      <c r="B4308" s="89" t="str">
        <v>Vida saludable (hábitos, autocuidado y bienestar)</v>
      </c>
      <c r="C4308" s="90" t="str">
        <v/>
      </c>
      <c r="D4308" s="89" t="str">
        <v>Periódica</v>
      </c>
      <c r="E4308" s="89">
        <v>365</v>
      </c>
      <c r="F4308" s="89" t="str">
        <v/>
      </c>
      <c r="G4308" s="89" t="str">
        <f ca="1"/>
        <v/>
      </c>
    </row>
    <row r="4309" spans="1:7" x14ac:dyDescent="0.3">
      <c r="A4309" s="89" t="str">
        <v/>
      </c>
      <c r="B4309" s="89" t="str">
        <v>Primeros auxilios y Reanimación Cardio Pulmonar (RCP)</v>
      </c>
      <c r="C4309" s="90" t="str">
        <v/>
      </c>
      <c r="D4309" s="89" t="str">
        <v>Periódica</v>
      </c>
      <c r="E4309" s="89">
        <v>365</v>
      </c>
      <c r="F4309" s="89" t="str">
        <v/>
      </c>
      <c r="G4309" s="89" t="str">
        <f ca="1"/>
        <v/>
      </c>
    </row>
    <row r="4310" spans="1:7" x14ac:dyDescent="0.3">
      <c r="A4310" s="89" t="str">
        <v/>
      </c>
      <c r="B4310" s="89" t="str">
        <v>Prevención cardiovascular (factores de riesgo y señales de alarma)</v>
      </c>
      <c r="C4310" s="90" t="str">
        <v/>
      </c>
      <c r="D4310" s="89" t="str">
        <v>Periódica</v>
      </c>
      <c r="E4310" s="89">
        <v>365</v>
      </c>
      <c r="F4310" s="89" t="str">
        <v/>
      </c>
      <c r="G4310" s="89" t="str">
        <f ca="1"/>
        <v/>
      </c>
    </row>
    <row r="4311" spans="1:7" x14ac:dyDescent="0.3">
      <c r="A4311" s="89" t="str">
        <v/>
      </c>
      <c r="B4311" s="89" t="str">
        <v>Efectos del tabaco sobre la salud</v>
      </c>
      <c r="C4311" s="90" t="str">
        <v/>
      </c>
      <c r="D4311" s="89" t="str">
        <v>Periódica</v>
      </c>
      <c r="E4311" s="89">
        <v>365</v>
      </c>
      <c r="F4311" s="89" t="str">
        <v/>
      </c>
      <c r="G4311" s="89" t="str">
        <f ca="1"/>
        <v/>
      </c>
    </row>
    <row r="4312" spans="1:7" x14ac:dyDescent="0.3">
      <c r="A4312" s="89" t="str">
        <v/>
      </c>
      <c r="B4312" s="89" t="str">
        <v>Cargadora (Op. Montacargas)</v>
      </c>
      <c r="C4312" s="90" t="str">
        <v/>
      </c>
      <c r="D4312" s="89" t="str">
        <v>Periódica</v>
      </c>
      <c r="E4312" s="89">
        <v>365</v>
      </c>
      <c r="F4312" s="89" t="str">
        <v/>
      </c>
      <c r="G4312" s="89" t="str">
        <f ca="1"/>
        <v/>
      </c>
    </row>
    <row r="4313" spans="1:7" x14ac:dyDescent="0.3">
      <c r="A4313" s="89" t="str">
        <v/>
      </c>
      <c r="B4313" s="89">
        <v>0</v>
      </c>
      <c r="C4313" s="90" t="str">
        <v/>
      </c>
      <c r="D4313" s="89" t="str">
        <v/>
      </c>
      <c r="E4313" s="89" t="str">
        <v/>
      </c>
      <c r="F4313" s="89" t="str">
        <v/>
      </c>
      <c r="G4313" s="89" t="str">
        <f ca="1"/>
        <v/>
      </c>
    </row>
    <row r="4314" spans="1:7" x14ac:dyDescent="0.3">
      <c r="A4314" s="89" t="str">
        <v/>
      </c>
      <c r="B4314" s="89">
        <v>0</v>
      </c>
      <c r="C4314" s="90" t="str">
        <v/>
      </c>
      <c r="D4314" s="89" t="str">
        <v/>
      </c>
      <c r="E4314" s="89" t="str">
        <v/>
      </c>
      <c r="F4314" s="89" t="str">
        <v/>
      </c>
      <c r="G4314" s="89" t="str">
        <f ca="1"/>
        <v/>
      </c>
    </row>
    <row r="4315" spans="1:7" x14ac:dyDescent="0.3">
      <c r="A4315" s="89" t="str">
        <v/>
      </c>
      <c r="B4315" s="89">
        <v>0</v>
      </c>
      <c r="C4315" s="90" t="str">
        <v/>
      </c>
      <c r="D4315" s="89" t="str">
        <v/>
      </c>
      <c r="E4315" s="89" t="str">
        <v/>
      </c>
      <c r="F4315" s="89" t="str">
        <v/>
      </c>
      <c r="G4315" s="89" t="str">
        <f ca="1"/>
        <v/>
      </c>
    </row>
    <row r="4316" spans="1:7" x14ac:dyDescent="0.3">
      <c r="A4316" s="89" t="str">
        <v/>
      </c>
      <c r="B4316" s="89">
        <v>0</v>
      </c>
      <c r="C4316" s="90" t="str">
        <v/>
      </c>
      <c r="D4316" s="89" t="str">
        <v/>
      </c>
      <c r="E4316" s="89" t="str">
        <v/>
      </c>
      <c r="F4316" s="89" t="str">
        <v/>
      </c>
      <c r="G4316" s="89" t="str">
        <f ca="1"/>
        <v/>
      </c>
    </row>
    <row r="4317" spans="1:7" x14ac:dyDescent="0.3">
      <c r="A4317" s="89" t="str">
        <v/>
      </c>
      <c r="B4317" s="89">
        <v>0</v>
      </c>
      <c r="C4317" s="90" t="str">
        <v/>
      </c>
      <c r="D4317" s="89" t="str">
        <v/>
      </c>
      <c r="E4317" s="89" t="str">
        <v/>
      </c>
      <c r="F4317" s="89" t="str">
        <v/>
      </c>
      <c r="G4317" s="89" t="str">
        <f ca="1"/>
        <v/>
      </c>
    </row>
    <row r="4318" spans="1:7" x14ac:dyDescent="0.3">
      <c r="A4318" s="89" t="str">
        <v/>
      </c>
      <c r="B4318" s="89">
        <v>0</v>
      </c>
      <c r="C4318" s="90" t="str">
        <v/>
      </c>
      <c r="D4318" s="89" t="str">
        <v/>
      </c>
      <c r="E4318" s="89" t="str">
        <v/>
      </c>
      <c r="F4318" s="89" t="str">
        <v/>
      </c>
      <c r="G4318" s="89" t="str">
        <f ca="1"/>
        <v/>
      </c>
    </row>
    <row r="4319" spans="1:7" x14ac:dyDescent="0.3">
      <c r="A4319" s="89" t="str">
        <v/>
      </c>
      <c r="B4319" s="89">
        <v>0</v>
      </c>
      <c r="C4319" s="90" t="str">
        <v/>
      </c>
      <c r="D4319" s="89" t="str">
        <v/>
      </c>
      <c r="E4319" s="89" t="str">
        <v/>
      </c>
      <c r="F4319" s="89" t="str">
        <v/>
      </c>
      <c r="G4319" s="89" t="str">
        <f ca="1"/>
        <v/>
      </c>
    </row>
    <row r="4320" spans="1:7" x14ac:dyDescent="0.3">
      <c r="A4320" s="89" t="str">
        <v/>
      </c>
      <c r="B4320" s="89">
        <v>0</v>
      </c>
      <c r="C4320" s="90" t="str">
        <v/>
      </c>
      <c r="D4320" s="89" t="str">
        <v/>
      </c>
      <c r="E4320" s="89" t="str">
        <v/>
      </c>
      <c r="F4320" s="89" t="str">
        <v/>
      </c>
      <c r="G4320" s="89" t="str">
        <f ca="1"/>
        <v/>
      </c>
    </row>
    <row r="4321" spans="1:7" x14ac:dyDescent="0.3">
      <c r="A4321" s="89" t="str">
        <v/>
      </c>
      <c r="B4321" s="89">
        <v>0</v>
      </c>
      <c r="C4321" s="90" t="str">
        <v/>
      </c>
      <c r="D4321" s="89" t="str">
        <v/>
      </c>
      <c r="E4321" s="89" t="str">
        <v/>
      </c>
      <c r="F4321" s="89" t="str">
        <v/>
      </c>
      <c r="G4321" s="89" t="str">
        <f ca="1"/>
        <v/>
      </c>
    </row>
    <row r="4322" spans="1:7" x14ac:dyDescent="0.3">
      <c r="A4322" s="89" t="str">
        <v/>
      </c>
      <c r="B4322" s="89" t="str">
        <v>Programa de Aire</v>
      </c>
      <c r="C4322" s="90" t="str">
        <v/>
      </c>
      <c r="D4322" s="89" t="str">
        <v>Evento</v>
      </c>
      <c r="E4322" s="89">
        <v>0</v>
      </c>
      <c r="F4322" s="89" t="str">
        <v/>
      </c>
      <c r="G4322" s="89" t="str">
        <f ca="1"/>
        <v/>
      </c>
    </row>
    <row r="4323" spans="1:7" x14ac:dyDescent="0.3">
      <c r="A4323" s="89" t="str">
        <v/>
      </c>
      <c r="B4323" s="89" t="str">
        <v>Conciencia Ambiental</v>
      </c>
      <c r="C4323" s="90" t="str">
        <v/>
      </c>
      <c r="D4323" s="89" t="str">
        <v>Periódica</v>
      </c>
      <c r="E4323" s="89">
        <v>365</v>
      </c>
      <c r="F4323" s="89" t="str">
        <v/>
      </c>
      <c r="G4323" s="89" t="str">
        <f ca="1"/>
        <v/>
      </c>
    </row>
    <row r="4324" spans="1:7" x14ac:dyDescent="0.3">
      <c r="A4324" s="89" t="str">
        <v/>
      </c>
      <c r="B4324" s="89" t="str">
        <v xml:space="preserve">Control de Documentos e Informacion de HSE </v>
      </c>
      <c r="C4324" s="90" t="str">
        <v/>
      </c>
      <c r="D4324" s="89" t="str">
        <v>Evento</v>
      </c>
      <c r="E4324" s="89">
        <v>0</v>
      </c>
      <c r="F4324" s="89" t="str">
        <v/>
      </c>
      <c r="G4324" s="89" t="str">
        <f ca="1"/>
        <v/>
      </c>
    </row>
    <row r="4325" spans="1:7" x14ac:dyDescent="0.3">
      <c r="A4325" s="89" t="str">
        <v/>
      </c>
      <c r="B4325" s="89" t="str">
        <v xml:space="preserve"> Acciones Correctivas y Preventivas (CAPA)</v>
      </c>
      <c r="C4325" s="90" t="str">
        <v/>
      </c>
      <c r="D4325" s="89" t="str">
        <v>Evento</v>
      </c>
      <c r="E4325" s="89">
        <v>0</v>
      </c>
      <c r="F4325" s="89" t="str">
        <v/>
      </c>
      <c r="G4325" s="89" t="str">
        <f ca="1"/>
        <v/>
      </c>
    </row>
    <row r="4326" spans="1:7" x14ac:dyDescent="0.3">
      <c r="A4326" s="89" t="str">
        <v/>
      </c>
      <c r="B4326" s="89" t="str">
        <v>Seguridad Basada en el Comportamiento (Observation Program) // HSMS.043 / Autoridad de Detener el Trabajo</v>
      </c>
      <c r="C4326" s="90" t="str">
        <v/>
      </c>
      <c r="D4326" s="89" t="str">
        <v>Periódica</v>
      </c>
      <c r="E4326" s="89">
        <v>365</v>
      </c>
      <c r="F4326" s="89" t="str">
        <v/>
      </c>
      <c r="G4326" s="89" t="str">
        <f ca="1"/>
        <v/>
      </c>
    </row>
    <row r="4327" spans="1:7" x14ac:dyDescent="0.3">
      <c r="A4327" s="89" t="str">
        <v/>
      </c>
      <c r="B4327" s="89" t="str">
        <v>Identificacion de Peligros y Evaluacion de Riesgos</v>
      </c>
      <c r="C4327" s="90" t="str">
        <v/>
      </c>
      <c r="D4327" s="89" t="str">
        <v>Evento</v>
      </c>
      <c r="E4327" s="89">
        <v>0</v>
      </c>
      <c r="F4327" s="89" t="str">
        <v/>
      </c>
      <c r="G4327" s="89" t="str">
        <f ca="1"/>
        <v/>
      </c>
    </row>
    <row r="4328" spans="1:7" x14ac:dyDescent="0.3">
      <c r="A4328" s="89" t="str">
        <v/>
      </c>
      <c r="B4328" s="89" t="str">
        <v xml:space="preserve"> Plan de Respuesta ante Eemergencias / HSMS.010 /Primeros Axulios &amp; RCP/DEA / HSMSWT-002 / Patogenos Trasnmitidos por la Sangre</v>
      </c>
      <c r="C4328" s="90" t="str">
        <v/>
      </c>
      <c r="D4328" s="89" t="str">
        <v>Periódica</v>
      </c>
      <c r="E4328" s="89">
        <v>365</v>
      </c>
      <c r="F4328" s="89" t="str">
        <v/>
      </c>
      <c r="G4328" s="89" t="str">
        <f ca="1"/>
        <v/>
      </c>
    </row>
    <row r="4329" spans="1:7" x14ac:dyDescent="0.3">
      <c r="A4329" s="89" t="str">
        <v/>
      </c>
      <c r="B4329" s="89" t="str">
        <v>Reporte y Gestion de Incidentes HSE (Todos)</v>
      </c>
      <c r="C4329" s="90" t="str">
        <v/>
      </c>
      <c r="D4329" s="89" t="str">
        <v>Periódica</v>
      </c>
      <c r="E4329" s="89">
        <v>365</v>
      </c>
      <c r="F4329" s="89" t="str">
        <v/>
      </c>
      <c r="G4329" s="89" t="str">
        <f ca="1"/>
        <v/>
      </c>
    </row>
    <row r="4330" spans="1:7" x14ac:dyDescent="0.3">
      <c r="A4330" s="89" t="str">
        <v/>
      </c>
      <c r="B4330" s="89" t="str">
        <v>Reporte, Gestion e Investigacion de Incidentes HSE (supervisores / investigadores (rol))</v>
      </c>
      <c r="C4330" s="90" t="str">
        <v/>
      </c>
      <c r="D4330" s="89" t="str">
        <v>Periódica</v>
      </c>
      <c r="E4330" s="89">
        <v>1095</v>
      </c>
      <c r="F4330" s="89" t="str">
        <v/>
      </c>
      <c r="G4330" s="89" t="str">
        <f ca="1"/>
        <v/>
      </c>
    </row>
    <row r="4331" spans="1:7" x14ac:dyDescent="0.3">
      <c r="A4331" s="89" t="str">
        <v/>
      </c>
      <c r="B4331" s="89" t="str">
        <v>Gruas y Equipos de Izaje (Todos)</v>
      </c>
      <c r="C4331" s="90" t="str">
        <v/>
      </c>
      <c r="D4331" s="89" t="str">
        <v>Periódica</v>
      </c>
      <c r="E4331" s="89">
        <v>365</v>
      </c>
      <c r="F4331" s="89" t="str">
        <v/>
      </c>
      <c r="G4331" s="89" t="str">
        <f ca="1"/>
        <v/>
      </c>
    </row>
    <row r="4332" spans="1:7" x14ac:dyDescent="0.3">
      <c r="A4332" s="89" t="str">
        <v/>
      </c>
      <c r="B4332" s="89" t="str">
        <v>HSMS.007 / Gruas y Equipos de Izaje (Operadores)</v>
      </c>
      <c r="C4332" s="90" t="str">
        <v/>
      </c>
      <c r="D4332" s="89" t="str">
        <v>Periódica</v>
      </c>
      <c r="E4332" s="89">
        <v>365</v>
      </c>
      <c r="F4332" s="89" t="str">
        <v/>
      </c>
      <c r="G4332" s="89" t="str">
        <f ca="1"/>
        <v/>
      </c>
    </row>
    <row r="4333" spans="1:7" x14ac:dyDescent="0.3">
      <c r="A4333" s="89" t="str">
        <v/>
      </c>
      <c r="B4333" s="89" t="str">
        <v>Proteccion Contra Incendios (Todos)</v>
      </c>
      <c r="C4333" s="90" t="str">
        <v/>
      </c>
      <c r="D4333" s="89" t="str">
        <v>Periódica</v>
      </c>
      <c r="E4333" s="89">
        <v>365</v>
      </c>
      <c r="F4333" s="89" t="str">
        <v/>
      </c>
      <c r="G4333" s="89" t="str">
        <f ca="1"/>
        <v/>
      </c>
    </row>
    <row r="4334" spans="1:7" x14ac:dyDescent="0.3">
      <c r="A4334" s="89" t="str">
        <v/>
      </c>
      <c r="B4334" s="89" t="str">
        <v>Proteccion Contra Incendios (Brigadistas)</v>
      </c>
      <c r="C4334" s="90" t="str">
        <v/>
      </c>
      <c r="D4334" s="89" t="str">
        <v>Periódica</v>
      </c>
      <c r="E4334" s="89">
        <v>365</v>
      </c>
      <c r="F4334" s="89" t="str">
        <v/>
      </c>
      <c r="G4334" s="89" t="str">
        <f ca="1"/>
        <v/>
      </c>
    </row>
    <row r="4335" spans="1:7" x14ac:dyDescent="0.3">
      <c r="A4335" s="89" t="str">
        <v/>
      </c>
      <c r="B4335" s="89" t="str">
        <v>Primeros Auxilios (Brigadistas)</v>
      </c>
      <c r="C4335" s="90" t="str">
        <v/>
      </c>
      <c r="D4335" s="89" t="str">
        <v>Periódica</v>
      </c>
      <c r="E4335" s="89">
        <v>365</v>
      </c>
      <c r="F4335" s="89" t="str">
        <v/>
      </c>
      <c r="G4335" s="89" t="str">
        <f ca="1"/>
        <v/>
      </c>
    </row>
    <row r="4336" spans="1:7" x14ac:dyDescent="0.3">
      <c r="A4336" s="89" t="str">
        <v/>
      </c>
      <c r="B4336" s="89" t="str">
        <v>Seguridad Electrica (Todos)</v>
      </c>
      <c r="C4336" s="90" t="str">
        <v/>
      </c>
      <c r="D4336" s="89" t="str">
        <v>Periódica</v>
      </c>
      <c r="E4336" s="89">
        <v>365</v>
      </c>
      <c r="F4336" s="89" t="str">
        <v/>
      </c>
      <c r="G4336" s="89" t="str">
        <f ca="1"/>
        <v/>
      </c>
    </row>
    <row r="4337" spans="1:7" x14ac:dyDescent="0.3">
      <c r="A4337" s="89" t="str">
        <v/>
      </c>
      <c r="B4337" s="89" t="str">
        <v>Seguridad Electrica (Personal Autorizado)</v>
      </c>
      <c r="C4337" s="90" t="str">
        <v/>
      </c>
      <c r="D4337" s="89" t="str">
        <v>Periódica</v>
      </c>
      <c r="E4337" s="89">
        <v>1095</v>
      </c>
      <c r="F4337" s="89" t="str">
        <v/>
      </c>
      <c r="G4337" s="89" t="str">
        <f ca="1"/>
        <v/>
      </c>
    </row>
    <row r="4338" spans="1:7" x14ac:dyDescent="0.3">
      <c r="A4338" s="89" t="str">
        <v/>
      </c>
      <c r="B4338" s="89" t="str">
        <v>Camiones Industriales Motorizados (PIT) (Todos)</v>
      </c>
      <c r="C4338" s="90" t="str">
        <v/>
      </c>
      <c r="D4338" s="89" t="str">
        <v>Periódica</v>
      </c>
      <c r="E4338" s="89">
        <v>365</v>
      </c>
      <c r="F4338" s="89" t="str">
        <v/>
      </c>
      <c r="G4338" s="89" t="str">
        <f ca="1"/>
        <v/>
      </c>
    </row>
    <row r="4339" spans="1:7" x14ac:dyDescent="0.3">
      <c r="A4339" s="89" t="str">
        <v/>
      </c>
      <c r="B4339" s="89" t="str">
        <v>Camiones Industriales Motorizados (PIT) (Op. Montacargas)</v>
      </c>
      <c r="C4339" s="90" t="str">
        <v/>
      </c>
      <c r="D4339" s="89" t="str">
        <v>Periódica</v>
      </c>
      <c r="E4339" s="89">
        <v>365</v>
      </c>
      <c r="F4339" s="89" t="str">
        <v/>
      </c>
      <c r="G4339" s="89" t="str">
        <f ca="1"/>
        <v/>
      </c>
    </row>
    <row r="4340" spans="1:7" x14ac:dyDescent="0.3">
      <c r="A4340" s="89" t="str">
        <v/>
      </c>
      <c r="B4340" s="89" t="str">
        <v>Control de Energias Peligrosas (LOTO) (Todos)</v>
      </c>
      <c r="C4340" s="90" t="str">
        <v/>
      </c>
      <c r="D4340" s="89" t="str">
        <v>Evento</v>
      </c>
      <c r="E4340" s="89">
        <v>0</v>
      </c>
      <c r="F4340" s="89" t="str">
        <v/>
      </c>
      <c r="G4340" s="89" t="str">
        <f ca="1"/>
        <v/>
      </c>
    </row>
    <row r="4341" spans="1:7" x14ac:dyDescent="0.3">
      <c r="A4341" s="89" t="str">
        <v/>
      </c>
      <c r="B4341" s="89" t="str">
        <v>Control de Energias Peligrosas (LOTO) (Empleados Autorizados)</v>
      </c>
      <c r="C4341" s="90" t="str">
        <v/>
      </c>
      <c r="D4341" s="89" t="str">
        <v>Periódica</v>
      </c>
      <c r="E4341" s="89">
        <v>365</v>
      </c>
      <c r="F4341" s="89" t="str">
        <v/>
      </c>
      <c r="G4341" s="89" t="str">
        <f ca="1"/>
        <v/>
      </c>
    </row>
    <row r="4342" spans="1:7" x14ac:dyDescent="0.3">
      <c r="A4342" s="89" t="str">
        <v/>
      </c>
      <c r="B4342" s="89" t="str">
        <v>Seguridad aplicada al Pozo &amp; Yacimiento</v>
      </c>
      <c r="C4342" s="90" t="str">
        <v/>
      </c>
      <c r="D4342" s="89" t="str">
        <v>Periódica</v>
      </c>
      <c r="E4342" s="89">
        <v>365</v>
      </c>
      <c r="F4342" s="89" t="str">
        <v/>
      </c>
      <c r="G4342" s="89" t="str">
        <f ca="1"/>
        <v/>
      </c>
    </row>
    <row r="4343" spans="1:7" x14ac:dyDescent="0.3">
      <c r="A4343" s="89" t="str">
        <v/>
      </c>
      <c r="B4343" s="89" t="str">
        <v>Las Reglas que Salvan Vidas</v>
      </c>
      <c r="C4343" s="90" t="str">
        <v/>
      </c>
      <c r="D4343" s="89" t="str">
        <v>Periódica</v>
      </c>
      <c r="E4343" s="89">
        <v>365</v>
      </c>
      <c r="F4343" s="89" t="str">
        <v/>
      </c>
      <c r="G4343" s="89" t="str">
        <f ca="1"/>
        <v/>
      </c>
    </row>
    <row r="4344" spans="1:7" x14ac:dyDescent="0.3">
      <c r="A4344" s="89" t="str">
        <v/>
      </c>
      <c r="B4344" s="89" t="str">
        <v xml:space="preserve">Resguardo de Maquinas &amp; Equipos </v>
      </c>
      <c r="C4344" s="90" t="str">
        <v/>
      </c>
      <c r="D4344" s="89" t="str">
        <v>Periódica</v>
      </c>
      <c r="E4344" s="89">
        <v>365</v>
      </c>
      <c r="F4344" s="89" t="str">
        <v/>
      </c>
      <c r="G4344" s="89" t="str">
        <f ca="1"/>
        <v/>
      </c>
    </row>
    <row r="4345" spans="1:7" x14ac:dyDescent="0.3">
      <c r="A4345" s="89" t="str">
        <v/>
      </c>
      <c r="B4345" s="89" t="str">
        <v>Conduccion y Gestion de Viajes (Todos)</v>
      </c>
      <c r="C4345" s="90" t="str">
        <v/>
      </c>
      <c r="D4345" s="89" t="str">
        <v>Periódica</v>
      </c>
      <c r="E4345" s="89">
        <v>730</v>
      </c>
      <c r="F4345" s="89" t="str">
        <v/>
      </c>
      <c r="G4345" s="89" t="str">
        <f ca="1"/>
        <v/>
      </c>
    </row>
    <row r="4346" spans="1:7" x14ac:dyDescent="0.3">
      <c r="A4346" s="89" t="str">
        <v/>
      </c>
      <c r="B4346" s="89" t="str">
        <v>Conduccion y Gestion de Viajes (Conductores)</v>
      </c>
      <c r="C4346" s="90" t="str">
        <v/>
      </c>
      <c r="D4346" s="89" t="str">
        <v>Periódica</v>
      </c>
      <c r="E4346" s="89">
        <v>1095</v>
      </c>
      <c r="F4346" s="89" t="str">
        <v/>
      </c>
      <c r="G4346" s="89" t="str">
        <f ca="1"/>
        <v/>
      </c>
    </row>
    <row r="4347" spans="1:7" x14ac:dyDescent="0.3">
      <c r="A4347" s="89" t="str">
        <v/>
      </c>
      <c r="B4347" s="89" t="str">
        <v>Patogenos Transmitidos por la Sangre</v>
      </c>
      <c r="C4347" s="90" t="str">
        <v/>
      </c>
      <c r="D4347" s="89" t="str">
        <v>Periódica</v>
      </c>
      <c r="E4347" s="89">
        <v>365</v>
      </c>
      <c r="F4347" s="89" t="str">
        <v/>
      </c>
      <c r="G4347" s="89" t="str">
        <f ca="1"/>
        <v/>
      </c>
    </row>
    <row r="4348" spans="1:7" x14ac:dyDescent="0.3">
      <c r="A4348" s="89" t="str">
        <v/>
      </c>
      <c r="B4348" s="89" t="str">
        <v>Conservacion Auditiva</v>
      </c>
      <c r="C4348" s="90" t="str">
        <v/>
      </c>
      <c r="D4348" s="89" t="str">
        <v>Periódica</v>
      </c>
      <c r="E4348" s="89">
        <v>365</v>
      </c>
      <c r="F4348" s="89" t="str">
        <v/>
      </c>
      <c r="G4348" s="89" t="str">
        <f ca="1"/>
        <v/>
      </c>
    </row>
    <row r="4349" spans="1:7" x14ac:dyDescent="0.3">
      <c r="A4349" s="89" t="str">
        <v/>
      </c>
      <c r="B4349" s="89" t="str">
        <v xml:space="preserve">Ergonomia //  / Levantamiento &amp; Seguridad en la Espalda </v>
      </c>
      <c r="C4349" s="90" t="str">
        <v/>
      </c>
      <c r="D4349" s="89" t="str">
        <v>Periódica</v>
      </c>
      <c r="E4349" s="89">
        <v>365</v>
      </c>
      <c r="F4349" s="89" t="str">
        <v/>
      </c>
      <c r="G4349" s="89" t="str">
        <f ca="1"/>
        <v/>
      </c>
    </row>
    <row r="4350" spans="1:7" x14ac:dyDescent="0.3">
      <c r="A4350" s="89" t="str">
        <v/>
      </c>
      <c r="B4350" s="89" t="str">
        <v>Superficies Elevadas (Todos)</v>
      </c>
      <c r="C4350" s="90" t="str">
        <v/>
      </c>
      <c r="D4350" s="89" t="str">
        <v>Periódica</v>
      </c>
      <c r="E4350" s="89">
        <v>365</v>
      </c>
      <c r="F4350" s="89" t="str">
        <v/>
      </c>
      <c r="G4350" s="89" t="str">
        <f ca="1"/>
        <v/>
      </c>
    </row>
    <row r="4351" spans="1:7" x14ac:dyDescent="0.3">
      <c r="A4351" s="89" t="str">
        <v/>
      </c>
      <c r="B4351" s="89" t="str">
        <v>Superficies Elevadas (Personal Habilitado)</v>
      </c>
      <c r="C4351" s="90" t="str">
        <v/>
      </c>
      <c r="D4351" s="89" t="str">
        <v>Periódica</v>
      </c>
      <c r="E4351" s="89">
        <v>365</v>
      </c>
      <c r="F4351" s="89" t="str">
        <v/>
      </c>
      <c r="G4351" s="89" t="str">
        <f ca="1"/>
        <v/>
      </c>
    </row>
    <row r="4352" spans="1:7" x14ac:dyDescent="0.3">
      <c r="A4352" s="89" t="str">
        <v/>
      </c>
      <c r="B4352" s="89" t="str">
        <v>Seguridad Quimica (Todos)</v>
      </c>
      <c r="C4352" s="90" t="str">
        <v/>
      </c>
      <c r="D4352" s="89" t="str">
        <v>Periódica</v>
      </c>
      <c r="E4352" s="89">
        <v>730</v>
      </c>
      <c r="F4352" s="89" t="str">
        <v/>
      </c>
      <c r="G4352" s="89" t="str">
        <f ca="1"/>
        <v/>
      </c>
    </row>
    <row r="4353" spans="1:7" x14ac:dyDescent="0.3">
      <c r="A4353" s="89" t="str">
        <v/>
      </c>
      <c r="B4353" s="89" t="str">
        <v>Seguridad Quimica (Mantenimiento)</v>
      </c>
      <c r="C4353" s="90" t="str">
        <v/>
      </c>
      <c r="D4353" s="89" t="str">
        <v>Periódica</v>
      </c>
      <c r="E4353" s="89">
        <v>365</v>
      </c>
      <c r="F4353" s="89" t="str">
        <v/>
      </c>
      <c r="G4353" s="89" t="str">
        <f ca="1"/>
        <v/>
      </c>
    </row>
    <row r="4354" spans="1:7" x14ac:dyDescent="0.3">
      <c r="A4354" s="89" t="str">
        <v/>
      </c>
      <c r="B4354" s="89" t="str">
        <v>Seguridad Quimica (Contratistas)</v>
      </c>
      <c r="C4354" s="90" t="str">
        <v/>
      </c>
      <c r="D4354" s="89" t="str">
        <v>Periódica</v>
      </c>
      <c r="E4354" s="89">
        <v>365</v>
      </c>
      <c r="F4354" s="89" t="str">
        <v/>
      </c>
      <c r="G4354" s="89" t="str">
        <f ca="1"/>
        <v/>
      </c>
    </row>
    <row r="4355" spans="1:7" x14ac:dyDescent="0.3">
      <c r="A4355" s="89" t="str">
        <v/>
      </c>
      <c r="B4355" s="89" t="str">
        <v>Seguridad para Trabajos en Caliente</v>
      </c>
      <c r="C4355" s="90" t="str">
        <v/>
      </c>
      <c r="D4355" s="89" t="str">
        <v>Periódica</v>
      </c>
      <c r="E4355" s="89">
        <v>365</v>
      </c>
      <c r="F4355" s="89" t="str">
        <v/>
      </c>
      <c r="G4355" s="89" t="str">
        <f ca="1"/>
        <v/>
      </c>
    </row>
    <row r="4356" spans="1:7" x14ac:dyDescent="0.3">
      <c r="A4356" s="89" t="str">
        <v/>
      </c>
      <c r="B4356" s="89" t="str">
        <v>Seguridad con la Radiacion</v>
      </c>
      <c r="C4356" s="90" t="str">
        <v/>
      </c>
      <c r="D4356" s="89" t="str">
        <v>Periódica</v>
      </c>
      <c r="E4356" s="89">
        <v>365</v>
      </c>
      <c r="F4356" s="89" t="str">
        <v/>
      </c>
      <c r="G4356" s="89" t="str">
        <f ca="1"/>
        <v/>
      </c>
    </row>
    <row r="4357" spans="1:7" x14ac:dyDescent="0.3">
      <c r="A4357" s="89" t="str">
        <v/>
      </c>
      <c r="B4357" s="89" t="str">
        <v>Equipo de Proteccion Personal (PPE)</v>
      </c>
      <c r="C4357" s="90" t="str">
        <v/>
      </c>
      <c r="D4357" s="89" t="str">
        <v>Periódica</v>
      </c>
      <c r="E4357" s="89">
        <v>365</v>
      </c>
      <c r="F4357" s="89" t="str">
        <v/>
      </c>
      <c r="G4357" s="89" t="str">
        <f ca="1"/>
        <v/>
      </c>
    </row>
    <row r="4358" spans="1:7" x14ac:dyDescent="0.3">
      <c r="A4358" s="89" t="str">
        <v/>
      </c>
      <c r="B4358" s="89" t="str">
        <v>Proteccion Respiratoria</v>
      </c>
      <c r="C4358" s="90" t="str">
        <v/>
      </c>
      <c r="D4358" s="89" t="str">
        <v>Periódica</v>
      </c>
      <c r="E4358" s="89">
        <v>365</v>
      </c>
      <c r="F4358" s="89" t="str">
        <v/>
      </c>
      <c r="G4358" s="89" t="str">
        <f ca="1"/>
        <v/>
      </c>
    </row>
    <row r="4359" spans="1:7" x14ac:dyDescent="0.3">
      <c r="A4359" s="89" t="str">
        <v/>
      </c>
      <c r="B4359" s="89" t="str">
        <v xml:space="preserve">Seguridad con Escaleras </v>
      </c>
      <c r="C4359" s="90" t="str">
        <v/>
      </c>
      <c r="D4359" s="89" t="str">
        <v>Periódica</v>
      </c>
      <c r="E4359" s="89">
        <v>365</v>
      </c>
      <c r="F4359" s="89" t="str">
        <v/>
      </c>
      <c r="G4359" s="89" t="str">
        <f ca="1"/>
        <v/>
      </c>
    </row>
    <row r="4360" spans="1:7" x14ac:dyDescent="0.3">
      <c r="A4360" s="89" t="str">
        <v/>
      </c>
      <c r="B4360" s="89" t="str">
        <v>Seguridad con Escaleras // Estantes de Almacenamiento</v>
      </c>
      <c r="C4360" s="90" t="str">
        <v/>
      </c>
      <c r="D4360" s="89" t="str">
        <v>Periódica</v>
      </c>
      <c r="E4360" s="89">
        <v>365</v>
      </c>
      <c r="F4360" s="89" t="str">
        <v/>
      </c>
      <c r="G4360" s="89" t="str">
        <f ca="1"/>
        <v/>
      </c>
    </row>
    <row r="4361" spans="1:7" x14ac:dyDescent="0.3">
      <c r="A4361" s="89" t="str">
        <v/>
      </c>
      <c r="B4361" s="89" t="str">
        <v>Responsabilidades del Supervisor</v>
      </c>
      <c r="C4361" s="90" t="str">
        <v/>
      </c>
      <c r="D4361" s="89" t="str">
        <v>Periódica</v>
      </c>
      <c r="E4361" s="89">
        <v>365</v>
      </c>
      <c r="F4361" s="89" t="str">
        <v/>
      </c>
      <c r="G4361" s="89" t="str">
        <f ca="1"/>
        <v/>
      </c>
    </row>
    <row r="4362" spans="1:7" x14ac:dyDescent="0.3">
      <c r="A4362" s="89" t="str">
        <v/>
      </c>
      <c r="B4362" s="89" t="str">
        <v>Espacios Confinados (Todos)</v>
      </c>
      <c r="C4362" s="90" t="str">
        <v/>
      </c>
      <c r="D4362" s="89" t="str">
        <v>Periódica</v>
      </c>
      <c r="E4362" s="89">
        <v>365</v>
      </c>
      <c r="F4362" s="89" t="str">
        <v/>
      </c>
      <c r="G4362" s="89" t="str">
        <f ca="1"/>
        <v/>
      </c>
    </row>
    <row r="4363" spans="1:7" x14ac:dyDescent="0.3">
      <c r="A4363" s="89" t="str">
        <v/>
      </c>
      <c r="B4363" s="89" t="str">
        <v>HSMS.017 / Espacios Confinados (Entrantes)</v>
      </c>
      <c r="C4363" s="90" t="str">
        <v/>
      </c>
      <c r="D4363" s="89" t="str">
        <v>Evento</v>
      </c>
      <c r="E4363" s="89">
        <v>0</v>
      </c>
      <c r="F4363" s="89" t="str">
        <v/>
      </c>
      <c r="G4363" s="89" t="str">
        <f ca="1"/>
        <v/>
      </c>
    </row>
    <row r="4364" spans="1:7" x14ac:dyDescent="0.3">
      <c r="A4364" s="89" t="str">
        <v/>
      </c>
      <c r="B4364" s="89" t="str">
        <v>Programa de Agua (Todos)</v>
      </c>
      <c r="C4364" s="90" t="str">
        <v/>
      </c>
      <c r="D4364" s="89" t="str">
        <v>Evento</v>
      </c>
      <c r="E4364" s="89">
        <v>0</v>
      </c>
      <c r="F4364" s="89" t="str">
        <v/>
      </c>
      <c r="G4364" s="89" t="str">
        <f ca="1"/>
        <v/>
      </c>
    </row>
    <row r="4365" spans="1:7" x14ac:dyDescent="0.3">
      <c r="A4365" s="89" t="str">
        <v/>
      </c>
      <c r="B4365" s="89" t="str">
        <v>Programa de Agua (HSE)</v>
      </c>
      <c r="C4365" s="90" t="str">
        <v/>
      </c>
      <c r="D4365" s="89" t="str">
        <v>Evento</v>
      </c>
      <c r="E4365" s="89">
        <v>0</v>
      </c>
      <c r="F4365" s="89" t="str">
        <v/>
      </c>
      <c r="G4365" s="89" t="str">
        <f ca="1"/>
        <v/>
      </c>
    </row>
    <row r="4366" spans="1:7" x14ac:dyDescent="0.3">
      <c r="A4366" s="89" t="str">
        <v/>
      </c>
      <c r="B4366" s="89" t="str">
        <v>HIV/SIDA y otras enfermedades de transmisión sexual (ETS)</v>
      </c>
      <c r="C4366" s="90" t="str">
        <v/>
      </c>
      <c r="D4366" s="89" t="str">
        <v>Periódica</v>
      </c>
      <c r="E4366" s="89">
        <v>365</v>
      </c>
      <c r="F4366" s="89" t="str">
        <v/>
      </c>
      <c r="G4366" s="89" t="str">
        <f ca="1"/>
        <v/>
      </c>
    </row>
    <row r="4367" spans="1:7" x14ac:dyDescent="0.3">
      <c r="A4367" s="89" t="str">
        <v/>
      </c>
      <c r="B4367" s="89" t="str">
        <v>Drogas de abuso (concientización y prevención)</v>
      </c>
      <c r="C4367" s="90" t="str">
        <v/>
      </c>
      <c r="D4367" s="89" t="str">
        <v>Periódica</v>
      </c>
      <c r="E4367" s="89">
        <v>365</v>
      </c>
      <c r="F4367" s="89" t="str">
        <v/>
      </c>
      <c r="G4367" s="89" t="str">
        <f ca="1"/>
        <v/>
      </c>
    </row>
    <row r="4368" spans="1:7" x14ac:dyDescent="0.3">
      <c r="A4368" s="89" t="str">
        <v/>
      </c>
      <c r="B4368" s="89" t="str">
        <v>Vida saludable (hábitos, autocuidado y bienestar)</v>
      </c>
      <c r="C4368" s="90" t="str">
        <v/>
      </c>
      <c r="D4368" s="89" t="str">
        <v>Periódica</v>
      </c>
      <c r="E4368" s="89">
        <v>365</v>
      </c>
      <c r="F4368" s="89" t="str">
        <v/>
      </c>
      <c r="G4368" s="89" t="str">
        <f ca="1"/>
        <v/>
      </c>
    </row>
    <row r="4369" spans="1:7" x14ac:dyDescent="0.3">
      <c r="A4369" s="89" t="str">
        <v/>
      </c>
      <c r="B4369" s="89" t="str">
        <v>Primeros auxilios y Reanimación Cardio Pulmonar (RCP)</v>
      </c>
      <c r="C4369" s="90" t="str">
        <v/>
      </c>
      <c r="D4369" s="89" t="str">
        <v>Periódica</v>
      </c>
      <c r="E4369" s="89">
        <v>365</v>
      </c>
      <c r="F4369" s="89" t="str">
        <v/>
      </c>
      <c r="G4369" s="89" t="str">
        <f ca="1"/>
        <v/>
      </c>
    </row>
    <row r="4370" spans="1:7" x14ac:dyDescent="0.3">
      <c r="A4370" s="89" t="str">
        <v/>
      </c>
      <c r="B4370" s="89" t="str">
        <v>Prevención cardiovascular (factores de riesgo y señales de alarma)</v>
      </c>
      <c r="C4370" s="90" t="str">
        <v/>
      </c>
      <c r="D4370" s="89" t="str">
        <v>Periódica</v>
      </c>
      <c r="E4370" s="89">
        <v>365</v>
      </c>
      <c r="F4370" s="89" t="str">
        <v/>
      </c>
      <c r="G4370" s="89" t="str">
        <f ca="1"/>
        <v/>
      </c>
    </row>
    <row r="4371" spans="1:7" x14ac:dyDescent="0.3">
      <c r="A4371" s="89" t="str">
        <v/>
      </c>
      <c r="B4371" s="89" t="str">
        <v>Efectos del tabaco sobre la salud</v>
      </c>
      <c r="C4371" s="90" t="str">
        <v/>
      </c>
      <c r="D4371" s="89" t="str">
        <v>Periódica</v>
      </c>
      <c r="E4371" s="89">
        <v>365</v>
      </c>
      <c r="F4371" s="89" t="str">
        <v/>
      </c>
      <c r="G4371" s="89" t="str">
        <f ca="1"/>
        <v/>
      </c>
    </row>
    <row r="4372" spans="1:7" x14ac:dyDescent="0.3">
      <c r="A4372" s="89" t="str">
        <v/>
      </c>
      <c r="B4372" s="89" t="str">
        <v>Cargadora (Op. Montacargas)</v>
      </c>
      <c r="C4372" s="90" t="str">
        <v/>
      </c>
      <c r="D4372" s="89" t="str">
        <v>Periódica</v>
      </c>
      <c r="E4372" s="89">
        <v>365</v>
      </c>
      <c r="F4372" s="89" t="str">
        <v/>
      </c>
      <c r="G4372" s="89" t="str">
        <f ca="1"/>
        <v/>
      </c>
    </row>
    <row r="4373" spans="1:7" x14ac:dyDescent="0.3">
      <c r="A4373" s="89" t="str">
        <v/>
      </c>
      <c r="B4373" s="89">
        <v>0</v>
      </c>
      <c r="C4373" s="90" t="str">
        <v/>
      </c>
      <c r="D4373" s="89" t="str">
        <v/>
      </c>
      <c r="E4373" s="89" t="str">
        <v/>
      </c>
      <c r="F4373" s="89" t="str">
        <v/>
      </c>
      <c r="G4373" s="89" t="str">
        <f ca="1"/>
        <v/>
      </c>
    </row>
    <row r="4374" spans="1:7" x14ac:dyDescent="0.3">
      <c r="A4374" s="89" t="str">
        <v/>
      </c>
      <c r="B4374" s="89">
        <v>0</v>
      </c>
      <c r="C4374" s="90" t="str">
        <v/>
      </c>
      <c r="D4374" s="89" t="str">
        <v/>
      </c>
      <c r="E4374" s="89" t="str">
        <v/>
      </c>
      <c r="F4374" s="89" t="str">
        <v/>
      </c>
      <c r="G4374" s="89" t="str">
        <f ca="1"/>
        <v/>
      </c>
    </row>
    <row r="4375" spans="1:7" x14ac:dyDescent="0.3">
      <c r="A4375" s="89" t="str">
        <v/>
      </c>
      <c r="B4375" s="89">
        <v>0</v>
      </c>
      <c r="C4375" s="90" t="str">
        <v/>
      </c>
      <c r="D4375" s="89" t="str">
        <v/>
      </c>
      <c r="E4375" s="89" t="str">
        <v/>
      </c>
      <c r="F4375" s="89" t="str">
        <v/>
      </c>
      <c r="G4375" s="89" t="str">
        <f ca="1"/>
        <v/>
      </c>
    </row>
    <row r="4376" spans="1:7" x14ac:dyDescent="0.3">
      <c r="A4376" s="89" t="str">
        <v/>
      </c>
      <c r="B4376" s="89">
        <v>0</v>
      </c>
      <c r="C4376" s="90" t="str">
        <v/>
      </c>
      <c r="D4376" s="89" t="str">
        <v/>
      </c>
      <c r="E4376" s="89" t="str">
        <v/>
      </c>
      <c r="F4376" s="89" t="str">
        <v/>
      </c>
      <c r="G4376" s="89" t="str">
        <f ca="1"/>
        <v/>
      </c>
    </row>
    <row r="4377" spans="1:7" x14ac:dyDescent="0.3">
      <c r="A4377" s="89" t="str">
        <v/>
      </c>
      <c r="B4377" s="89">
        <v>0</v>
      </c>
      <c r="C4377" s="90" t="str">
        <v/>
      </c>
      <c r="D4377" s="89" t="str">
        <v/>
      </c>
      <c r="E4377" s="89" t="str">
        <v/>
      </c>
      <c r="F4377" s="89" t="str">
        <v/>
      </c>
      <c r="G4377" s="89" t="str">
        <f ca="1"/>
        <v/>
      </c>
    </row>
    <row r="4378" spans="1:7" x14ac:dyDescent="0.3">
      <c r="A4378" s="89" t="str">
        <v/>
      </c>
      <c r="B4378" s="89">
        <v>0</v>
      </c>
      <c r="C4378" s="90" t="str">
        <v/>
      </c>
      <c r="D4378" s="89" t="str">
        <v/>
      </c>
      <c r="E4378" s="89" t="str">
        <v/>
      </c>
      <c r="F4378" s="89" t="str">
        <v/>
      </c>
      <c r="G4378" s="89" t="str">
        <f ca="1"/>
        <v/>
      </c>
    </row>
    <row r="4379" spans="1:7" x14ac:dyDescent="0.3">
      <c r="A4379" s="89" t="str">
        <v/>
      </c>
      <c r="B4379" s="89">
        <v>0</v>
      </c>
      <c r="C4379" s="90" t="str">
        <v/>
      </c>
      <c r="D4379" s="89" t="str">
        <v/>
      </c>
      <c r="E4379" s="89" t="str">
        <v/>
      </c>
      <c r="F4379" s="89" t="str">
        <v/>
      </c>
      <c r="G4379" s="89" t="str">
        <f ca="1"/>
        <v/>
      </c>
    </row>
    <row r="4380" spans="1:7" x14ac:dyDescent="0.3">
      <c r="A4380" s="89" t="str">
        <v/>
      </c>
      <c r="B4380" s="89">
        <v>0</v>
      </c>
      <c r="C4380" s="90" t="str">
        <v/>
      </c>
      <c r="D4380" s="89" t="str">
        <v/>
      </c>
      <c r="E4380" s="89" t="str">
        <v/>
      </c>
      <c r="F4380" s="89" t="str">
        <v/>
      </c>
      <c r="G4380" s="89" t="str">
        <f ca="1"/>
        <v/>
      </c>
    </row>
    <row r="4381" spans="1:7" x14ac:dyDescent="0.3">
      <c r="A4381" s="89" t="str">
        <v/>
      </c>
      <c r="B4381" s="89">
        <v>0</v>
      </c>
      <c r="C4381" s="90" t="str">
        <v/>
      </c>
      <c r="D4381" s="89" t="str">
        <v/>
      </c>
      <c r="E4381" s="89" t="str">
        <v/>
      </c>
      <c r="F4381" s="89" t="str">
        <v/>
      </c>
      <c r="G4381" s="89" t="str">
        <f ca="1"/>
        <v/>
      </c>
    </row>
    <row r="4382" spans="1:7" x14ac:dyDescent="0.3">
      <c r="A4382" s="89" t="str">
        <v/>
      </c>
      <c r="B4382" s="89" t="str">
        <v>Programa de Aire</v>
      </c>
      <c r="C4382" s="90" t="str">
        <v/>
      </c>
      <c r="D4382" s="89" t="str">
        <v>Evento</v>
      </c>
      <c r="E4382" s="89">
        <v>0</v>
      </c>
      <c r="F4382" s="89" t="str">
        <v/>
      </c>
      <c r="G4382" s="89" t="str">
        <f ca="1"/>
        <v/>
      </c>
    </row>
    <row r="4383" spans="1:7" x14ac:dyDescent="0.3">
      <c r="A4383" s="89" t="str">
        <v/>
      </c>
      <c r="B4383" s="89" t="str">
        <v>Conciencia Ambiental</v>
      </c>
      <c r="C4383" s="90" t="str">
        <v/>
      </c>
      <c r="D4383" s="89" t="str">
        <v>Periódica</v>
      </c>
      <c r="E4383" s="89">
        <v>365</v>
      </c>
      <c r="F4383" s="89" t="str">
        <v/>
      </c>
      <c r="G4383" s="89" t="str">
        <f ca="1"/>
        <v/>
      </c>
    </row>
    <row r="4384" spans="1:7" x14ac:dyDescent="0.3">
      <c r="A4384" s="89" t="str">
        <v/>
      </c>
      <c r="B4384" s="89" t="str">
        <v xml:space="preserve">Control de Documentos e Informacion de HSE </v>
      </c>
      <c r="C4384" s="90" t="str">
        <v/>
      </c>
      <c r="D4384" s="89" t="str">
        <v>Evento</v>
      </c>
      <c r="E4384" s="89">
        <v>0</v>
      </c>
      <c r="F4384" s="89" t="str">
        <v/>
      </c>
      <c r="G4384" s="89" t="str">
        <f ca="1"/>
        <v/>
      </c>
    </row>
    <row r="4385" spans="1:7" x14ac:dyDescent="0.3">
      <c r="A4385" s="89" t="str">
        <v/>
      </c>
      <c r="B4385" s="89" t="str">
        <v xml:space="preserve"> Acciones Correctivas y Preventivas (CAPA)</v>
      </c>
      <c r="C4385" s="90" t="str">
        <v/>
      </c>
      <c r="D4385" s="89" t="str">
        <v>Evento</v>
      </c>
      <c r="E4385" s="89">
        <v>0</v>
      </c>
      <c r="F4385" s="89" t="str">
        <v/>
      </c>
      <c r="G4385" s="89" t="str">
        <f ca="1"/>
        <v/>
      </c>
    </row>
    <row r="4386" spans="1:7" x14ac:dyDescent="0.3">
      <c r="A4386" s="89" t="str">
        <v/>
      </c>
      <c r="B4386" s="89" t="str">
        <v>Seguridad Basada en el Comportamiento (Observation Program) // HSMS.043 / Autoridad de Detener el Trabajo</v>
      </c>
      <c r="C4386" s="90" t="str">
        <v/>
      </c>
      <c r="D4386" s="89" t="str">
        <v>Periódica</v>
      </c>
      <c r="E4386" s="89">
        <v>365</v>
      </c>
      <c r="F4386" s="89" t="str">
        <v/>
      </c>
      <c r="G4386" s="89" t="str">
        <f ca="1"/>
        <v/>
      </c>
    </row>
    <row r="4387" spans="1:7" x14ac:dyDescent="0.3">
      <c r="A4387" s="89" t="str">
        <v/>
      </c>
      <c r="B4387" s="89" t="str">
        <v>Identificacion de Peligros y Evaluacion de Riesgos</v>
      </c>
      <c r="C4387" s="90" t="str">
        <v/>
      </c>
      <c r="D4387" s="89" t="str">
        <v>Evento</v>
      </c>
      <c r="E4387" s="89">
        <v>0</v>
      </c>
      <c r="F4387" s="89" t="str">
        <v/>
      </c>
      <c r="G4387" s="89" t="str">
        <f ca="1"/>
        <v/>
      </c>
    </row>
    <row r="4388" spans="1:7" x14ac:dyDescent="0.3">
      <c r="A4388" s="89" t="str">
        <v/>
      </c>
      <c r="B4388" s="89" t="str">
        <v xml:space="preserve"> Plan de Respuesta ante Eemergencias / HSMS.010 /Primeros Axulios &amp; RCP/DEA / HSMSWT-002 / Patogenos Trasnmitidos por la Sangre</v>
      </c>
      <c r="C4388" s="90" t="str">
        <v/>
      </c>
      <c r="D4388" s="89" t="str">
        <v>Periódica</v>
      </c>
      <c r="E4388" s="89">
        <v>365</v>
      </c>
      <c r="F4388" s="89" t="str">
        <v/>
      </c>
      <c r="G4388" s="89" t="str">
        <f ca="1"/>
        <v/>
      </c>
    </row>
    <row r="4389" spans="1:7" x14ac:dyDescent="0.3">
      <c r="A4389" s="89" t="str">
        <v/>
      </c>
      <c r="B4389" s="89" t="str">
        <v>Reporte y Gestion de Incidentes HSE (Todos)</v>
      </c>
      <c r="C4389" s="90" t="str">
        <v/>
      </c>
      <c r="D4389" s="89" t="str">
        <v>Periódica</v>
      </c>
      <c r="E4389" s="89">
        <v>365</v>
      </c>
      <c r="F4389" s="89" t="str">
        <v/>
      </c>
      <c r="G4389" s="89" t="str">
        <f ca="1"/>
        <v/>
      </c>
    </row>
    <row r="4390" spans="1:7" x14ac:dyDescent="0.3">
      <c r="A4390" s="89" t="str">
        <v/>
      </c>
      <c r="B4390" s="89" t="str">
        <v>Reporte, Gestion e Investigacion de Incidentes HSE (supervisores / investigadores (rol))</v>
      </c>
      <c r="C4390" s="90" t="str">
        <v/>
      </c>
      <c r="D4390" s="89" t="str">
        <v>Periódica</v>
      </c>
      <c r="E4390" s="89">
        <v>1095</v>
      </c>
      <c r="F4390" s="89" t="str">
        <v/>
      </c>
      <c r="G4390" s="89" t="str">
        <f ca="1"/>
        <v/>
      </c>
    </row>
    <row r="4391" spans="1:7" x14ac:dyDescent="0.3">
      <c r="A4391" s="89" t="str">
        <v/>
      </c>
      <c r="B4391" s="89" t="str">
        <v>Gruas y Equipos de Izaje (Todos)</v>
      </c>
      <c r="C4391" s="90" t="str">
        <v/>
      </c>
      <c r="D4391" s="89" t="str">
        <v>Periódica</v>
      </c>
      <c r="E4391" s="89">
        <v>365</v>
      </c>
      <c r="F4391" s="89" t="str">
        <v/>
      </c>
      <c r="G4391" s="89" t="str">
        <f ca="1"/>
        <v/>
      </c>
    </row>
    <row r="4392" spans="1:7" x14ac:dyDescent="0.3">
      <c r="A4392" s="89" t="str">
        <v/>
      </c>
      <c r="B4392" s="89" t="str">
        <v>HSMS.007 / Gruas y Equipos de Izaje (Operadores)</v>
      </c>
      <c r="C4392" s="90" t="str">
        <v/>
      </c>
      <c r="D4392" s="89" t="str">
        <v>Periódica</v>
      </c>
      <c r="E4392" s="89">
        <v>365</v>
      </c>
      <c r="F4392" s="89" t="str">
        <v/>
      </c>
      <c r="G4392" s="89" t="str">
        <f ca="1"/>
        <v/>
      </c>
    </row>
    <row r="4393" spans="1:7" x14ac:dyDescent="0.3">
      <c r="A4393" s="89" t="str">
        <v/>
      </c>
      <c r="B4393" s="89" t="str">
        <v>Proteccion Contra Incendios (Todos)</v>
      </c>
      <c r="C4393" s="90" t="str">
        <v/>
      </c>
      <c r="D4393" s="89" t="str">
        <v>Periódica</v>
      </c>
      <c r="E4393" s="89">
        <v>365</v>
      </c>
      <c r="F4393" s="89" t="str">
        <v/>
      </c>
      <c r="G4393" s="89" t="str">
        <f ca="1"/>
        <v/>
      </c>
    </row>
    <row r="4394" spans="1:7" x14ac:dyDescent="0.3">
      <c r="A4394" s="89" t="str">
        <v/>
      </c>
      <c r="B4394" s="89" t="str">
        <v>Proteccion Contra Incendios (Brigadistas)</v>
      </c>
      <c r="C4394" s="90" t="str">
        <v/>
      </c>
      <c r="D4394" s="89" t="str">
        <v>Periódica</v>
      </c>
      <c r="E4394" s="89">
        <v>365</v>
      </c>
      <c r="F4394" s="89" t="str">
        <v/>
      </c>
      <c r="G4394" s="89" t="str">
        <f ca="1"/>
        <v/>
      </c>
    </row>
    <row r="4395" spans="1:7" x14ac:dyDescent="0.3">
      <c r="A4395" s="89" t="str">
        <v/>
      </c>
      <c r="B4395" s="89" t="str">
        <v>Primeros Auxilios (Brigadistas)</v>
      </c>
      <c r="C4395" s="90" t="str">
        <v/>
      </c>
      <c r="D4395" s="89" t="str">
        <v>Periódica</v>
      </c>
      <c r="E4395" s="89">
        <v>365</v>
      </c>
      <c r="F4395" s="89" t="str">
        <v/>
      </c>
      <c r="G4395" s="89" t="str">
        <f ca="1"/>
        <v/>
      </c>
    </row>
    <row r="4396" spans="1:7" x14ac:dyDescent="0.3">
      <c r="A4396" s="89" t="str">
        <v/>
      </c>
      <c r="B4396" s="89" t="str">
        <v>Seguridad Electrica (Todos)</v>
      </c>
      <c r="C4396" s="90" t="str">
        <v/>
      </c>
      <c r="D4396" s="89" t="str">
        <v>Periódica</v>
      </c>
      <c r="E4396" s="89">
        <v>365</v>
      </c>
      <c r="F4396" s="89" t="str">
        <v/>
      </c>
      <c r="G4396" s="89" t="str">
        <f ca="1"/>
        <v/>
      </c>
    </row>
    <row r="4397" spans="1:7" x14ac:dyDescent="0.3">
      <c r="A4397" s="89" t="str">
        <v/>
      </c>
      <c r="B4397" s="89" t="str">
        <v>Seguridad Electrica (Personal Autorizado)</v>
      </c>
      <c r="C4397" s="90" t="str">
        <v/>
      </c>
      <c r="D4397" s="89" t="str">
        <v>Periódica</v>
      </c>
      <c r="E4397" s="89">
        <v>1095</v>
      </c>
      <c r="F4397" s="89" t="str">
        <v/>
      </c>
      <c r="G4397" s="89" t="str">
        <f ca="1"/>
        <v/>
      </c>
    </row>
    <row r="4398" spans="1:7" x14ac:dyDescent="0.3">
      <c r="A4398" s="89" t="str">
        <v/>
      </c>
      <c r="B4398" s="89" t="str">
        <v>Camiones Industriales Motorizados (PIT) (Todos)</v>
      </c>
      <c r="C4398" s="90" t="str">
        <v/>
      </c>
      <c r="D4398" s="89" t="str">
        <v>Periódica</v>
      </c>
      <c r="E4398" s="89">
        <v>365</v>
      </c>
      <c r="F4398" s="89" t="str">
        <v/>
      </c>
      <c r="G4398" s="89" t="str">
        <f ca="1"/>
        <v/>
      </c>
    </row>
    <row r="4399" spans="1:7" x14ac:dyDescent="0.3">
      <c r="A4399" s="89" t="str">
        <v/>
      </c>
      <c r="B4399" s="89" t="str">
        <v>Camiones Industriales Motorizados (PIT) (Op. Montacargas)</v>
      </c>
      <c r="C4399" s="90" t="str">
        <v/>
      </c>
      <c r="D4399" s="89" t="str">
        <v>Periódica</v>
      </c>
      <c r="E4399" s="89">
        <v>365</v>
      </c>
      <c r="F4399" s="89" t="str">
        <v/>
      </c>
      <c r="G4399" s="89" t="str">
        <f ca="1"/>
        <v/>
      </c>
    </row>
    <row r="4400" spans="1:7" x14ac:dyDescent="0.3">
      <c r="A4400" s="89" t="str">
        <v/>
      </c>
      <c r="B4400" s="89" t="str">
        <v>Control de Energias Peligrosas (LOTO) (Todos)</v>
      </c>
      <c r="C4400" s="90" t="str">
        <v/>
      </c>
      <c r="D4400" s="89" t="str">
        <v>Evento</v>
      </c>
      <c r="E4400" s="89">
        <v>0</v>
      </c>
      <c r="F4400" s="89" t="str">
        <v/>
      </c>
      <c r="G4400" s="89" t="str">
        <f ca="1"/>
        <v/>
      </c>
    </row>
    <row r="4401" spans="1:7" x14ac:dyDescent="0.3">
      <c r="A4401" s="89" t="str">
        <v/>
      </c>
      <c r="B4401" s="89" t="str">
        <v>Control de Energias Peligrosas (LOTO) (Empleados Autorizados)</v>
      </c>
      <c r="C4401" s="90" t="str">
        <v/>
      </c>
      <c r="D4401" s="89" t="str">
        <v>Periódica</v>
      </c>
      <c r="E4401" s="89">
        <v>365</v>
      </c>
      <c r="F4401" s="89" t="str">
        <v/>
      </c>
      <c r="G4401" s="89" t="str">
        <f ca="1"/>
        <v/>
      </c>
    </row>
    <row r="4402" spans="1:7" x14ac:dyDescent="0.3">
      <c r="A4402" s="89" t="str">
        <v/>
      </c>
      <c r="B4402" s="89" t="str">
        <v>Seguridad aplicada al Pozo &amp; Yacimiento</v>
      </c>
      <c r="C4402" s="90" t="str">
        <v/>
      </c>
      <c r="D4402" s="89" t="str">
        <v>Periódica</v>
      </c>
      <c r="E4402" s="89">
        <v>365</v>
      </c>
      <c r="F4402" s="89" t="str">
        <v/>
      </c>
      <c r="G4402" s="89" t="str">
        <f ca="1"/>
        <v/>
      </c>
    </row>
    <row r="4403" spans="1:7" x14ac:dyDescent="0.3">
      <c r="A4403" s="89" t="str">
        <v/>
      </c>
      <c r="B4403" s="89" t="str">
        <v>Las Reglas que Salvan Vidas</v>
      </c>
      <c r="C4403" s="90" t="str">
        <v/>
      </c>
      <c r="D4403" s="89" t="str">
        <v>Periódica</v>
      </c>
      <c r="E4403" s="89">
        <v>365</v>
      </c>
      <c r="F4403" s="89" t="str">
        <v/>
      </c>
      <c r="G4403" s="89" t="str">
        <f ca="1"/>
        <v/>
      </c>
    </row>
    <row r="4404" spans="1:7" x14ac:dyDescent="0.3">
      <c r="A4404" s="89" t="str">
        <v/>
      </c>
      <c r="B4404" s="89" t="str">
        <v xml:space="preserve">Resguardo de Maquinas &amp; Equipos </v>
      </c>
      <c r="C4404" s="90" t="str">
        <v/>
      </c>
      <c r="D4404" s="89" t="str">
        <v>Periódica</v>
      </c>
      <c r="E4404" s="89">
        <v>365</v>
      </c>
      <c r="F4404" s="89" t="str">
        <v/>
      </c>
      <c r="G4404" s="89" t="str">
        <f ca="1"/>
        <v/>
      </c>
    </row>
    <row r="4405" spans="1:7" x14ac:dyDescent="0.3">
      <c r="A4405" s="89" t="str">
        <v/>
      </c>
      <c r="B4405" s="89" t="str">
        <v>Conduccion y Gestion de Viajes (Todos)</v>
      </c>
      <c r="C4405" s="90" t="str">
        <v/>
      </c>
      <c r="D4405" s="89" t="str">
        <v>Periódica</v>
      </c>
      <c r="E4405" s="89">
        <v>730</v>
      </c>
      <c r="F4405" s="89" t="str">
        <v/>
      </c>
      <c r="G4405" s="89" t="str">
        <f ca="1"/>
        <v/>
      </c>
    </row>
    <row r="4406" spans="1:7" x14ac:dyDescent="0.3">
      <c r="A4406" s="89" t="str">
        <v/>
      </c>
      <c r="B4406" s="89" t="str">
        <v>Conduccion y Gestion de Viajes (Conductores)</v>
      </c>
      <c r="C4406" s="90" t="str">
        <v/>
      </c>
      <c r="D4406" s="89" t="str">
        <v>Periódica</v>
      </c>
      <c r="E4406" s="89">
        <v>1095</v>
      </c>
      <c r="F4406" s="89" t="str">
        <v/>
      </c>
      <c r="G4406" s="89" t="str">
        <f ca="1"/>
        <v/>
      </c>
    </row>
    <row r="4407" spans="1:7" x14ac:dyDescent="0.3">
      <c r="A4407" s="89" t="str">
        <v/>
      </c>
      <c r="B4407" s="89" t="str">
        <v>Patogenos Transmitidos por la Sangre</v>
      </c>
      <c r="C4407" s="90" t="str">
        <v/>
      </c>
      <c r="D4407" s="89" t="str">
        <v>Periódica</v>
      </c>
      <c r="E4407" s="89">
        <v>365</v>
      </c>
      <c r="F4407" s="89" t="str">
        <v/>
      </c>
      <c r="G4407" s="89" t="str">
        <f ca="1"/>
        <v/>
      </c>
    </row>
    <row r="4408" spans="1:7" x14ac:dyDescent="0.3">
      <c r="A4408" s="89" t="str">
        <v/>
      </c>
      <c r="B4408" s="89" t="str">
        <v>Conservacion Auditiva</v>
      </c>
      <c r="C4408" s="90" t="str">
        <v/>
      </c>
      <c r="D4408" s="89" t="str">
        <v>Periódica</v>
      </c>
      <c r="E4408" s="89">
        <v>365</v>
      </c>
      <c r="F4408" s="89" t="str">
        <v/>
      </c>
      <c r="G4408" s="89" t="str">
        <f ca="1"/>
        <v/>
      </c>
    </row>
    <row r="4409" spans="1:7" x14ac:dyDescent="0.3">
      <c r="A4409" s="89" t="str">
        <v/>
      </c>
      <c r="B4409" s="89" t="str">
        <v xml:space="preserve">Ergonomia //  / Levantamiento &amp; Seguridad en la Espalda </v>
      </c>
      <c r="C4409" s="90" t="str">
        <v/>
      </c>
      <c r="D4409" s="89" t="str">
        <v>Periódica</v>
      </c>
      <c r="E4409" s="89">
        <v>365</v>
      </c>
      <c r="F4409" s="89" t="str">
        <v/>
      </c>
      <c r="G4409" s="89" t="str">
        <f ca="1"/>
        <v/>
      </c>
    </row>
    <row r="4410" spans="1:7" x14ac:dyDescent="0.3">
      <c r="A4410" s="89" t="str">
        <v/>
      </c>
      <c r="B4410" s="89" t="str">
        <v>Superficies Elevadas (Todos)</v>
      </c>
      <c r="C4410" s="90" t="str">
        <v/>
      </c>
      <c r="D4410" s="89" t="str">
        <v>Periódica</v>
      </c>
      <c r="E4410" s="89">
        <v>365</v>
      </c>
      <c r="F4410" s="89" t="str">
        <v/>
      </c>
      <c r="G4410" s="89" t="str">
        <f ca="1"/>
        <v/>
      </c>
    </row>
    <row r="4411" spans="1:7" x14ac:dyDescent="0.3">
      <c r="A4411" s="89" t="str">
        <v/>
      </c>
      <c r="B4411" s="89" t="str">
        <v>Superficies Elevadas (Personal Habilitado)</v>
      </c>
      <c r="C4411" s="90" t="str">
        <v/>
      </c>
      <c r="D4411" s="89" t="str">
        <v>Periódica</v>
      </c>
      <c r="E4411" s="89">
        <v>365</v>
      </c>
      <c r="F4411" s="89" t="str">
        <v/>
      </c>
      <c r="G4411" s="89" t="str">
        <f ca="1"/>
        <v/>
      </c>
    </row>
    <row r="4412" spans="1:7" x14ac:dyDescent="0.3">
      <c r="A4412" s="89" t="str">
        <v/>
      </c>
      <c r="B4412" s="89" t="str">
        <v>Seguridad Quimica (Todos)</v>
      </c>
      <c r="C4412" s="90" t="str">
        <v/>
      </c>
      <c r="D4412" s="89" t="str">
        <v>Periódica</v>
      </c>
      <c r="E4412" s="89">
        <v>730</v>
      </c>
      <c r="F4412" s="89" t="str">
        <v/>
      </c>
      <c r="G4412" s="89" t="str">
        <f ca="1"/>
        <v/>
      </c>
    </row>
    <row r="4413" spans="1:7" x14ac:dyDescent="0.3">
      <c r="A4413" s="89" t="str">
        <v/>
      </c>
      <c r="B4413" s="89" t="str">
        <v>Seguridad Quimica (Mantenimiento)</v>
      </c>
      <c r="C4413" s="90" t="str">
        <v/>
      </c>
      <c r="D4413" s="89" t="str">
        <v>Periódica</v>
      </c>
      <c r="E4413" s="89">
        <v>365</v>
      </c>
      <c r="F4413" s="89" t="str">
        <v/>
      </c>
      <c r="G4413" s="89" t="str">
        <f ca="1"/>
        <v/>
      </c>
    </row>
    <row r="4414" spans="1:7" x14ac:dyDescent="0.3">
      <c r="A4414" s="89" t="str">
        <v/>
      </c>
      <c r="B4414" s="89" t="str">
        <v>Seguridad Quimica (Contratistas)</v>
      </c>
      <c r="C4414" s="90" t="str">
        <v/>
      </c>
      <c r="D4414" s="89" t="str">
        <v>Periódica</v>
      </c>
      <c r="E4414" s="89">
        <v>365</v>
      </c>
      <c r="F4414" s="89" t="str">
        <v/>
      </c>
      <c r="G4414" s="89" t="str">
        <f ca="1"/>
        <v/>
      </c>
    </row>
    <row r="4415" spans="1:7" x14ac:dyDescent="0.3">
      <c r="A4415" s="89" t="str">
        <v/>
      </c>
      <c r="B4415" s="89" t="str">
        <v>Seguridad para Trabajos en Caliente</v>
      </c>
      <c r="C4415" s="90" t="str">
        <v/>
      </c>
      <c r="D4415" s="89" t="str">
        <v>Periódica</v>
      </c>
      <c r="E4415" s="89">
        <v>365</v>
      </c>
      <c r="F4415" s="89" t="str">
        <v/>
      </c>
      <c r="G4415" s="89" t="str">
        <f ca="1"/>
        <v/>
      </c>
    </row>
    <row r="4416" spans="1:7" x14ac:dyDescent="0.3">
      <c r="A4416" s="89" t="str">
        <v/>
      </c>
      <c r="B4416" s="89" t="str">
        <v>Seguridad con la Radiacion</v>
      </c>
      <c r="C4416" s="90" t="str">
        <v/>
      </c>
      <c r="D4416" s="89" t="str">
        <v>Periódica</v>
      </c>
      <c r="E4416" s="89">
        <v>365</v>
      </c>
      <c r="F4416" s="89" t="str">
        <v/>
      </c>
      <c r="G4416" s="89" t="str">
        <f ca="1"/>
        <v/>
      </c>
    </row>
    <row r="4417" spans="1:7" x14ac:dyDescent="0.3">
      <c r="A4417" s="89" t="str">
        <v/>
      </c>
      <c r="B4417" s="89" t="str">
        <v>Equipo de Proteccion Personal (PPE)</v>
      </c>
      <c r="C4417" s="90" t="str">
        <v/>
      </c>
      <c r="D4417" s="89" t="str">
        <v>Periódica</v>
      </c>
      <c r="E4417" s="89">
        <v>365</v>
      </c>
      <c r="F4417" s="89" t="str">
        <v/>
      </c>
      <c r="G4417" s="89" t="str">
        <f ca="1"/>
        <v/>
      </c>
    </row>
    <row r="4418" spans="1:7" x14ac:dyDescent="0.3">
      <c r="A4418" s="89" t="str">
        <v/>
      </c>
      <c r="B4418" s="89" t="str">
        <v>Proteccion Respiratoria</v>
      </c>
      <c r="C4418" s="90" t="str">
        <v/>
      </c>
      <c r="D4418" s="89" t="str">
        <v>Periódica</v>
      </c>
      <c r="E4418" s="89">
        <v>365</v>
      </c>
      <c r="F4418" s="89" t="str">
        <v/>
      </c>
      <c r="G4418" s="89" t="str">
        <f ca="1"/>
        <v/>
      </c>
    </row>
    <row r="4419" spans="1:7" x14ac:dyDescent="0.3">
      <c r="A4419" s="89" t="str">
        <v/>
      </c>
      <c r="B4419" s="89" t="str">
        <v xml:space="preserve">Seguridad con Escaleras </v>
      </c>
      <c r="C4419" s="90" t="str">
        <v/>
      </c>
      <c r="D4419" s="89" t="str">
        <v>Periódica</v>
      </c>
      <c r="E4419" s="89">
        <v>365</v>
      </c>
      <c r="F4419" s="89" t="str">
        <v/>
      </c>
      <c r="G4419" s="89" t="str">
        <f ca="1"/>
        <v/>
      </c>
    </row>
    <row r="4420" spans="1:7" x14ac:dyDescent="0.3">
      <c r="A4420" s="89" t="str">
        <v/>
      </c>
      <c r="B4420" s="89" t="str">
        <v>Seguridad con Escaleras // Estantes de Almacenamiento</v>
      </c>
      <c r="C4420" s="90" t="str">
        <v/>
      </c>
      <c r="D4420" s="89" t="str">
        <v>Periódica</v>
      </c>
      <c r="E4420" s="89">
        <v>365</v>
      </c>
      <c r="F4420" s="89" t="str">
        <v/>
      </c>
      <c r="G4420" s="89" t="str">
        <f ca="1"/>
        <v/>
      </c>
    </row>
    <row r="4421" spans="1:7" x14ac:dyDescent="0.3">
      <c r="A4421" s="89" t="str">
        <v/>
      </c>
      <c r="B4421" s="89" t="str">
        <v>Responsabilidades del Supervisor</v>
      </c>
      <c r="C4421" s="90" t="str">
        <v/>
      </c>
      <c r="D4421" s="89" t="str">
        <v>Periódica</v>
      </c>
      <c r="E4421" s="89">
        <v>365</v>
      </c>
      <c r="F4421" s="89" t="str">
        <v/>
      </c>
      <c r="G4421" s="89" t="str">
        <f ca="1"/>
        <v/>
      </c>
    </row>
    <row r="4422" spans="1:7" x14ac:dyDescent="0.3">
      <c r="A4422" s="89" t="str">
        <v/>
      </c>
      <c r="B4422" s="89" t="str">
        <v>Espacios Confinados (Todos)</v>
      </c>
      <c r="C4422" s="90" t="str">
        <v/>
      </c>
      <c r="D4422" s="89" t="str">
        <v>Periódica</v>
      </c>
      <c r="E4422" s="89">
        <v>365</v>
      </c>
      <c r="F4422" s="89" t="str">
        <v/>
      </c>
      <c r="G4422" s="89" t="str">
        <f ca="1"/>
        <v/>
      </c>
    </row>
    <row r="4423" spans="1:7" x14ac:dyDescent="0.3">
      <c r="A4423" s="89" t="str">
        <v/>
      </c>
      <c r="B4423" s="89" t="str">
        <v>HSMS.017 / Espacios Confinados (Entrantes)</v>
      </c>
      <c r="C4423" s="90" t="str">
        <v/>
      </c>
      <c r="D4423" s="89" t="str">
        <v>Evento</v>
      </c>
      <c r="E4423" s="89">
        <v>0</v>
      </c>
      <c r="F4423" s="89" t="str">
        <v/>
      </c>
      <c r="G4423" s="89" t="str">
        <f ca="1"/>
        <v/>
      </c>
    </row>
    <row r="4424" spans="1:7" x14ac:dyDescent="0.3">
      <c r="A4424" s="89" t="str">
        <v/>
      </c>
      <c r="B4424" s="89" t="str">
        <v>Programa de Agua (Todos)</v>
      </c>
      <c r="C4424" s="90" t="str">
        <v/>
      </c>
      <c r="D4424" s="89" t="str">
        <v>Evento</v>
      </c>
      <c r="E4424" s="89">
        <v>0</v>
      </c>
      <c r="F4424" s="89" t="str">
        <v/>
      </c>
      <c r="G4424" s="89" t="str">
        <f ca="1"/>
        <v/>
      </c>
    </row>
    <row r="4425" spans="1:7" x14ac:dyDescent="0.3">
      <c r="A4425" s="89" t="str">
        <v/>
      </c>
      <c r="B4425" s="89" t="str">
        <v>Programa de Agua (HSE)</v>
      </c>
      <c r="C4425" s="90" t="str">
        <v/>
      </c>
      <c r="D4425" s="89" t="str">
        <v>Evento</v>
      </c>
      <c r="E4425" s="89">
        <v>0</v>
      </c>
      <c r="F4425" s="89" t="str">
        <v/>
      </c>
      <c r="G4425" s="89" t="str">
        <f ca="1"/>
        <v/>
      </c>
    </row>
    <row r="4426" spans="1:7" x14ac:dyDescent="0.3">
      <c r="A4426" s="89" t="str">
        <v/>
      </c>
      <c r="B4426" s="89" t="str">
        <v>HIV/SIDA y otras enfermedades de transmisión sexual (ETS)</v>
      </c>
      <c r="C4426" s="90" t="str">
        <v/>
      </c>
      <c r="D4426" s="89" t="str">
        <v>Periódica</v>
      </c>
      <c r="E4426" s="89">
        <v>365</v>
      </c>
      <c r="F4426" s="89" t="str">
        <v/>
      </c>
      <c r="G4426" s="89" t="str">
        <f ca="1"/>
        <v/>
      </c>
    </row>
    <row r="4427" spans="1:7" x14ac:dyDescent="0.3">
      <c r="A4427" s="89" t="str">
        <v/>
      </c>
      <c r="B4427" s="89" t="str">
        <v>Drogas de abuso (concientización y prevención)</v>
      </c>
      <c r="C4427" s="90" t="str">
        <v/>
      </c>
      <c r="D4427" s="89" t="str">
        <v>Periódica</v>
      </c>
      <c r="E4427" s="89">
        <v>365</v>
      </c>
      <c r="F4427" s="89" t="str">
        <v/>
      </c>
      <c r="G4427" s="89" t="str">
        <f ca="1"/>
        <v/>
      </c>
    </row>
    <row r="4428" spans="1:7" x14ac:dyDescent="0.3">
      <c r="A4428" s="89" t="str">
        <v/>
      </c>
      <c r="B4428" s="89" t="str">
        <v>Vida saludable (hábitos, autocuidado y bienestar)</v>
      </c>
      <c r="C4428" s="90" t="str">
        <v/>
      </c>
      <c r="D4428" s="89" t="str">
        <v>Periódica</v>
      </c>
      <c r="E4428" s="89">
        <v>365</v>
      </c>
      <c r="F4428" s="89" t="str">
        <v/>
      </c>
      <c r="G4428" s="89" t="str">
        <f ca="1"/>
        <v/>
      </c>
    </row>
    <row r="4429" spans="1:7" x14ac:dyDescent="0.3">
      <c r="A4429" s="89" t="str">
        <v/>
      </c>
      <c r="B4429" s="89" t="str">
        <v>Primeros auxilios y Reanimación Cardio Pulmonar (RCP)</v>
      </c>
      <c r="C4429" s="90" t="str">
        <v/>
      </c>
      <c r="D4429" s="89" t="str">
        <v>Periódica</v>
      </c>
      <c r="E4429" s="89">
        <v>365</v>
      </c>
      <c r="F4429" s="89" t="str">
        <v/>
      </c>
      <c r="G4429" s="89" t="str">
        <f ca="1"/>
        <v/>
      </c>
    </row>
    <row r="4430" spans="1:7" x14ac:dyDescent="0.3">
      <c r="A4430" s="89" t="str">
        <v/>
      </c>
      <c r="B4430" s="89" t="str">
        <v>Prevención cardiovascular (factores de riesgo y señales de alarma)</v>
      </c>
      <c r="C4430" s="90" t="str">
        <v/>
      </c>
      <c r="D4430" s="89" t="str">
        <v>Periódica</v>
      </c>
      <c r="E4430" s="89">
        <v>365</v>
      </c>
      <c r="F4430" s="89" t="str">
        <v/>
      </c>
      <c r="G4430" s="89" t="str">
        <f ca="1"/>
        <v/>
      </c>
    </row>
    <row r="4431" spans="1:7" x14ac:dyDescent="0.3">
      <c r="A4431" s="89" t="str">
        <v/>
      </c>
      <c r="B4431" s="89" t="str">
        <v>Efectos del tabaco sobre la salud</v>
      </c>
      <c r="C4431" s="90" t="str">
        <v/>
      </c>
      <c r="D4431" s="89" t="str">
        <v>Periódica</v>
      </c>
      <c r="E4431" s="89">
        <v>365</v>
      </c>
      <c r="F4431" s="89" t="str">
        <v/>
      </c>
      <c r="G4431" s="89" t="str">
        <f ca="1"/>
        <v/>
      </c>
    </row>
    <row r="4432" spans="1:7" x14ac:dyDescent="0.3">
      <c r="A4432" s="89" t="str">
        <v/>
      </c>
      <c r="B4432" s="89" t="str">
        <v>Cargadora (Op. Montacargas)</v>
      </c>
      <c r="C4432" s="90" t="str">
        <v/>
      </c>
      <c r="D4432" s="89" t="str">
        <v>Periódica</v>
      </c>
      <c r="E4432" s="89">
        <v>365</v>
      </c>
      <c r="F4432" s="89" t="str">
        <v/>
      </c>
      <c r="G4432" s="89" t="str">
        <f ca="1"/>
        <v/>
      </c>
    </row>
    <row r="4433" spans="1:7" x14ac:dyDescent="0.3">
      <c r="A4433" s="89" t="str">
        <v/>
      </c>
      <c r="B4433" s="89">
        <v>0</v>
      </c>
      <c r="C4433" s="90" t="str">
        <v/>
      </c>
      <c r="D4433" s="89" t="str">
        <v/>
      </c>
      <c r="E4433" s="89" t="str">
        <v/>
      </c>
      <c r="F4433" s="89" t="str">
        <v/>
      </c>
      <c r="G4433" s="89" t="str">
        <f ca="1"/>
        <v/>
      </c>
    </row>
    <row r="4434" spans="1:7" x14ac:dyDescent="0.3">
      <c r="A4434" s="89" t="str">
        <v/>
      </c>
      <c r="B4434" s="89">
        <v>0</v>
      </c>
      <c r="C4434" s="90" t="str">
        <v/>
      </c>
      <c r="D4434" s="89" t="str">
        <v/>
      </c>
      <c r="E4434" s="89" t="str">
        <v/>
      </c>
      <c r="F4434" s="89" t="str">
        <v/>
      </c>
      <c r="G4434" s="89" t="str">
        <f ca="1"/>
        <v/>
      </c>
    </row>
    <row r="4435" spans="1:7" x14ac:dyDescent="0.3">
      <c r="A4435" s="89" t="str">
        <v/>
      </c>
      <c r="B4435" s="89">
        <v>0</v>
      </c>
      <c r="C4435" s="90" t="str">
        <v/>
      </c>
      <c r="D4435" s="89" t="str">
        <v/>
      </c>
      <c r="E4435" s="89" t="str">
        <v/>
      </c>
      <c r="F4435" s="89" t="str">
        <v/>
      </c>
      <c r="G4435" s="89" t="str">
        <f ca="1"/>
        <v/>
      </c>
    </row>
    <row r="4436" spans="1:7" x14ac:dyDescent="0.3">
      <c r="A4436" s="89" t="str">
        <v/>
      </c>
      <c r="B4436" s="89">
        <v>0</v>
      </c>
      <c r="C4436" s="90" t="str">
        <v/>
      </c>
      <c r="D4436" s="89" t="str">
        <v/>
      </c>
      <c r="E4436" s="89" t="str">
        <v/>
      </c>
      <c r="F4436" s="89" t="str">
        <v/>
      </c>
      <c r="G4436" s="89" t="str">
        <f ca="1"/>
        <v/>
      </c>
    </row>
    <row r="4437" spans="1:7" x14ac:dyDescent="0.3">
      <c r="A4437" s="89" t="str">
        <v/>
      </c>
      <c r="B4437" s="89">
        <v>0</v>
      </c>
      <c r="C4437" s="90" t="str">
        <v/>
      </c>
      <c r="D4437" s="89" t="str">
        <v/>
      </c>
      <c r="E4437" s="89" t="str">
        <v/>
      </c>
      <c r="F4437" s="89" t="str">
        <v/>
      </c>
      <c r="G4437" s="89" t="str">
        <f ca="1"/>
        <v/>
      </c>
    </row>
    <row r="4438" spans="1:7" x14ac:dyDescent="0.3">
      <c r="A4438" s="89" t="str">
        <v/>
      </c>
      <c r="B4438" s="89">
        <v>0</v>
      </c>
      <c r="C4438" s="90" t="str">
        <v/>
      </c>
      <c r="D4438" s="89" t="str">
        <v/>
      </c>
      <c r="E4438" s="89" t="str">
        <v/>
      </c>
      <c r="F4438" s="89" t="str">
        <v/>
      </c>
      <c r="G4438" s="89" t="str">
        <f ca="1"/>
        <v/>
      </c>
    </row>
    <row r="4439" spans="1:7" x14ac:dyDescent="0.3">
      <c r="A4439" s="89" t="str">
        <v/>
      </c>
      <c r="B4439" s="89">
        <v>0</v>
      </c>
      <c r="C4439" s="90" t="str">
        <v/>
      </c>
      <c r="D4439" s="89" t="str">
        <v/>
      </c>
      <c r="E4439" s="89" t="str">
        <v/>
      </c>
      <c r="F4439" s="89" t="str">
        <v/>
      </c>
      <c r="G4439" s="89" t="str">
        <f ca="1"/>
        <v/>
      </c>
    </row>
    <row r="4440" spans="1:7" x14ac:dyDescent="0.3">
      <c r="A4440" s="89" t="str">
        <v/>
      </c>
      <c r="B4440" s="89">
        <v>0</v>
      </c>
      <c r="C4440" s="90" t="str">
        <v/>
      </c>
      <c r="D4440" s="89" t="str">
        <v/>
      </c>
      <c r="E4440" s="89" t="str">
        <v/>
      </c>
      <c r="F4440" s="89" t="str">
        <v/>
      </c>
      <c r="G4440" s="89" t="str">
        <f ca="1"/>
        <v/>
      </c>
    </row>
    <row r="4441" spans="1:7" x14ac:dyDescent="0.3">
      <c r="A4441" s="89" t="str">
        <v/>
      </c>
      <c r="B4441" s="89">
        <v>0</v>
      </c>
      <c r="C4441" s="90" t="str">
        <v/>
      </c>
      <c r="D4441" s="89" t="str">
        <v/>
      </c>
      <c r="E4441" s="89" t="str">
        <v/>
      </c>
      <c r="F4441" s="89" t="str">
        <v/>
      </c>
      <c r="G4441" s="89" t="str">
        <f ca="1"/>
        <v/>
      </c>
    </row>
    <row r="4442" spans="1:7" x14ac:dyDescent="0.3">
      <c r="A4442" s="89" t="str">
        <v/>
      </c>
      <c r="B4442" s="89" t="str">
        <v>Programa de Aire</v>
      </c>
      <c r="C4442" s="90" t="str">
        <v/>
      </c>
      <c r="D4442" s="89" t="str">
        <v>Evento</v>
      </c>
      <c r="E4442" s="89">
        <v>0</v>
      </c>
      <c r="F4442" s="89" t="str">
        <v/>
      </c>
      <c r="G4442" s="89" t="str">
        <f ca="1"/>
        <v/>
      </c>
    </row>
    <row r="4443" spans="1:7" x14ac:dyDescent="0.3">
      <c r="A4443" s="89" t="str">
        <v/>
      </c>
      <c r="B4443" s="89" t="str">
        <v>Conciencia Ambiental</v>
      </c>
      <c r="C4443" s="90" t="str">
        <v/>
      </c>
      <c r="D4443" s="89" t="str">
        <v>Periódica</v>
      </c>
      <c r="E4443" s="89">
        <v>365</v>
      </c>
      <c r="F4443" s="89" t="str">
        <v/>
      </c>
      <c r="G4443" s="89" t="str">
        <f ca="1"/>
        <v/>
      </c>
    </row>
    <row r="4444" spans="1:7" x14ac:dyDescent="0.3">
      <c r="A4444" s="89" t="str">
        <v/>
      </c>
      <c r="B4444" s="89" t="str">
        <v xml:space="preserve">Control de Documentos e Informacion de HSE </v>
      </c>
      <c r="C4444" s="90" t="str">
        <v/>
      </c>
      <c r="D4444" s="89" t="str">
        <v>Evento</v>
      </c>
      <c r="E4444" s="89">
        <v>0</v>
      </c>
      <c r="F4444" s="89" t="str">
        <v/>
      </c>
      <c r="G4444" s="89" t="str">
        <f ca="1"/>
        <v/>
      </c>
    </row>
    <row r="4445" spans="1:7" x14ac:dyDescent="0.3">
      <c r="A4445" s="89" t="str">
        <v/>
      </c>
      <c r="B4445" s="89" t="str">
        <v xml:space="preserve"> Acciones Correctivas y Preventivas (CAPA)</v>
      </c>
      <c r="C4445" s="90" t="str">
        <v/>
      </c>
      <c r="D4445" s="89" t="str">
        <v>Evento</v>
      </c>
      <c r="E4445" s="89">
        <v>0</v>
      </c>
      <c r="F4445" s="89" t="str">
        <v/>
      </c>
      <c r="G4445" s="89" t="str">
        <f ca="1"/>
        <v/>
      </c>
    </row>
    <row r="4446" spans="1:7" x14ac:dyDescent="0.3">
      <c r="A4446" s="89" t="str">
        <v/>
      </c>
      <c r="B4446" s="89" t="str">
        <v>Seguridad Basada en el Comportamiento (Observation Program) // HSMS.043 / Autoridad de Detener el Trabajo</v>
      </c>
      <c r="C4446" s="90" t="str">
        <v/>
      </c>
      <c r="D4446" s="89" t="str">
        <v>Periódica</v>
      </c>
      <c r="E4446" s="89">
        <v>365</v>
      </c>
      <c r="F4446" s="89" t="str">
        <v/>
      </c>
      <c r="G4446" s="89" t="str">
        <f ca="1"/>
        <v/>
      </c>
    </row>
    <row r="4447" spans="1:7" x14ac:dyDescent="0.3">
      <c r="A4447" s="89" t="str">
        <v/>
      </c>
      <c r="B4447" s="89" t="str">
        <v>Identificacion de Peligros y Evaluacion de Riesgos</v>
      </c>
      <c r="C4447" s="90" t="str">
        <v/>
      </c>
      <c r="D4447" s="89" t="str">
        <v>Evento</v>
      </c>
      <c r="E4447" s="89">
        <v>0</v>
      </c>
      <c r="F4447" s="89" t="str">
        <v/>
      </c>
      <c r="G4447" s="89" t="str">
        <f ca="1"/>
        <v/>
      </c>
    </row>
    <row r="4448" spans="1:7" x14ac:dyDescent="0.3">
      <c r="A4448" s="89" t="str">
        <v/>
      </c>
      <c r="B4448" s="89" t="str">
        <v xml:space="preserve"> Plan de Respuesta ante Eemergencias / HSMS.010 /Primeros Axulios &amp; RCP/DEA / HSMSWT-002 / Patogenos Trasnmitidos por la Sangre</v>
      </c>
      <c r="C4448" s="90" t="str">
        <v/>
      </c>
      <c r="D4448" s="89" t="str">
        <v>Periódica</v>
      </c>
      <c r="E4448" s="89">
        <v>365</v>
      </c>
      <c r="F4448" s="89" t="str">
        <v/>
      </c>
      <c r="G4448" s="89" t="str">
        <f ca="1"/>
        <v/>
      </c>
    </row>
    <row r="4449" spans="1:7" x14ac:dyDescent="0.3">
      <c r="A4449" s="89" t="str">
        <v/>
      </c>
      <c r="B4449" s="89" t="str">
        <v>Reporte y Gestion de Incidentes HSE (Todos)</v>
      </c>
      <c r="C4449" s="90" t="str">
        <v/>
      </c>
      <c r="D4449" s="89" t="str">
        <v>Periódica</v>
      </c>
      <c r="E4449" s="89">
        <v>365</v>
      </c>
      <c r="F4449" s="89" t="str">
        <v/>
      </c>
      <c r="G4449" s="89" t="str">
        <f ca="1"/>
        <v/>
      </c>
    </row>
    <row r="4450" spans="1:7" x14ac:dyDescent="0.3">
      <c r="A4450" s="89" t="str">
        <v/>
      </c>
      <c r="B4450" s="89" t="str">
        <v>Reporte, Gestion e Investigacion de Incidentes HSE (supervisores / investigadores (rol))</v>
      </c>
      <c r="C4450" s="90" t="str">
        <v/>
      </c>
      <c r="D4450" s="89" t="str">
        <v>Periódica</v>
      </c>
      <c r="E4450" s="89">
        <v>1095</v>
      </c>
      <c r="F4450" s="89" t="str">
        <v/>
      </c>
      <c r="G4450" s="89" t="str">
        <f ca="1"/>
        <v/>
      </c>
    </row>
    <row r="4451" spans="1:7" x14ac:dyDescent="0.3">
      <c r="A4451" s="89" t="str">
        <v/>
      </c>
      <c r="B4451" s="89" t="str">
        <v>Gruas y Equipos de Izaje (Todos)</v>
      </c>
      <c r="C4451" s="90" t="str">
        <v/>
      </c>
      <c r="D4451" s="89" t="str">
        <v>Periódica</v>
      </c>
      <c r="E4451" s="89">
        <v>365</v>
      </c>
      <c r="F4451" s="89" t="str">
        <v/>
      </c>
      <c r="G4451" s="89" t="str">
        <f ca="1"/>
        <v/>
      </c>
    </row>
    <row r="4452" spans="1:7" x14ac:dyDescent="0.3">
      <c r="A4452" s="89" t="str">
        <v/>
      </c>
      <c r="B4452" s="89" t="str">
        <v>HSMS.007 / Gruas y Equipos de Izaje (Operadores)</v>
      </c>
      <c r="C4452" s="90" t="str">
        <v/>
      </c>
      <c r="D4452" s="89" t="str">
        <v>Periódica</v>
      </c>
      <c r="E4452" s="89">
        <v>365</v>
      </c>
      <c r="F4452" s="89" t="str">
        <v/>
      </c>
      <c r="G4452" s="89" t="str">
        <f ca="1"/>
        <v/>
      </c>
    </row>
    <row r="4453" spans="1:7" x14ac:dyDescent="0.3">
      <c r="A4453" s="89" t="str">
        <v/>
      </c>
      <c r="B4453" s="89" t="str">
        <v>Proteccion Contra Incendios (Todos)</v>
      </c>
      <c r="C4453" s="90" t="str">
        <v/>
      </c>
      <c r="D4453" s="89" t="str">
        <v>Periódica</v>
      </c>
      <c r="E4453" s="89">
        <v>365</v>
      </c>
      <c r="F4453" s="89" t="str">
        <v/>
      </c>
      <c r="G4453" s="89" t="str">
        <f ca="1"/>
        <v/>
      </c>
    </row>
    <row r="4454" spans="1:7" x14ac:dyDescent="0.3">
      <c r="A4454" s="89" t="str">
        <v/>
      </c>
      <c r="B4454" s="89" t="str">
        <v>Proteccion Contra Incendios (Brigadistas)</v>
      </c>
      <c r="C4454" s="90" t="str">
        <v/>
      </c>
      <c r="D4454" s="89" t="str">
        <v>Periódica</v>
      </c>
      <c r="E4454" s="89">
        <v>365</v>
      </c>
      <c r="F4454" s="89" t="str">
        <v/>
      </c>
      <c r="G4454" s="89" t="str">
        <f ca="1"/>
        <v/>
      </c>
    </row>
    <row r="4455" spans="1:7" x14ac:dyDescent="0.3">
      <c r="A4455" s="89" t="str">
        <v/>
      </c>
      <c r="B4455" s="89" t="str">
        <v>Primeros Auxilios (Brigadistas)</v>
      </c>
      <c r="C4455" s="90" t="str">
        <v/>
      </c>
      <c r="D4455" s="89" t="str">
        <v>Periódica</v>
      </c>
      <c r="E4455" s="89">
        <v>365</v>
      </c>
      <c r="F4455" s="89" t="str">
        <v/>
      </c>
      <c r="G4455" s="89" t="str">
        <f ca="1"/>
        <v/>
      </c>
    </row>
    <row r="4456" spans="1:7" x14ac:dyDescent="0.3">
      <c r="A4456" s="89" t="str">
        <v/>
      </c>
      <c r="B4456" s="89" t="str">
        <v>Seguridad Electrica (Todos)</v>
      </c>
      <c r="C4456" s="90" t="str">
        <v/>
      </c>
      <c r="D4456" s="89" t="str">
        <v>Periódica</v>
      </c>
      <c r="E4456" s="89">
        <v>365</v>
      </c>
      <c r="F4456" s="89" t="str">
        <v/>
      </c>
      <c r="G4456" s="89" t="str">
        <f ca="1"/>
        <v/>
      </c>
    </row>
    <row r="4457" spans="1:7" x14ac:dyDescent="0.3">
      <c r="A4457" s="89" t="str">
        <v/>
      </c>
      <c r="B4457" s="89" t="str">
        <v>Seguridad Electrica (Personal Autorizado)</v>
      </c>
      <c r="C4457" s="90" t="str">
        <v/>
      </c>
      <c r="D4457" s="89" t="str">
        <v>Periódica</v>
      </c>
      <c r="E4457" s="89">
        <v>1095</v>
      </c>
      <c r="F4457" s="89" t="str">
        <v/>
      </c>
      <c r="G4457" s="89" t="str">
        <f ca="1"/>
        <v/>
      </c>
    </row>
    <row r="4458" spans="1:7" x14ac:dyDescent="0.3">
      <c r="A4458" s="89" t="str">
        <v/>
      </c>
      <c r="B4458" s="89" t="str">
        <v>Camiones Industriales Motorizados (PIT) (Todos)</v>
      </c>
      <c r="C4458" s="90" t="str">
        <v/>
      </c>
      <c r="D4458" s="89" t="str">
        <v>Periódica</v>
      </c>
      <c r="E4458" s="89">
        <v>365</v>
      </c>
      <c r="F4458" s="89" t="str">
        <v/>
      </c>
      <c r="G4458" s="89" t="str">
        <f ca="1"/>
        <v/>
      </c>
    </row>
    <row r="4459" spans="1:7" x14ac:dyDescent="0.3">
      <c r="A4459" s="89" t="str">
        <v/>
      </c>
      <c r="B4459" s="89" t="str">
        <v>Camiones Industriales Motorizados (PIT) (Op. Montacargas)</v>
      </c>
      <c r="C4459" s="90" t="str">
        <v/>
      </c>
      <c r="D4459" s="89" t="str">
        <v>Periódica</v>
      </c>
      <c r="E4459" s="89">
        <v>365</v>
      </c>
      <c r="F4459" s="89" t="str">
        <v/>
      </c>
      <c r="G4459" s="89" t="str">
        <f ca="1"/>
        <v/>
      </c>
    </row>
    <row r="4460" spans="1:7" x14ac:dyDescent="0.3">
      <c r="A4460" s="89" t="str">
        <v/>
      </c>
      <c r="B4460" s="89" t="str">
        <v>Control de Energias Peligrosas (LOTO) (Todos)</v>
      </c>
      <c r="C4460" s="90" t="str">
        <v/>
      </c>
      <c r="D4460" s="89" t="str">
        <v>Evento</v>
      </c>
      <c r="E4460" s="89">
        <v>0</v>
      </c>
      <c r="F4460" s="89" t="str">
        <v/>
      </c>
      <c r="G4460" s="89" t="str">
        <f ca="1"/>
        <v/>
      </c>
    </row>
    <row r="4461" spans="1:7" x14ac:dyDescent="0.3">
      <c r="A4461" s="89" t="str">
        <v/>
      </c>
      <c r="B4461" s="89" t="str">
        <v>Control de Energias Peligrosas (LOTO) (Empleados Autorizados)</v>
      </c>
      <c r="C4461" s="90" t="str">
        <v/>
      </c>
      <c r="D4461" s="89" t="str">
        <v>Periódica</v>
      </c>
      <c r="E4461" s="89">
        <v>365</v>
      </c>
      <c r="F4461" s="89" t="str">
        <v/>
      </c>
      <c r="G4461" s="89" t="str">
        <f ca="1"/>
        <v/>
      </c>
    </row>
    <row r="4462" spans="1:7" x14ac:dyDescent="0.3">
      <c r="A4462" s="89" t="str">
        <v/>
      </c>
      <c r="B4462" s="89" t="str">
        <v>Seguridad aplicada al Pozo &amp; Yacimiento</v>
      </c>
      <c r="C4462" s="90" t="str">
        <v/>
      </c>
      <c r="D4462" s="89" t="str">
        <v>Periódica</v>
      </c>
      <c r="E4462" s="89">
        <v>365</v>
      </c>
      <c r="F4462" s="89" t="str">
        <v/>
      </c>
      <c r="G4462" s="89" t="str">
        <f ca="1"/>
        <v/>
      </c>
    </row>
    <row r="4463" spans="1:7" x14ac:dyDescent="0.3">
      <c r="A4463" s="89" t="str">
        <v/>
      </c>
      <c r="B4463" s="89" t="str">
        <v>Las Reglas que Salvan Vidas</v>
      </c>
      <c r="C4463" s="90" t="str">
        <v/>
      </c>
      <c r="D4463" s="89" t="str">
        <v>Periódica</v>
      </c>
      <c r="E4463" s="89">
        <v>365</v>
      </c>
      <c r="F4463" s="89" t="str">
        <v/>
      </c>
      <c r="G4463" s="89" t="str">
        <f ca="1"/>
        <v/>
      </c>
    </row>
    <row r="4464" spans="1:7" x14ac:dyDescent="0.3">
      <c r="A4464" s="89" t="str">
        <v/>
      </c>
      <c r="B4464" s="89" t="str">
        <v xml:space="preserve">Resguardo de Maquinas &amp; Equipos </v>
      </c>
      <c r="C4464" s="90" t="str">
        <v/>
      </c>
      <c r="D4464" s="89" t="str">
        <v>Periódica</v>
      </c>
      <c r="E4464" s="89">
        <v>365</v>
      </c>
      <c r="F4464" s="89" t="str">
        <v/>
      </c>
      <c r="G4464" s="89" t="str">
        <f ca="1"/>
        <v/>
      </c>
    </row>
    <row r="4465" spans="1:7" x14ac:dyDescent="0.3">
      <c r="A4465" s="89" t="str">
        <v/>
      </c>
      <c r="B4465" s="89" t="str">
        <v>Conduccion y Gestion de Viajes (Todos)</v>
      </c>
      <c r="C4465" s="90" t="str">
        <v/>
      </c>
      <c r="D4465" s="89" t="str">
        <v>Periódica</v>
      </c>
      <c r="E4465" s="89">
        <v>730</v>
      </c>
      <c r="F4465" s="89" t="str">
        <v/>
      </c>
      <c r="G4465" s="89" t="str">
        <f ca="1"/>
        <v/>
      </c>
    </row>
    <row r="4466" spans="1:7" x14ac:dyDescent="0.3">
      <c r="A4466" s="89" t="str">
        <v/>
      </c>
      <c r="B4466" s="89" t="str">
        <v>Conduccion y Gestion de Viajes (Conductores)</v>
      </c>
      <c r="C4466" s="90" t="str">
        <v/>
      </c>
      <c r="D4466" s="89" t="str">
        <v>Periódica</v>
      </c>
      <c r="E4466" s="89">
        <v>1095</v>
      </c>
      <c r="F4466" s="89" t="str">
        <v/>
      </c>
      <c r="G4466" s="89" t="str">
        <f ca="1"/>
        <v/>
      </c>
    </row>
    <row r="4467" spans="1:7" x14ac:dyDescent="0.3">
      <c r="A4467" s="89" t="str">
        <v/>
      </c>
      <c r="B4467" s="89" t="str">
        <v>Patogenos Transmitidos por la Sangre</v>
      </c>
      <c r="C4467" s="90" t="str">
        <v/>
      </c>
      <c r="D4467" s="89" t="str">
        <v>Periódica</v>
      </c>
      <c r="E4467" s="89">
        <v>365</v>
      </c>
      <c r="F4467" s="89" t="str">
        <v/>
      </c>
      <c r="G4467" s="89" t="str">
        <f ca="1"/>
        <v/>
      </c>
    </row>
    <row r="4468" spans="1:7" x14ac:dyDescent="0.3">
      <c r="A4468" s="89" t="str">
        <v/>
      </c>
      <c r="B4468" s="89" t="str">
        <v>Conservacion Auditiva</v>
      </c>
      <c r="C4468" s="90" t="str">
        <v/>
      </c>
      <c r="D4468" s="89" t="str">
        <v>Periódica</v>
      </c>
      <c r="E4468" s="89">
        <v>365</v>
      </c>
      <c r="F4468" s="89" t="str">
        <v/>
      </c>
      <c r="G4468" s="89" t="str">
        <f ca="1"/>
        <v/>
      </c>
    </row>
    <row r="4469" spans="1:7" x14ac:dyDescent="0.3">
      <c r="A4469" s="89" t="str">
        <v/>
      </c>
      <c r="B4469" s="89" t="str">
        <v xml:space="preserve">Ergonomia //  / Levantamiento &amp; Seguridad en la Espalda </v>
      </c>
      <c r="C4469" s="90" t="str">
        <v/>
      </c>
      <c r="D4469" s="89" t="str">
        <v>Periódica</v>
      </c>
      <c r="E4469" s="89">
        <v>365</v>
      </c>
      <c r="F4469" s="89" t="str">
        <v/>
      </c>
      <c r="G4469" s="89" t="str">
        <f ca="1"/>
        <v/>
      </c>
    </row>
    <row r="4470" spans="1:7" x14ac:dyDescent="0.3">
      <c r="A4470" s="89" t="str">
        <v/>
      </c>
      <c r="B4470" s="89" t="str">
        <v>Superficies Elevadas (Todos)</v>
      </c>
      <c r="C4470" s="90" t="str">
        <v/>
      </c>
      <c r="D4470" s="89" t="str">
        <v>Periódica</v>
      </c>
      <c r="E4470" s="89">
        <v>365</v>
      </c>
      <c r="F4470" s="89" t="str">
        <v/>
      </c>
      <c r="G4470" s="89" t="str">
        <f ca="1"/>
        <v/>
      </c>
    </row>
    <row r="4471" spans="1:7" x14ac:dyDescent="0.3">
      <c r="A4471" s="89" t="str">
        <v/>
      </c>
      <c r="B4471" s="89" t="str">
        <v>Superficies Elevadas (Personal Habilitado)</v>
      </c>
      <c r="C4471" s="90" t="str">
        <v/>
      </c>
      <c r="D4471" s="89" t="str">
        <v>Periódica</v>
      </c>
      <c r="E4471" s="89">
        <v>365</v>
      </c>
      <c r="F4471" s="89" t="str">
        <v/>
      </c>
      <c r="G4471" s="89" t="str">
        <f ca="1"/>
        <v/>
      </c>
    </row>
    <row r="4472" spans="1:7" x14ac:dyDescent="0.3">
      <c r="A4472" s="89" t="str">
        <v/>
      </c>
      <c r="B4472" s="89" t="str">
        <v>Seguridad Quimica (Todos)</v>
      </c>
      <c r="C4472" s="90" t="str">
        <v/>
      </c>
      <c r="D4472" s="89" t="str">
        <v>Periódica</v>
      </c>
      <c r="E4472" s="89">
        <v>730</v>
      </c>
      <c r="F4472" s="89" t="str">
        <v/>
      </c>
      <c r="G4472" s="89" t="str">
        <f ca="1"/>
        <v/>
      </c>
    </row>
    <row r="4473" spans="1:7" x14ac:dyDescent="0.3">
      <c r="A4473" s="89" t="str">
        <v/>
      </c>
      <c r="B4473" s="89" t="str">
        <v>Seguridad Quimica (Mantenimiento)</v>
      </c>
      <c r="C4473" s="90" t="str">
        <v/>
      </c>
      <c r="D4473" s="89" t="str">
        <v>Periódica</v>
      </c>
      <c r="E4473" s="89">
        <v>365</v>
      </c>
      <c r="F4473" s="89" t="str">
        <v/>
      </c>
      <c r="G4473" s="89" t="str">
        <f ca="1"/>
        <v/>
      </c>
    </row>
    <row r="4474" spans="1:7" x14ac:dyDescent="0.3">
      <c r="A4474" s="89" t="str">
        <v/>
      </c>
      <c r="B4474" s="89" t="str">
        <v>Seguridad Quimica (Contratistas)</v>
      </c>
      <c r="C4474" s="90" t="str">
        <v/>
      </c>
      <c r="D4474" s="89" t="str">
        <v>Periódica</v>
      </c>
      <c r="E4474" s="89">
        <v>365</v>
      </c>
      <c r="F4474" s="89" t="str">
        <v/>
      </c>
      <c r="G4474" s="89" t="str">
        <f ca="1"/>
        <v/>
      </c>
    </row>
    <row r="4475" spans="1:7" x14ac:dyDescent="0.3">
      <c r="A4475" s="89" t="str">
        <v/>
      </c>
      <c r="B4475" s="89" t="str">
        <v>Seguridad para Trabajos en Caliente</v>
      </c>
      <c r="C4475" s="90" t="str">
        <v/>
      </c>
      <c r="D4475" s="89" t="str">
        <v>Periódica</v>
      </c>
      <c r="E4475" s="89">
        <v>365</v>
      </c>
      <c r="F4475" s="89" t="str">
        <v/>
      </c>
      <c r="G4475" s="89" t="str">
        <f ca="1"/>
        <v/>
      </c>
    </row>
    <row r="4476" spans="1:7" x14ac:dyDescent="0.3">
      <c r="A4476" s="89" t="str">
        <v/>
      </c>
      <c r="B4476" s="89" t="str">
        <v>Seguridad con la Radiacion</v>
      </c>
      <c r="C4476" s="90" t="str">
        <v/>
      </c>
      <c r="D4476" s="89" t="str">
        <v>Periódica</v>
      </c>
      <c r="E4476" s="89">
        <v>365</v>
      </c>
      <c r="F4476" s="89" t="str">
        <v/>
      </c>
      <c r="G4476" s="89" t="str">
        <f ca="1"/>
        <v/>
      </c>
    </row>
    <row r="4477" spans="1:7" x14ac:dyDescent="0.3">
      <c r="A4477" s="89" t="str">
        <v/>
      </c>
      <c r="B4477" s="89" t="str">
        <v>Equipo de Proteccion Personal (PPE)</v>
      </c>
      <c r="C4477" s="90" t="str">
        <v/>
      </c>
      <c r="D4477" s="89" t="str">
        <v>Periódica</v>
      </c>
      <c r="E4477" s="89">
        <v>365</v>
      </c>
      <c r="F4477" s="89" t="str">
        <v/>
      </c>
      <c r="G4477" s="89" t="str">
        <f ca="1"/>
        <v/>
      </c>
    </row>
    <row r="4478" spans="1:7" x14ac:dyDescent="0.3">
      <c r="A4478" s="89" t="str">
        <v/>
      </c>
      <c r="B4478" s="89" t="str">
        <v>Proteccion Respiratoria</v>
      </c>
      <c r="C4478" s="90" t="str">
        <v/>
      </c>
      <c r="D4478" s="89" t="str">
        <v>Periódica</v>
      </c>
      <c r="E4478" s="89">
        <v>365</v>
      </c>
      <c r="F4478" s="89" t="str">
        <v/>
      </c>
      <c r="G4478" s="89" t="str">
        <f ca="1"/>
        <v/>
      </c>
    </row>
    <row r="4479" spans="1:7" x14ac:dyDescent="0.3">
      <c r="A4479" s="89" t="str">
        <v/>
      </c>
      <c r="B4479" s="89" t="str">
        <v xml:space="preserve">Seguridad con Escaleras </v>
      </c>
      <c r="C4479" s="90" t="str">
        <v/>
      </c>
      <c r="D4479" s="89" t="str">
        <v>Periódica</v>
      </c>
      <c r="E4479" s="89">
        <v>365</v>
      </c>
      <c r="F4479" s="89" t="str">
        <v/>
      </c>
      <c r="G4479" s="89" t="str">
        <f ca="1"/>
        <v/>
      </c>
    </row>
    <row r="4480" spans="1:7" x14ac:dyDescent="0.3">
      <c r="A4480" s="89" t="str">
        <v/>
      </c>
      <c r="B4480" s="89" t="str">
        <v>Seguridad con Escaleras // Estantes de Almacenamiento</v>
      </c>
      <c r="C4480" s="90" t="str">
        <v/>
      </c>
      <c r="D4480" s="89" t="str">
        <v>Periódica</v>
      </c>
      <c r="E4480" s="89">
        <v>365</v>
      </c>
      <c r="F4480" s="89" t="str">
        <v/>
      </c>
      <c r="G4480" s="89" t="str">
        <f ca="1"/>
        <v/>
      </c>
    </row>
    <row r="4481" spans="1:7" x14ac:dyDescent="0.3">
      <c r="A4481" s="89" t="str">
        <v/>
      </c>
      <c r="B4481" s="89" t="str">
        <v>Responsabilidades del Supervisor</v>
      </c>
      <c r="C4481" s="90" t="str">
        <v/>
      </c>
      <c r="D4481" s="89" t="str">
        <v>Periódica</v>
      </c>
      <c r="E4481" s="89">
        <v>365</v>
      </c>
      <c r="F4481" s="89" t="str">
        <v/>
      </c>
      <c r="G4481" s="89" t="str">
        <f ca="1"/>
        <v/>
      </c>
    </row>
    <row r="4482" spans="1:7" x14ac:dyDescent="0.3">
      <c r="A4482" s="89" t="str">
        <v/>
      </c>
      <c r="B4482" s="89" t="str">
        <v>Espacios Confinados (Todos)</v>
      </c>
      <c r="C4482" s="90" t="str">
        <v/>
      </c>
      <c r="D4482" s="89" t="str">
        <v>Periódica</v>
      </c>
      <c r="E4482" s="89">
        <v>365</v>
      </c>
      <c r="F4482" s="89" t="str">
        <v/>
      </c>
      <c r="G4482" s="89" t="str">
        <f ca="1"/>
        <v/>
      </c>
    </row>
    <row r="4483" spans="1:7" x14ac:dyDescent="0.3">
      <c r="A4483" s="89" t="str">
        <v/>
      </c>
      <c r="B4483" s="89" t="str">
        <v>HSMS.017 / Espacios Confinados (Entrantes)</v>
      </c>
      <c r="C4483" s="90" t="str">
        <v/>
      </c>
      <c r="D4483" s="89" t="str">
        <v>Evento</v>
      </c>
      <c r="E4483" s="89">
        <v>0</v>
      </c>
      <c r="F4483" s="89" t="str">
        <v/>
      </c>
      <c r="G4483" s="89" t="str">
        <f ca="1"/>
        <v/>
      </c>
    </row>
    <row r="4484" spans="1:7" x14ac:dyDescent="0.3">
      <c r="A4484" s="89" t="str">
        <v/>
      </c>
      <c r="B4484" s="89" t="str">
        <v>Programa de Agua (Todos)</v>
      </c>
      <c r="C4484" s="90" t="str">
        <v/>
      </c>
      <c r="D4484" s="89" t="str">
        <v>Evento</v>
      </c>
      <c r="E4484" s="89">
        <v>0</v>
      </c>
      <c r="F4484" s="89" t="str">
        <v/>
      </c>
      <c r="G4484" s="89" t="str">
        <f ca="1"/>
        <v/>
      </c>
    </row>
    <row r="4485" spans="1:7" x14ac:dyDescent="0.3">
      <c r="A4485" s="89" t="str">
        <v/>
      </c>
      <c r="B4485" s="89" t="str">
        <v>Programa de Agua (HSE)</v>
      </c>
      <c r="C4485" s="90" t="str">
        <v/>
      </c>
      <c r="D4485" s="89" t="str">
        <v>Evento</v>
      </c>
      <c r="E4485" s="89">
        <v>0</v>
      </c>
      <c r="F4485" s="89" t="str">
        <v/>
      </c>
      <c r="G4485" s="89" t="str">
        <f ca="1"/>
        <v/>
      </c>
    </row>
    <row r="4486" spans="1:7" x14ac:dyDescent="0.3">
      <c r="A4486" s="89" t="str">
        <v/>
      </c>
      <c r="B4486" s="89" t="str">
        <v>HIV/SIDA y otras enfermedades de transmisión sexual (ETS)</v>
      </c>
      <c r="C4486" s="90" t="str">
        <v/>
      </c>
      <c r="D4486" s="89" t="str">
        <v>Periódica</v>
      </c>
      <c r="E4486" s="89">
        <v>365</v>
      </c>
      <c r="F4486" s="89" t="str">
        <v/>
      </c>
      <c r="G4486" s="89" t="str">
        <f ca="1"/>
        <v/>
      </c>
    </row>
    <row r="4487" spans="1:7" x14ac:dyDescent="0.3">
      <c r="A4487" s="89" t="str">
        <v/>
      </c>
      <c r="B4487" s="89" t="str">
        <v>Drogas de abuso (concientización y prevención)</v>
      </c>
      <c r="C4487" s="90" t="str">
        <v/>
      </c>
      <c r="D4487" s="89" t="str">
        <v>Periódica</v>
      </c>
      <c r="E4487" s="89">
        <v>365</v>
      </c>
      <c r="F4487" s="89" t="str">
        <v/>
      </c>
      <c r="G4487" s="89" t="str">
        <f ca="1"/>
        <v/>
      </c>
    </row>
    <row r="4488" spans="1:7" x14ac:dyDescent="0.3">
      <c r="A4488" s="89" t="str">
        <v/>
      </c>
      <c r="B4488" s="89" t="str">
        <v>Vida saludable (hábitos, autocuidado y bienestar)</v>
      </c>
      <c r="C4488" s="90" t="str">
        <v/>
      </c>
      <c r="D4488" s="89" t="str">
        <v>Periódica</v>
      </c>
      <c r="E4488" s="89">
        <v>365</v>
      </c>
      <c r="F4488" s="89" t="str">
        <v/>
      </c>
      <c r="G4488" s="89" t="str">
        <f ca="1"/>
        <v/>
      </c>
    </row>
    <row r="4489" spans="1:7" x14ac:dyDescent="0.3">
      <c r="A4489" s="89" t="str">
        <v/>
      </c>
      <c r="B4489" s="89" t="str">
        <v>Primeros auxilios y Reanimación Cardio Pulmonar (RCP)</v>
      </c>
      <c r="C4489" s="90" t="str">
        <v/>
      </c>
      <c r="D4489" s="89" t="str">
        <v>Periódica</v>
      </c>
      <c r="E4489" s="89">
        <v>365</v>
      </c>
      <c r="F4489" s="89" t="str">
        <v/>
      </c>
      <c r="G4489" s="89" t="str">
        <f ca="1"/>
        <v/>
      </c>
    </row>
    <row r="4490" spans="1:7" x14ac:dyDescent="0.3">
      <c r="A4490" s="89" t="str">
        <v/>
      </c>
      <c r="B4490" s="89" t="str">
        <v>Prevención cardiovascular (factores de riesgo y señales de alarma)</v>
      </c>
      <c r="C4490" s="90" t="str">
        <v/>
      </c>
      <c r="D4490" s="89" t="str">
        <v>Periódica</v>
      </c>
      <c r="E4490" s="89">
        <v>365</v>
      </c>
      <c r="F4490" s="89" t="str">
        <v/>
      </c>
      <c r="G4490" s="89" t="str">
        <f ca="1"/>
        <v/>
      </c>
    </row>
    <row r="4491" spans="1:7" x14ac:dyDescent="0.3">
      <c r="A4491" s="89" t="str">
        <v/>
      </c>
      <c r="B4491" s="89" t="str">
        <v>Efectos del tabaco sobre la salud</v>
      </c>
      <c r="C4491" s="90" t="str">
        <v/>
      </c>
      <c r="D4491" s="89" t="str">
        <v>Periódica</v>
      </c>
      <c r="E4491" s="89">
        <v>365</v>
      </c>
      <c r="F4491" s="89" t="str">
        <v/>
      </c>
      <c r="G4491" s="89" t="str">
        <f ca="1"/>
        <v/>
      </c>
    </row>
    <row r="4492" spans="1:7" x14ac:dyDescent="0.3">
      <c r="A4492" s="89" t="str">
        <v/>
      </c>
      <c r="B4492" s="89" t="str">
        <v>Cargadora (Op. Montacargas)</v>
      </c>
      <c r="C4492" s="90" t="str">
        <v/>
      </c>
      <c r="D4492" s="89" t="str">
        <v>Periódica</v>
      </c>
      <c r="E4492" s="89">
        <v>365</v>
      </c>
      <c r="F4492" s="89" t="str">
        <v/>
      </c>
      <c r="G4492" s="89" t="str">
        <f ca="1"/>
        <v/>
      </c>
    </row>
    <row r="4493" spans="1:7" x14ac:dyDescent="0.3">
      <c r="A4493" s="89" t="str">
        <v/>
      </c>
      <c r="B4493" s="89">
        <v>0</v>
      </c>
      <c r="C4493" s="90" t="str">
        <v/>
      </c>
      <c r="D4493" s="89" t="str">
        <v/>
      </c>
      <c r="E4493" s="89" t="str">
        <v/>
      </c>
      <c r="F4493" s="89" t="str">
        <v/>
      </c>
      <c r="G4493" s="89" t="str">
        <f ca="1"/>
        <v/>
      </c>
    </row>
    <row r="4494" spans="1:7" x14ac:dyDescent="0.3">
      <c r="A4494" s="89" t="str">
        <v/>
      </c>
      <c r="B4494" s="89">
        <v>0</v>
      </c>
      <c r="C4494" s="90" t="str">
        <v/>
      </c>
      <c r="D4494" s="89" t="str">
        <v/>
      </c>
      <c r="E4494" s="89" t="str">
        <v/>
      </c>
      <c r="F4494" s="89" t="str">
        <v/>
      </c>
      <c r="G4494" s="89" t="str">
        <f ca="1"/>
        <v/>
      </c>
    </row>
    <row r="4495" spans="1:7" x14ac:dyDescent="0.3">
      <c r="A4495" s="89" t="str">
        <v/>
      </c>
      <c r="B4495" s="89">
        <v>0</v>
      </c>
      <c r="C4495" s="90" t="str">
        <v/>
      </c>
      <c r="D4495" s="89" t="str">
        <v/>
      </c>
      <c r="E4495" s="89" t="str">
        <v/>
      </c>
      <c r="F4495" s="89" t="str">
        <v/>
      </c>
      <c r="G4495" s="89" t="str">
        <f ca="1"/>
        <v/>
      </c>
    </row>
    <row r="4496" spans="1:7" x14ac:dyDescent="0.3">
      <c r="A4496" s="89" t="str">
        <v/>
      </c>
      <c r="B4496" s="89">
        <v>0</v>
      </c>
      <c r="C4496" s="90" t="str">
        <v/>
      </c>
      <c r="D4496" s="89" t="str">
        <v/>
      </c>
      <c r="E4496" s="89" t="str">
        <v/>
      </c>
      <c r="F4496" s="89" t="str">
        <v/>
      </c>
      <c r="G4496" s="89" t="str">
        <f ca="1"/>
        <v/>
      </c>
    </row>
    <row r="4497" spans="1:7" x14ac:dyDescent="0.3">
      <c r="A4497" s="89" t="str">
        <v/>
      </c>
      <c r="B4497" s="89">
        <v>0</v>
      </c>
      <c r="C4497" s="90" t="str">
        <v/>
      </c>
      <c r="D4497" s="89" t="str">
        <v/>
      </c>
      <c r="E4497" s="89" t="str">
        <v/>
      </c>
      <c r="F4497" s="89" t="str">
        <v/>
      </c>
      <c r="G4497" s="89" t="str">
        <f ca="1"/>
        <v/>
      </c>
    </row>
    <row r="4498" spans="1:7" x14ac:dyDescent="0.3">
      <c r="A4498" s="89" t="str">
        <v/>
      </c>
      <c r="B4498" s="89">
        <v>0</v>
      </c>
      <c r="C4498" s="90" t="str">
        <v/>
      </c>
      <c r="D4498" s="89" t="str">
        <v/>
      </c>
      <c r="E4498" s="89" t="str">
        <v/>
      </c>
      <c r="F4498" s="89" t="str">
        <v/>
      </c>
      <c r="G4498" s="89" t="str">
        <f ca="1"/>
        <v/>
      </c>
    </row>
    <row r="4499" spans="1:7" x14ac:dyDescent="0.3">
      <c r="A4499" s="89" t="str">
        <v/>
      </c>
      <c r="B4499" s="89">
        <v>0</v>
      </c>
      <c r="C4499" s="90" t="str">
        <v/>
      </c>
      <c r="D4499" s="89" t="str">
        <v/>
      </c>
      <c r="E4499" s="89" t="str">
        <v/>
      </c>
      <c r="F4499" s="89" t="str">
        <v/>
      </c>
      <c r="G4499" s="89" t="str">
        <f ca="1"/>
        <v/>
      </c>
    </row>
    <row r="4500" spans="1:7" x14ac:dyDescent="0.3">
      <c r="A4500" s="89" t="str">
        <v/>
      </c>
      <c r="B4500" s="89">
        <v>0</v>
      </c>
      <c r="C4500" s="90" t="str">
        <v/>
      </c>
      <c r="D4500" s="89" t="str">
        <v/>
      </c>
      <c r="E4500" s="89" t="str">
        <v/>
      </c>
      <c r="F4500" s="89" t="str">
        <v/>
      </c>
      <c r="G4500" s="89" t="str">
        <f ca="1"/>
        <v/>
      </c>
    </row>
    <row r="4501" spans="1:7" x14ac:dyDescent="0.3">
      <c r="A4501" s="89" t="str">
        <v/>
      </c>
      <c r="B4501" s="89">
        <v>0</v>
      </c>
      <c r="C4501" s="90" t="str">
        <v/>
      </c>
      <c r="D4501" s="89" t="str">
        <v/>
      </c>
      <c r="E4501" s="89" t="str">
        <v/>
      </c>
      <c r="F4501" s="89" t="str">
        <v/>
      </c>
      <c r="G4501" s="89" t="str">
        <f ca="1"/>
        <v/>
      </c>
    </row>
    <row r="4502" spans="1:7" x14ac:dyDescent="0.3">
      <c r="A4502" s="89" t="str">
        <v/>
      </c>
      <c r="B4502" s="89" t="str">
        <v>Programa de Aire</v>
      </c>
      <c r="C4502" s="90" t="str">
        <v/>
      </c>
      <c r="D4502" s="89" t="str">
        <v>Evento</v>
      </c>
      <c r="E4502" s="89">
        <v>0</v>
      </c>
      <c r="F4502" s="89" t="str">
        <v/>
      </c>
      <c r="G4502" s="89" t="str">
        <f ca="1"/>
        <v/>
      </c>
    </row>
    <row r="4503" spans="1:7" x14ac:dyDescent="0.3">
      <c r="A4503" s="89" t="str">
        <v/>
      </c>
      <c r="B4503" s="89" t="str">
        <v>Conciencia Ambiental</v>
      </c>
      <c r="C4503" s="90" t="str">
        <v/>
      </c>
      <c r="D4503" s="89" t="str">
        <v>Periódica</v>
      </c>
      <c r="E4503" s="89">
        <v>365</v>
      </c>
      <c r="F4503" s="89" t="str">
        <v/>
      </c>
      <c r="G4503" s="89" t="str">
        <f ca="1"/>
        <v/>
      </c>
    </row>
    <row r="4504" spans="1:7" x14ac:dyDescent="0.3">
      <c r="A4504" s="89" t="str">
        <v/>
      </c>
      <c r="B4504" s="89" t="str">
        <v xml:space="preserve">Control de Documentos e Informacion de HSE </v>
      </c>
      <c r="C4504" s="90" t="str">
        <v/>
      </c>
      <c r="D4504" s="89" t="str">
        <v>Evento</v>
      </c>
      <c r="E4504" s="89">
        <v>0</v>
      </c>
      <c r="F4504" s="89" t="str">
        <v/>
      </c>
      <c r="G4504" s="89" t="str">
        <f ca="1"/>
        <v/>
      </c>
    </row>
    <row r="4505" spans="1:7" x14ac:dyDescent="0.3">
      <c r="A4505" s="89" t="str">
        <v/>
      </c>
      <c r="B4505" s="89" t="str">
        <v xml:space="preserve"> Acciones Correctivas y Preventivas (CAPA)</v>
      </c>
      <c r="C4505" s="90" t="str">
        <v/>
      </c>
      <c r="D4505" s="89" t="str">
        <v>Evento</v>
      </c>
      <c r="E4505" s="89">
        <v>0</v>
      </c>
      <c r="F4505" s="89" t="str">
        <v/>
      </c>
      <c r="G4505" s="89" t="str">
        <f ca="1"/>
        <v/>
      </c>
    </row>
    <row r="4506" spans="1:7" x14ac:dyDescent="0.3">
      <c r="A4506" s="89" t="str">
        <v/>
      </c>
      <c r="B4506" s="89" t="str">
        <v>Seguridad Basada en el Comportamiento (Observation Program) // HSMS.043 / Autoridad de Detener el Trabajo</v>
      </c>
      <c r="C4506" s="90" t="str">
        <v/>
      </c>
      <c r="D4506" s="89" t="str">
        <v>Periódica</v>
      </c>
      <c r="E4506" s="89">
        <v>365</v>
      </c>
      <c r="F4506" s="89" t="str">
        <v/>
      </c>
      <c r="G4506" s="89" t="str">
        <f ca="1"/>
        <v/>
      </c>
    </row>
    <row r="4507" spans="1:7" x14ac:dyDescent="0.3">
      <c r="A4507" s="89" t="str">
        <v/>
      </c>
      <c r="B4507" s="89" t="str">
        <v>Identificacion de Peligros y Evaluacion de Riesgos</v>
      </c>
      <c r="C4507" s="90" t="str">
        <v/>
      </c>
      <c r="D4507" s="89" t="str">
        <v>Evento</v>
      </c>
      <c r="E4507" s="89">
        <v>0</v>
      </c>
      <c r="F4507" s="89" t="str">
        <v/>
      </c>
      <c r="G4507" s="89" t="str">
        <f ca="1"/>
        <v/>
      </c>
    </row>
    <row r="4508" spans="1:7" x14ac:dyDescent="0.3">
      <c r="A4508" s="89" t="str">
        <v/>
      </c>
      <c r="B4508" s="89" t="str">
        <v xml:space="preserve"> Plan de Respuesta ante Eemergencias / HSMS.010 /Primeros Axulios &amp; RCP/DEA / HSMSWT-002 / Patogenos Trasnmitidos por la Sangre</v>
      </c>
      <c r="C4508" s="90" t="str">
        <v/>
      </c>
      <c r="D4508" s="89" t="str">
        <v>Periódica</v>
      </c>
      <c r="E4508" s="89">
        <v>365</v>
      </c>
      <c r="F4508" s="89" t="str">
        <v/>
      </c>
      <c r="G4508" s="89" t="str">
        <f ca="1"/>
        <v/>
      </c>
    </row>
    <row r="4509" spans="1:7" x14ac:dyDescent="0.3">
      <c r="A4509" s="89" t="str">
        <v/>
      </c>
      <c r="B4509" s="89" t="str">
        <v>Reporte y Gestion de Incidentes HSE (Todos)</v>
      </c>
      <c r="C4509" s="90" t="str">
        <v/>
      </c>
      <c r="D4509" s="89" t="str">
        <v>Periódica</v>
      </c>
      <c r="E4509" s="89">
        <v>365</v>
      </c>
      <c r="F4509" s="89" t="str">
        <v/>
      </c>
      <c r="G4509" s="89" t="str">
        <f ca="1"/>
        <v/>
      </c>
    </row>
    <row r="4510" spans="1:7" x14ac:dyDescent="0.3">
      <c r="A4510" s="89" t="str">
        <v/>
      </c>
      <c r="B4510" s="89" t="str">
        <v>Reporte, Gestion e Investigacion de Incidentes HSE (supervisores / investigadores (rol))</v>
      </c>
      <c r="C4510" s="90" t="str">
        <v/>
      </c>
      <c r="D4510" s="89" t="str">
        <v>Periódica</v>
      </c>
      <c r="E4510" s="89">
        <v>1095</v>
      </c>
      <c r="F4510" s="89" t="str">
        <v/>
      </c>
      <c r="G4510" s="89" t="str">
        <f ca="1"/>
        <v/>
      </c>
    </row>
    <row r="4511" spans="1:7" x14ac:dyDescent="0.3">
      <c r="A4511" s="89" t="str">
        <v/>
      </c>
      <c r="B4511" s="89" t="str">
        <v>Gruas y Equipos de Izaje (Todos)</v>
      </c>
      <c r="C4511" s="90" t="str">
        <v/>
      </c>
      <c r="D4511" s="89" t="str">
        <v>Periódica</v>
      </c>
      <c r="E4511" s="89">
        <v>365</v>
      </c>
      <c r="F4511" s="89" t="str">
        <v/>
      </c>
      <c r="G4511" s="89" t="str">
        <f ca="1"/>
        <v/>
      </c>
    </row>
    <row r="4512" spans="1:7" x14ac:dyDescent="0.3">
      <c r="A4512" s="89" t="str">
        <v/>
      </c>
      <c r="B4512" s="89" t="str">
        <v>HSMS.007 / Gruas y Equipos de Izaje (Operadores)</v>
      </c>
      <c r="C4512" s="90" t="str">
        <v/>
      </c>
      <c r="D4512" s="89" t="str">
        <v>Periódica</v>
      </c>
      <c r="E4512" s="89">
        <v>365</v>
      </c>
      <c r="F4512" s="89" t="str">
        <v/>
      </c>
      <c r="G4512" s="89" t="str">
        <f ca="1"/>
        <v/>
      </c>
    </row>
    <row r="4513" spans="1:7" x14ac:dyDescent="0.3">
      <c r="A4513" s="89" t="str">
        <v/>
      </c>
      <c r="B4513" s="89" t="str">
        <v>Proteccion Contra Incendios (Todos)</v>
      </c>
      <c r="C4513" s="90" t="str">
        <v/>
      </c>
      <c r="D4513" s="89" t="str">
        <v>Periódica</v>
      </c>
      <c r="E4513" s="89">
        <v>365</v>
      </c>
      <c r="F4513" s="89" t="str">
        <v/>
      </c>
      <c r="G4513" s="89" t="str">
        <f ca="1"/>
        <v/>
      </c>
    </row>
    <row r="4514" spans="1:7" x14ac:dyDescent="0.3">
      <c r="A4514" s="89" t="str">
        <v/>
      </c>
      <c r="B4514" s="89" t="str">
        <v>Proteccion Contra Incendios (Brigadistas)</v>
      </c>
      <c r="C4514" s="90" t="str">
        <v/>
      </c>
      <c r="D4514" s="89" t="str">
        <v>Periódica</v>
      </c>
      <c r="E4514" s="89">
        <v>365</v>
      </c>
      <c r="F4514" s="89" t="str">
        <v/>
      </c>
      <c r="G4514" s="89" t="str">
        <f ca="1"/>
        <v/>
      </c>
    </row>
    <row r="4515" spans="1:7" x14ac:dyDescent="0.3">
      <c r="A4515" s="89" t="str">
        <v/>
      </c>
      <c r="B4515" s="89" t="str">
        <v>Primeros Auxilios (Brigadistas)</v>
      </c>
      <c r="C4515" s="90" t="str">
        <v/>
      </c>
      <c r="D4515" s="89" t="str">
        <v>Periódica</v>
      </c>
      <c r="E4515" s="89">
        <v>365</v>
      </c>
      <c r="F4515" s="89" t="str">
        <v/>
      </c>
      <c r="G4515" s="89" t="str">
        <f ca="1"/>
        <v/>
      </c>
    </row>
    <row r="4516" spans="1:7" x14ac:dyDescent="0.3">
      <c r="A4516" s="89" t="str">
        <v/>
      </c>
      <c r="B4516" s="89" t="str">
        <v>Seguridad Electrica (Todos)</v>
      </c>
      <c r="C4516" s="90" t="str">
        <v/>
      </c>
      <c r="D4516" s="89" t="str">
        <v>Periódica</v>
      </c>
      <c r="E4516" s="89">
        <v>365</v>
      </c>
      <c r="F4516" s="89" t="str">
        <v/>
      </c>
      <c r="G4516" s="89" t="str">
        <f ca="1"/>
        <v/>
      </c>
    </row>
    <row r="4517" spans="1:7" x14ac:dyDescent="0.3">
      <c r="A4517" s="89" t="str">
        <v/>
      </c>
      <c r="B4517" s="89" t="str">
        <v>Seguridad Electrica (Personal Autorizado)</v>
      </c>
      <c r="C4517" s="90" t="str">
        <v/>
      </c>
      <c r="D4517" s="89" t="str">
        <v>Periódica</v>
      </c>
      <c r="E4517" s="89">
        <v>1095</v>
      </c>
      <c r="F4517" s="89" t="str">
        <v/>
      </c>
      <c r="G4517" s="89" t="str">
        <f ca="1"/>
        <v/>
      </c>
    </row>
    <row r="4518" spans="1:7" x14ac:dyDescent="0.3">
      <c r="A4518" s="89" t="str">
        <v/>
      </c>
      <c r="B4518" s="89" t="str">
        <v>Camiones Industriales Motorizados (PIT) (Todos)</v>
      </c>
      <c r="C4518" s="90" t="str">
        <v/>
      </c>
      <c r="D4518" s="89" t="str">
        <v>Periódica</v>
      </c>
      <c r="E4518" s="89">
        <v>365</v>
      </c>
      <c r="F4518" s="89" t="str">
        <v/>
      </c>
      <c r="G4518" s="89" t="str">
        <f ca="1"/>
        <v/>
      </c>
    </row>
    <row r="4519" spans="1:7" x14ac:dyDescent="0.3">
      <c r="A4519" s="89" t="str">
        <v/>
      </c>
      <c r="B4519" s="89" t="str">
        <v>Camiones Industriales Motorizados (PIT) (Op. Montacargas)</v>
      </c>
      <c r="C4519" s="90" t="str">
        <v/>
      </c>
      <c r="D4519" s="89" t="str">
        <v>Periódica</v>
      </c>
      <c r="E4519" s="89">
        <v>365</v>
      </c>
      <c r="F4519" s="89" t="str">
        <v/>
      </c>
      <c r="G4519" s="89" t="str">
        <f ca="1"/>
        <v/>
      </c>
    </row>
    <row r="4520" spans="1:7" x14ac:dyDescent="0.3">
      <c r="A4520" s="89" t="str">
        <v/>
      </c>
      <c r="B4520" s="89" t="str">
        <v>Control de Energias Peligrosas (LOTO) (Todos)</v>
      </c>
      <c r="C4520" s="90" t="str">
        <v/>
      </c>
      <c r="D4520" s="89" t="str">
        <v>Evento</v>
      </c>
      <c r="E4520" s="89">
        <v>0</v>
      </c>
      <c r="F4520" s="89" t="str">
        <v/>
      </c>
      <c r="G4520" s="89" t="str">
        <f ca="1"/>
        <v/>
      </c>
    </row>
    <row r="4521" spans="1:7" x14ac:dyDescent="0.3">
      <c r="A4521" s="89" t="str">
        <v/>
      </c>
      <c r="B4521" s="89" t="str">
        <v>Control de Energias Peligrosas (LOTO) (Empleados Autorizados)</v>
      </c>
      <c r="C4521" s="90" t="str">
        <v/>
      </c>
      <c r="D4521" s="89" t="str">
        <v>Periódica</v>
      </c>
      <c r="E4521" s="89">
        <v>365</v>
      </c>
      <c r="F4521" s="89" t="str">
        <v/>
      </c>
      <c r="G4521" s="89" t="str">
        <f ca="1"/>
        <v/>
      </c>
    </row>
    <row r="4522" spans="1:7" x14ac:dyDescent="0.3">
      <c r="A4522" s="89" t="str">
        <v/>
      </c>
      <c r="B4522" s="89" t="str">
        <v>Seguridad aplicada al Pozo &amp; Yacimiento</v>
      </c>
      <c r="C4522" s="90" t="str">
        <v/>
      </c>
      <c r="D4522" s="89" t="str">
        <v>Periódica</v>
      </c>
      <c r="E4522" s="89">
        <v>365</v>
      </c>
      <c r="F4522" s="89" t="str">
        <v/>
      </c>
      <c r="G4522" s="89" t="str">
        <f ca="1"/>
        <v/>
      </c>
    </row>
    <row r="4523" spans="1:7" x14ac:dyDescent="0.3">
      <c r="A4523" s="89" t="str">
        <v/>
      </c>
      <c r="B4523" s="89" t="str">
        <v>Las Reglas que Salvan Vidas</v>
      </c>
      <c r="C4523" s="90" t="str">
        <v/>
      </c>
      <c r="D4523" s="89" t="str">
        <v>Periódica</v>
      </c>
      <c r="E4523" s="89">
        <v>365</v>
      </c>
      <c r="F4523" s="89" t="str">
        <v/>
      </c>
      <c r="G4523" s="89" t="str">
        <f ca="1"/>
        <v/>
      </c>
    </row>
    <row r="4524" spans="1:7" x14ac:dyDescent="0.3">
      <c r="A4524" s="89" t="str">
        <v/>
      </c>
      <c r="B4524" s="89" t="str">
        <v xml:space="preserve">Resguardo de Maquinas &amp; Equipos </v>
      </c>
      <c r="C4524" s="90" t="str">
        <v/>
      </c>
      <c r="D4524" s="89" t="str">
        <v>Periódica</v>
      </c>
      <c r="E4524" s="89">
        <v>365</v>
      </c>
      <c r="F4524" s="89" t="str">
        <v/>
      </c>
      <c r="G4524" s="89" t="str">
        <f ca="1"/>
        <v/>
      </c>
    </row>
    <row r="4525" spans="1:7" x14ac:dyDescent="0.3">
      <c r="A4525" s="89" t="str">
        <v/>
      </c>
      <c r="B4525" s="89" t="str">
        <v>Conduccion y Gestion de Viajes (Todos)</v>
      </c>
      <c r="C4525" s="90" t="str">
        <v/>
      </c>
      <c r="D4525" s="89" t="str">
        <v>Periódica</v>
      </c>
      <c r="E4525" s="89">
        <v>730</v>
      </c>
      <c r="F4525" s="89" t="str">
        <v/>
      </c>
      <c r="G4525" s="89" t="str">
        <f ca="1"/>
        <v/>
      </c>
    </row>
    <row r="4526" spans="1:7" x14ac:dyDescent="0.3">
      <c r="A4526" s="89" t="str">
        <v/>
      </c>
      <c r="B4526" s="89" t="str">
        <v>Conduccion y Gestion de Viajes (Conductores)</v>
      </c>
      <c r="C4526" s="90" t="str">
        <v/>
      </c>
      <c r="D4526" s="89" t="str">
        <v>Periódica</v>
      </c>
      <c r="E4526" s="89">
        <v>1095</v>
      </c>
      <c r="F4526" s="89" t="str">
        <v/>
      </c>
      <c r="G4526" s="89" t="str">
        <f ca="1"/>
        <v/>
      </c>
    </row>
    <row r="4527" spans="1:7" x14ac:dyDescent="0.3">
      <c r="A4527" s="89" t="str">
        <v/>
      </c>
      <c r="B4527" s="89" t="str">
        <v>Patogenos Transmitidos por la Sangre</v>
      </c>
      <c r="C4527" s="90" t="str">
        <v/>
      </c>
      <c r="D4527" s="89" t="str">
        <v>Periódica</v>
      </c>
      <c r="E4527" s="89">
        <v>365</v>
      </c>
      <c r="F4527" s="89" t="str">
        <v/>
      </c>
      <c r="G4527" s="89" t="str">
        <f ca="1"/>
        <v/>
      </c>
    </row>
    <row r="4528" spans="1:7" x14ac:dyDescent="0.3">
      <c r="A4528" s="89" t="str">
        <v/>
      </c>
      <c r="B4528" s="89" t="str">
        <v>Conservacion Auditiva</v>
      </c>
      <c r="C4528" s="90" t="str">
        <v/>
      </c>
      <c r="D4528" s="89" t="str">
        <v>Periódica</v>
      </c>
      <c r="E4528" s="89">
        <v>365</v>
      </c>
      <c r="F4528" s="89" t="str">
        <v/>
      </c>
      <c r="G4528" s="89" t="str">
        <f ca="1"/>
        <v/>
      </c>
    </row>
    <row r="4529" spans="1:7" x14ac:dyDescent="0.3">
      <c r="A4529" s="89" t="str">
        <v/>
      </c>
      <c r="B4529" s="89" t="str">
        <v xml:space="preserve">Ergonomia //  / Levantamiento &amp; Seguridad en la Espalda </v>
      </c>
      <c r="C4529" s="90" t="str">
        <v/>
      </c>
      <c r="D4529" s="89" t="str">
        <v>Periódica</v>
      </c>
      <c r="E4529" s="89">
        <v>365</v>
      </c>
      <c r="F4529" s="89" t="str">
        <v/>
      </c>
      <c r="G4529" s="89" t="str">
        <f ca="1"/>
        <v/>
      </c>
    </row>
    <row r="4530" spans="1:7" x14ac:dyDescent="0.3">
      <c r="A4530" s="89" t="str">
        <v/>
      </c>
      <c r="B4530" s="89" t="str">
        <v>Superficies Elevadas (Todos)</v>
      </c>
      <c r="C4530" s="90" t="str">
        <v/>
      </c>
      <c r="D4530" s="89" t="str">
        <v>Periódica</v>
      </c>
      <c r="E4530" s="89">
        <v>365</v>
      </c>
      <c r="F4530" s="89" t="str">
        <v/>
      </c>
      <c r="G4530" s="89" t="str">
        <f ca="1"/>
        <v/>
      </c>
    </row>
    <row r="4531" spans="1:7" x14ac:dyDescent="0.3">
      <c r="A4531" s="89" t="str">
        <v/>
      </c>
      <c r="B4531" s="89" t="str">
        <v>Superficies Elevadas (Personal Habilitado)</v>
      </c>
      <c r="C4531" s="90" t="str">
        <v/>
      </c>
      <c r="D4531" s="89" t="str">
        <v>Periódica</v>
      </c>
      <c r="E4531" s="89">
        <v>365</v>
      </c>
      <c r="F4531" s="89" t="str">
        <v/>
      </c>
      <c r="G4531" s="89" t="str">
        <f ca="1"/>
        <v/>
      </c>
    </row>
    <row r="4532" spans="1:7" x14ac:dyDescent="0.3">
      <c r="A4532" s="89" t="str">
        <v/>
      </c>
      <c r="B4532" s="89" t="str">
        <v>Seguridad Quimica (Todos)</v>
      </c>
      <c r="C4532" s="90" t="str">
        <v/>
      </c>
      <c r="D4532" s="89" t="str">
        <v>Periódica</v>
      </c>
      <c r="E4532" s="89">
        <v>730</v>
      </c>
      <c r="F4532" s="89" t="str">
        <v/>
      </c>
      <c r="G4532" s="89" t="str">
        <f ca="1"/>
        <v/>
      </c>
    </row>
    <row r="4533" spans="1:7" x14ac:dyDescent="0.3">
      <c r="A4533" s="89" t="str">
        <v/>
      </c>
      <c r="B4533" s="89" t="str">
        <v>Seguridad Quimica (Mantenimiento)</v>
      </c>
      <c r="C4533" s="90" t="str">
        <v/>
      </c>
      <c r="D4533" s="89" t="str">
        <v>Periódica</v>
      </c>
      <c r="E4533" s="89">
        <v>365</v>
      </c>
      <c r="F4533" s="89" t="str">
        <v/>
      </c>
      <c r="G4533" s="89" t="str">
        <f ca="1"/>
        <v/>
      </c>
    </row>
    <row r="4534" spans="1:7" x14ac:dyDescent="0.3">
      <c r="A4534" s="89" t="str">
        <v/>
      </c>
      <c r="B4534" s="89" t="str">
        <v>Seguridad Quimica (Contratistas)</v>
      </c>
      <c r="C4534" s="90" t="str">
        <v/>
      </c>
      <c r="D4534" s="89" t="str">
        <v>Periódica</v>
      </c>
      <c r="E4534" s="89">
        <v>365</v>
      </c>
      <c r="F4534" s="89" t="str">
        <v/>
      </c>
      <c r="G4534" s="89" t="str">
        <f ca="1"/>
        <v/>
      </c>
    </row>
    <row r="4535" spans="1:7" x14ac:dyDescent="0.3">
      <c r="A4535" s="89" t="str">
        <v/>
      </c>
      <c r="B4535" s="89" t="str">
        <v>Seguridad para Trabajos en Caliente</v>
      </c>
      <c r="C4535" s="90" t="str">
        <v/>
      </c>
      <c r="D4535" s="89" t="str">
        <v>Periódica</v>
      </c>
      <c r="E4535" s="89">
        <v>365</v>
      </c>
      <c r="F4535" s="89" t="str">
        <v/>
      </c>
      <c r="G4535" s="89" t="str">
        <f ca="1"/>
        <v/>
      </c>
    </row>
    <row r="4536" spans="1:7" x14ac:dyDescent="0.3">
      <c r="A4536" s="89" t="str">
        <v/>
      </c>
      <c r="B4536" s="89" t="str">
        <v>Seguridad con la Radiacion</v>
      </c>
      <c r="C4536" s="90" t="str">
        <v/>
      </c>
      <c r="D4536" s="89" t="str">
        <v>Periódica</v>
      </c>
      <c r="E4536" s="89">
        <v>365</v>
      </c>
      <c r="F4536" s="89" t="str">
        <v/>
      </c>
      <c r="G4536" s="89" t="str">
        <f ca="1"/>
        <v/>
      </c>
    </row>
    <row r="4537" spans="1:7" x14ac:dyDescent="0.3">
      <c r="A4537" s="89" t="str">
        <v/>
      </c>
      <c r="B4537" s="89" t="str">
        <v>Equipo de Proteccion Personal (PPE)</v>
      </c>
      <c r="C4537" s="90" t="str">
        <v/>
      </c>
      <c r="D4537" s="89" t="str">
        <v>Periódica</v>
      </c>
      <c r="E4537" s="89">
        <v>365</v>
      </c>
      <c r="F4537" s="89" t="str">
        <v/>
      </c>
      <c r="G4537" s="89" t="str">
        <f ca="1"/>
        <v/>
      </c>
    </row>
    <row r="4538" spans="1:7" x14ac:dyDescent="0.3">
      <c r="A4538" s="89" t="str">
        <v/>
      </c>
      <c r="B4538" s="89" t="str">
        <v>Proteccion Respiratoria</v>
      </c>
      <c r="C4538" s="90" t="str">
        <v/>
      </c>
      <c r="D4538" s="89" t="str">
        <v>Periódica</v>
      </c>
      <c r="E4538" s="89">
        <v>365</v>
      </c>
      <c r="F4538" s="89" t="str">
        <v/>
      </c>
      <c r="G4538" s="89" t="str">
        <f ca="1"/>
        <v/>
      </c>
    </row>
    <row r="4539" spans="1:7" x14ac:dyDescent="0.3">
      <c r="A4539" s="89" t="str">
        <v/>
      </c>
      <c r="B4539" s="89" t="str">
        <v xml:space="preserve">Seguridad con Escaleras </v>
      </c>
      <c r="C4539" s="90" t="str">
        <v/>
      </c>
      <c r="D4539" s="89" t="str">
        <v>Periódica</v>
      </c>
      <c r="E4539" s="89">
        <v>365</v>
      </c>
      <c r="F4539" s="89" t="str">
        <v/>
      </c>
      <c r="G4539" s="89" t="str">
        <f ca="1"/>
        <v/>
      </c>
    </row>
    <row r="4540" spans="1:7" x14ac:dyDescent="0.3">
      <c r="A4540" s="89" t="str">
        <v/>
      </c>
      <c r="B4540" s="89" t="str">
        <v>Seguridad con Escaleras // Estantes de Almacenamiento</v>
      </c>
      <c r="C4540" s="90" t="str">
        <v/>
      </c>
      <c r="D4540" s="89" t="str">
        <v>Periódica</v>
      </c>
      <c r="E4540" s="89">
        <v>365</v>
      </c>
      <c r="F4540" s="89" t="str">
        <v/>
      </c>
      <c r="G4540" s="89" t="str">
        <f ca="1"/>
        <v/>
      </c>
    </row>
    <row r="4541" spans="1:7" x14ac:dyDescent="0.3">
      <c r="A4541" s="89" t="str">
        <v/>
      </c>
      <c r="B4541" s="89" t="str">
        <v>Responsabilidades del Supervisor</v>
      </c>
      <c r="C4541" s="90" t="str">
        <v/>
      </c>
      <c r="D4541" s="89" t="str">
        <v>Periódica</v>
      </c>
      <c r="E4541" s="89">
        <v>365</v>
      </c>
      <c r="F4541" s="89" t="str">
        <v/>
      </c>
      <c r="G4541" s="89" t="str">
        <f ca="1"/>
        <v/>
      </c>
    </row>
    <row r="4542" spans="1:7" x14ac:dyDescent="0.3">
      <c r="A4542" s="89" t="str">
        <v/>
      </c>
      <c r="B4542" s="89" t="str">
        <v>Espacios Confinados (Todos)</v>
      </c>
      <c r="C4542" s="90" t="str">
        <v/>
      </c>
      <c r="D4542" s="89" t="str">
        <v>Periódica</v>
      </c>
      <c r="E4542" s="89">
        <v>365</v>
      </c>
      <c r="F4542" s="89" t="str">
        <v/>
      </c>
      <c r="G4542" s="89" t="str">
        <f ca="1"/>
        <v/>
      </c>
    </row>
    <row r="4543" spans="1:7" x14ac:dyDescent="0.3">
      <c r="A4543" s="89" t="str">
        <v/>
      </c>
      <c r="B4543" s="89" t="str">
        <v>HSMS.017 / Espacios Confinados (Entrantes)</v>
      </c>
      <c r="C4543" s="90" t="str">
        <v/>
      </c>
      <c r="D4543" s="89" t="str">
        <v>Evento</v>
      </c>
      <c r="E4543" s="89">
        <v>0</v>
      </c>
      <c r="F4543" s="89" t="str">
        <v/>
      </c>
      <c r="G4543" s="89" t="str">
        <f ca="1"/>
        <v/>
      </c>
    </row>
    <row r="4544" spans="1:7" x14ac:dyDescent="0.3">
      <c r="A4544" s="89" t="str">
        <v/>
      </c>
      <c r="B4544" s="89" t="str">
        <v>Programa de Agua (Todos)</v>
      </c>
      <c r="C4544" s="90" t="str">
        <v/>
      </c>
      <c r="D4544" s="89" t="str">
        <v>Evento</v>
      </c>
      <c r="E4544" s="89">
        <v>0</v>
      </c>
      <c r="F4544" s="89" t="str">
        <v/>
      </c>
      <c r="G4544" s="89" t="str">
        <f ca="1"/>
        <v/>
      </c>
    </row>
    <row r="4545" spans="1:7" x14ac:dyDescent="0.3">
      <c r="A4545" s="89" t="str">
        <v/>
      </c>
      <c r="B4545" s="89" t="str">
        <v>Programa de Agua (HSE)</v>
      </c>
      <c r="C4545" s="90" t="str">
        <v/>
      </c>
      <c r="D4545" s="89" t="str">
        <v>Evento</v>
      </c>
      <c r="E4545" s="89">
        <v>0</v>
      </c>
      <c r="F4545" s="89" t="str">
        <v/>
      </c>
      <c r="G4545" s="89" t="str">
        <f ca="1"/>
        <v/>
      </c>
    </row>
    <row r="4546" spans="1:7" x14ac:dyDescent="0.3">
      <c r="A4546" s="89" t="str">
        <v/>
      </c>
      <c r="B4546" s="89" t="str">
        <v>HIV/SIDA y otras enfermedades de transmisión sexual (ETS)</v>
      </c>
      <c r="C4546" s="90" t="str">
        <v/>
      </c>
      <c r="D4546" s="89" t="str">
        <v>Periódica</v>
      </c>
      <c r="E4546" s="89">
        <v>365</v>
      </c>
      <c r="F4546" s="89" t="str">
        <v/>
      </c>
      <c r="G4546" s="89" t="str">
        <f ca="1"/>
        <v/>
      </c>
    </row>
    <row r="4547" spans="1:7" x14ac:dyDescent="0.3">
      <c r="A4547" s="89" t="str">
        <v/>
      </c>
      <c r="B4547" s="89" t="str">
        <v>Drogas de abuso (concientización y prevención)</v>
      </c>
      <c r="C4547" s="90" t="str">
        <v/>
      </c>
      <c r="D4547" s="89" t="str">
        <v>Periódica</v>
      </c>
      <c r="E4547" s="89">
        <v>365</v>
      </c>
      <c r="F4547" s="89" t="str">
        <v/>
      </c>
      <c r="G4547" s="89" t="str">
        <f ca="1"/>
        <v/>
      </c>
    </row>
    <row r="4548" spans="1:7" x14ac:dyDescent="0.3">
      <c r="A4548" s="89" t="str">
        <v/>
      </c>
      <c r="B4548" s="89" t="str">
        <v>Vida saludable (hábitos, autocuidado y bienestar)</v>
      </c>
      <c r="C4548" s="90" t="str">
        <v/>
      </c>
      <c r="D4548" s="89" t="str">
        <v>Periódica</v>
      </c>
      <c r="E4548" s="89">
        <v>365</v>
      </c>
      <c r="F4548" s="89" t="str">
        <v/>
      </c>
      <c r="G4548" s="89" t="str">
        <f ca="1"/>
        <v/>
      </c>
    </row>
    <row r="4549" spans="1:7" x14ac:dyDescent="0.3">
      <c r="A4549" s="89" t="str">
        <v/>
      </c>
      <c r="B4549" s="89" t="str">
        <v>Primeros auxilios y Reanimación Cardio Pulmonar (RCP)</v>
      </c>
      <c r="C4549" s="90" t="str">
        <v/>
      </c>
      <c r="D4549" s="89" t="str">
        <v>Periódica</v>
      </c>
      <c r="E4549" s="89">
        <v>365</v>
      </c>
      <c r="F4549" s="89" t="str">
        <v/>
      </c>
      <c r="G4549" s="89" t="str">
        <f ca="1"/>
        <v/>
      </c>
    </row>
    <row r="4550" spans="1:7" x14ac:dyDescent="0.3">
      <c r="A4550" s="89" t="str">
        <v/>
      </c>
      <c r="B4550" s="89" t="str">
        <v>Prevención cardiovascular (factores de riesgo y señales de alarma)</v>
      </c>
      <c r="C4550" s="90" t="str">
        <v/>
      </c>
      <c r="D4550" s="89" t="str">
        <v>Periódica</v>
      </c>
      <c r="E4550" s="89">
        <v>365</v>
      </c>
      <c r="F4550" s="89" t="str">
        <v/>
      </c>
      <c r="G4550" s="89" t="str">
        <f ca="1"/>
        <v/>
      </c>
    </row>
    <row r="4551" spans="1:7" x14ac:dyDescent="0.3">
      <c r="A4551" s="89" t="str">
        <v/>
      </c>
      <c r="B4551" s="89" t="str">
        <v>Efectos del tabaco sobre la salud</v>
      </c>
      <c r="C4551" s="90" t="str">
        <v/>
      </c>
      <c r="D4551" s="89" t="str">
        <v>Periódica</v>
      </c>
      <c r="E4551" s="89">
        <v>365</v>
      </c>
      <c r="F4551" s="89" t="str">
        <v/>
      </c>
      <c r="G4551" s="89" t="str">
        <f ca="1"/>
        <v/>
      </c>
    </row>
    <row r="4552" spans="1:7" x14ac:dyDescent="0.3">
      <c r="A4552" s="89" t="str">
        <v/>
      </c>
      <c r="B4552" s="89" t="str">
        <v>Cargadora (Op. Montacargas)</v>
      </c>
      <c r="C4552" s="90" t="str">
        <v/>
      </c>
      <c r="D4552" s="89" t="str">
        <v>Periódica</v>
      </c>
      <c r="E4552" s="89">
        <v>365</v>
      </c>
      <c r="F4552" s="89" t="str">
        <v/>
      </c>
      <c r="G4552" s="89" t="str">
        <f ca="1"/>
        <v/>
      </c>
    </row>
    <row r="4553" spans="1:7" x14ac:dyDescent="0.3">
      <c r="A4553" s="89" t="str">
        <v/>
      </c>
      <c r="B4553" s="89">
        <v>0</v>
      </c>
      <c r="C4553" s="90" t="str">
        <v/>
      </c>
      <c r="D4553" s="89" t="str">
        <v/>
      </c>
      <c r="E4553" s="89" t="str">
        <v/>
      </c>
      <c r="F4553" s="89" t="str">
        <v/>
      </c>
      <c r="G4553" s="89" t="str">
        <f ca="1"/>
        <v/>
      </c>
    </row>
    <row r="4554" spans="1:7" x14ac:dyDescent="0.3">
      <c r="A4554" s="89" t="str">
        <v/>
      </c>
      <c r="B4554" s="89">
        <v>0</v>
      </c>
      <c r="C4554" s="90" t="str">
        <v/>
      </c>
      <c r="D4554" s="89" t="str">
        <v/>
      </c>
      <c r="E4554" s="89" t="str">
        <v/>
      </c>
      <c r="F4554" s="89" t="str">
        <v/>
      </c>
      <c r="G4554" s="89" t="str">
        <f ca="1"/>
        <v/>
      </c>
    </row>
    <row r="4555" spans="1:7" x14ac:dyDescent="0.3">
      <c r="A4555" s="89" t="str">
        <v/>
      </c>
      <c r="B4555" s="89">
        <v>0</v>
      </c>
      <c r="C4555" s="90" t="str">
        <v/>
      </c>
      <c r="D4555" s="89" t="str">
        <v/>
      </c>
      <c r="E4555" s="89" t="str">
        <v/>
      </c>
      <c r="F4555" s="89" t="str">
        <v/>
      </c>
      <c r="G4555" s="89" t="str">
        <f ca="1"/>
        <v/>
      </c>
    </row>
    <row r="4556" spans="1:7" x14ac:dyDescent="0.3">
      <c r="A4556" s="89" t="str">
        <v/>
      </c>
      <c r="B4556" s="89">
        <v>0</v>
      </c>
      <c r="C4556" s="90" t="str">
        <v/>
      </c>
      <c r="D4556" s="89" t="str">
        <v/>
      </c>
      <c r="E4556" s="89" t="str">
        <v/>
      </c>
      <c r="F4556" s="89" t="str">
        <v/>
      </c>
      <c r="G4556" s="89" t="str">
        <f ca="1"/>
        <v/>
      </c>
    </row>
    <row r="4557" spans="1:7" x14ac:dyDescent="0.3">
      <c r="A4557" s="89" t="str">
        <v/>
      </c>
      <c r="B4557" s="89">
        <v>0</v>
      </c>
      <c r="C4557" s="90" t="str">
        <v/>
      </c>
      <c r="D4557" s="89" t="str">
        <v/>
      </c>
      <c r="E4557" s="89" t="str">
        <v/>
      </c>
      <c r="F4557" s="89" t="str">
        <v/>
      </c>
      <c r="G4557" s="89" t="str">
        <f ca="1"/>
        <v/>
      </c>
    </row>
    <row r="4558" spans="1:7" x14ac:dyDescent="0.3">
      <c r="A4558" s="89" t="str">
        <v/>
      </c>
      <c r="B4558" s="89">
        <v>0</v>
      </c>
      <c r="C4558" s="90" t="str">
        <v/>
      </c>
      <c r="D4558" s="89" t="str">
        <v/>
      </c>
      <c r="E4558" s="89" t="str">
        <v/>
      </c>
      <c r="F4558" s="89" t="str">
        <v/>
      </c>
      <c r="G4558" s="89" t="str">
        <f ca="1"/>
        <v/>
      </c>
    </row>
    <row r="4559" spans="1:7" x14ac:dyDescent="0.3">
      <c r="A4559" s="89" t="str">
        <v/>
      </c>
      <c r="B4559" s="89">
        <v>0</v>
      </c>
      <c r="C4559" s="90" t="str">
        <v/>
      </c>
      <c r="D4559" s="89" t="str">
        <v/>
      </c>
      <c r="E4559" s="89" t="str">
        <v/>
      </c>
      <c r="F4559" s="89" t="str">
        <v/>
      </c>
      <c r="G4559" s="89" t="str">
        <f ca="1"/>
        <v/>
      </c>
    </row>
    <row r="4560" spans="1:7" x14ac:dyDescent="0.3">
      <c r="A4560" s="89" t="str">
        <v/>
      </c>
      <c r="B4560" s="89">
        <v>0</v>
      </c>
      <c r="C4560" s="90" t="str">
        <v/>
      </c>
      <c r="D4560" s="89" t="str">
        <v/>
      </c>
      <c r="E4560" s="89" t="str">
        <v/>
      </c>
      <c r="F4560" s="89" t="str">
        <v/>
      </c>
      <c r="G4560" s="89" t="str">
        <f ca="1"/>
        <v/>
      </c>
    </row>
    <row r="4561" spans="1:7" x14ac:dyDescent="0.3">
      <c r="A4561" s="89" t="str">
        <v/>
      </c>
      <c r="B4561" s="89">
        <v>0</v>
      </c>
      <c r="C4561" s="90" t="str">
        <v/>
      </c>
      <c r="D4561" s="89" t="str">
        <v/>
      </c>
      <c r="E4561" s="89" t="str">
        <v/>
      </c>
      <c r="F4561" s="89" t="str">
        <v/>
      </c>
      <c r="G4561" s="89" t="str">
        <f ca="1"/>
        <v/>
      </c>
    </row>
    <row r="4562" spans="1:7" x14ac:dyDescent="0.3">
      <c r="A4562" s="89" t="str">
        <v/>
      </c>
      <c r="B4562" s="89" t="str">
        <v>Programa de Aire</v>
      </c>
      <c r="C4562" s="90" t="str">
        <v/>
      </c>
      <c r="D4562" s="89" t="str">
        <v>Evento</v>
      </c>
      <c r="E4562" s="89">
        <v>0</v>
      </c>
      <c r="F4562" s="89" t="str">
        <v/>
      </c>
      <c r="G4562" s="89" t="str">
        <f ca="1"/>
        <v/>
      </c>
    </row>
    <row r="4563" spans="1:7" x14ac:dyDescent="0.3">
      <c r="A4563" s="89" t="str">
        <v/>
      </c>
      <c r="B4563" s="89" t="str">
        <v>Conciencia Ambiental</v>
      </c>
      <c r="C4563" s="90" t="str">
        <v/>
      </c>
      <c r="D4563" s="89" t="str">
        <v>Periódica</v>
      </c>
      <c r="E4563" s="89">
        <v>365</v>
      </c>
      <c r="F4563" s="89" t="str">
        <v/>
      </c>
      <c r="G4563" s="89" t="str">
        <f ca="1"/>
        <v/>
      </c>
    </row>
    <row r="4564" spans="1:7" x14ac:dyDescent="0.3">
      <c r="A4564" s="89" t="str">
        <v/>
      </c>
      <c r="B4564" s="89" t="str">
        <v xml:space="preserve">Control de Documentos e Informacion de HSE </v>
      </c>
      <c r="C4564" s="90" t="str">
        <v/>
      </c>
      <c r="D4564" s="89" t="str">
        <v>Evento</v>
      </c>
      <c r="E4564" s="89">
        <v>0</v>
      </c>
      <c r="F4564" s="89" t="str">
        <v/>
      </c>
      <c r="G4564" s="89" t="str">
        <f ca="1"/>
        <v/>
      </c>
    </row>
    <row r="4565" spans="1:7" x14ac:dyDescent="0.3">
      <c r="A4565" s="89" t="str">
        <v/>
      </c>
      <c r="B4565" s="89" t="str">
        <v xml:space="preserve"> Acciones Correctivas y Preventivas (CAPA)</v>
      </c>
      <c r="C4565" s="90" t="str">
        <v/>
      </c>
      <c r="D4565" s="89" t="str">
        <v>Evento</v>
      </c>
      <c r="E4565" s="89">
        <v>0</v>
      </c>
      <c r="F4565" s="89" t="str">
        <v/>
      </c>
      <c r="G4565" s="89" t="str">
        <f ca="1"/>
        <v/>
      </c>
    </row>
    <row r="4566" spans="1:7" x14ac:dyDescent="0.3">
      <c r="A4566" s="89" t="str">
        <v/>
      </c>
      <c r="B4566" s="89" t="str">
        <v>Seguridad Basada en el Comportamiento (Observation Program) // HSMS.043 / Autoridad de Detener el Trabajo</v>
      </c>
      <c r="C4566" s="90" t="str">
        <v/>
      </c>
      <c r="D4566" s="89" t="str">
        <v>Periódica</v>
      </c>
      <c r="E4566" s="89">
        <v>365</v>
      </c>
      <c r="F4566" s="89" t="str">
        <v/>
      </c>
      <c r="G4566" s="89" t="str">
        <f ca="1"/>
        <v/>
      </c>
    </row>
    <row r="4567" spans="1:7" x14ac:dyDescent="0.3">
      <c r="A4567" s="89" t="str">
        <v/>
      </c>
      <c r="B4567" s="89" t="str">
        <v>Identificacion de Peligros y Evaluacion de Riesgos</v>
      </c>
      <c r="C4567" s="90" t="str">
        <v/>
      </c>
      <c r="D4567" s="89" t="str">
        <v>Evento</v>
      </c>
      <c r="E4567" s="89">
        <v>0</v>
      </c>
      <c r="F4567" s="89" t="str">
        <v/>
      </c>
      <c r="G4567" s="89" t="str">
        <f ca="1"/>
        <v/>
      </c>
    </row>
    <row r="4568" spans="1:7" x14ac:dyDescent="0.3">
      <c r="A4568" s="89" t="str">
        <v/>
      </c>
      <c r="B4568" s="89" t="str">
        <v xml:space="preserve"> Plan de Respuesta ante Eemergencias / HSMS.010 /Primeros Axulios &amp; RCP/DEA / HSMSWT-002 / Patogenos Trasnmitidos por la Sangre</v>
      </c>
      <c r="C4568" s="90" t="str">
        <v/>
      </c>
      <c r="D4568" s="89" t="str">
        <v>Periódica</v>
      </c>
      <c r="E4568" s="89">
        <v>365</v>
      </c>
      <c r="F4568" s="89" t="str">
        <v/>
      </c>
      <c r="G4568" s="89" t="str">
        <f ca="1"/>
        <v/>
      </c>
    </row>
    <row r="4569" spans="1:7" x14ac:dyDescent="0.3">
      <c r="A4569" s="89" t="str">
        <v/>
      </c>
      <c r="B4569" s="89" t="str">
        <v>Reporte y Gestion de Incidentes HSE (Todos)</v>
      </c>
      <c r="C4569" s="90" t="str">
        <v/>
      </c>
      <c r="D4569" s="89" t="str">
        <v>Periódica</v>
      </c>
      <c r="E4569" s="89">
        <v>365</v>
      </c>
      <c r="F4569" s="89" t="str">
        <v/>
      </c>
      <c r="G4569" s="89" t="str">
        <f ca="1"/>
        <v/>
      </c>
    </row>
    <row r="4570" spans="1:7" x14ac:dyDescent="0.3">
      <c r="A4570" s="89" t="str">
        <v/>
      </c>
      <c r="B4570" s="89" t="str">
        <v>Reporte, Gestion e Investigacion de Incidentes HSE (supervisores / investigadores (rol))</v>
      </c>
      <c r="C4570" s="90" t="str">
        <v/>
      </c>
      <c r="D4570" s="89" t="str">
        <v>Periódica</v>
      </c>
      <c r="E4570" s="89">
        <v>1095</v>
      </c>
      <c r="F4570" s="89" t="str">
        <v/>
      </c>
      <c r="G4570" s="89" t="str">
        <f ca="1"/>
        <v/>
      </c>
    </row>
    <row r="4571" spans="1:7" x14ac:dyDescent="0.3">
      <c r="A4571" s="89" t="str">
        <v/>
      </c>
      <c r="B4571" s="89" t="str">
        <v>Gruas y Equipos de Izaje (Todos)</v>
      </c>
      <c r="C4571" s="90" t="str">
        <v/>
      </c>
      <c r="D4571" s="89" t="str">
        <v>Periódica</v>
      </c>
      <c r="E4571" s="89">
        <v>365</v>
      </c>
      <c r="F4571" s="89" t="str">
        <v/>
      </c>
      <c r="G4571" s="89" t="str">
        <f ca="1"/>
        <v/>
      </c>
    </row>
    <row r="4572" spans="1:7" x14ac:dyDescent="0.3">
      <c r="A4572" s="89" t="str">
        <v/>
      </c>
      <c r="B4572" s="89" t="str">
        <v>HSMS.007 / Gruas y Equipos de Izaje (Operadores)</v>
      </c>
      <c r="C4572" s="90" t="str">
        <v/>
      </c>
      <c r="D4572" s="89" t="str">
        <v>Periódica</v>
      </c>
      <c r="E4572" s="89">
        <v>365</v>
      </c>
      <c r="F4572" s="89" t="str">
        <v/>
      </c>
      <c r="G4572" s="89" t="str">
        <f ca="1"/>
        <v/>
      </c>
    </row>
    <row r="4573" spans="1:7" x14ac:dyDescent="0.3">
      <c r="A4573" s="89" t="str">
        <v/>
      </c>
      <c r="B4573" s="89" t="str">
        <v>Proteccion Contra Incendios (Todos)</v>
      </c>
      <c r="C4573" s="90" t="str">
        <v/>
      </c>
      <c r="D4573" s="89" t="str">
        <v>Periódica</v>
      </c>
      <c r="E4573" s="89">
        <v>365</v>
      </c>
      <c r="F4573" s="89" t="str">
        <v/>
      </c>
      <c r="G4573" s="89" t="str">
        <f ca="1"/>
        <v/>
      </c>
    </row>
    <row r="4574" spans="1:7" x14ac:dyDescent="0.3">
      <c r="A4574" s="89" t="str">
        <v/>
      </c>
      <c r="B4574" s="89" t="str">
        <v>Proteccion Contra Incendios (Brigadistas)</v>
      </c>
      <c r="C4574" s="90" t="str">
        <v/>
      </c>
      <c r="D4574" s="89" t="str">
        <v>Periódica</v>
      </c>
      <c r="E4574" s="89">
        <v>365</v>
      </c>
      <c r="F4574" s="89" t="str">
        <v/>
      </c>
      <c r="G4574" s="89" t="str">
        <f ca="1"/>
        <v/>
      </c>
    </row>
    <row r="4575" spans="1:7" x14ac:dyDescent="0.3">
      <c r="A4575" s="89" t="str">
        <v/>
      </c>
      <c r="B4575" s="89" t="str">
        <v>Primeros Auxilios (Brigadistas)</v>
      </c>
      <c r="C4575" s="90" t="str">
        <v/>
      </c>
      <c r="D4575" s="89" t="str">
        <v>Periódica</v>
      </c>
      <c r="E4575" s="89">
        <v>365</v>
      </c>
      <c r="F4575" s="89" t="str">
        <v/>
      </c>
      <c r="G4575" s="89" t="str">
        <f ca="1"/>
        <v/>
      </c>
    </row>
    <row r="4576" spans="1:7" x14ac:dyDescent="0.3">
      <c r="A4576" s="89" t="str">
        <v/>
      </c>
      <c r="B4576" s="89" t="str">
        <v>Seguridad Electrica (Todos)</v>
      </c>
      <c r="C4576" s="90" t="str">
        <v/>
      </c>
      <c r="D4576" s="89" t="str">
        <v>Periódica</v>
      </c>
      <c r="E4576" s="89">
        <v>365</v>
      </c>
      <c r="F4576" s="89" t="str">
        <v/>
      </c>
      <c r="G4576" s="89" t="str">
        <f ca="1"/>
        <v/>
      </c>
    </row>
    <row r="4577" spans="1:7" x14ac:dyDescent="0.3">
      <c r="A4577" s="89" t="str">
        <v/>
      </c>
      <c r="B4577" s="89" t="str">
        <v>Seguridad Electrica (Personal Autorizado)</v>
      </c>
      <c r="C4577" s="90" t="str">
        <v/>
      </c>
      <c r="D4577" s="89" t="str">
        <v>Periódica</v>
      </c>
      <c r="E4577" s="89">
        <v>1095</v>
      </c>
      <c r="F4577" s="89" t="str">
        <v/>
      </c>
      <c r="G4577" s="89" t="str">
        <f ca="1"/>
        <v/>
      </c>
    </row>
    <row r="4578" spans="1:7" x14ac:dyDescent="0.3">
      <c r="A4578" s="89" t="str">
        <v/>
      </c>
      <c r="B4578" s="89" t="str">
        <v>Camiones Industriales Motorizados (PIT) (Todos)</v>
      </c>
      <c r="C4578" s="90" t="str">
        <v/>
      </c>
      <c r="D4578" s="89" t="str">
        <v>Periódica</v>
      </c>
      <c r="E4578" s="89">
        <v>365</v>
      </c>
      <c r="F4578" s="89" t="str">
        <v/>
      </c>
      <c r="G4578" s="89" t="str">
        <f ca="1"/>
        <v/>
      </c>
    </row>
    <row r="4579" spans="1:7" x14ac:dyDescent="0.3">
      <c r="A4579" s="89" t="str">
        <v/>
      </c>
      <c r="B4579" s="89" t="str">
        <v>Camiones Industriales Motorizados (PIT) (Op. Montacargas)</v>
      </c>
      <c r="C4579" s="90" t="str">
        <v/>
      </c>
      <c r="D4579" s="89" t="str">
        <v>Periódica</v>
      </c>
      <c r="E4579" s="89">
        <v>365</v>
      </c>
      <c r="F4579" s="89" t="str">
        <v/>
      </c>
      <c r="G4579" s="89" t="str">
        <f ca="1"/>
        <v/>
      </c>
    </row>
    <row r="4580" spans="1:7" x14ac:dyDescent="0.3">
      <c r="A4580" s="89" t="str">
        <v/>
      </c>
      <c r="B4580" s="89" t="str">
        <v>Control de Energias Peligrosas (LOTO) (Todos)</v>
      </c>
      <c r="C4580" s="90" t="str">
        <v/>
      </c>
      <c r="D4580" s="89" t="str">
        <v>Evento</v>
      </c>
      <c r="E4580" s="89">
        <v>0</v>
      </c>
      <c r="F4580" s="89" t="str">
        <v/>
      </c>
      <c r="G4580" s="89" t="str">
        <f ca="1"/>
        <v/>
      </c>
    </row>
    <row r="4581" spans="1:7" x14ac:dyDescent="0.3">
      <c r="A4581" s="89" t="str">
        <v/>
      </c>
      <c r="B4581" s="89" t="str">
        <v>Control de Energias Peligrosas (LOTO) (Empleados Autorizados)</v>
      </c>
      <c r="C4581" s="90" t="str">
        <v/>
      </c>
      <c r="D4581" s="89" t="str">
        <v>Periódica</v>
      </c>
      <c r="E4581" s="89">
        <v>365</v>
      </c>
      <c r="F4581" s="89" t="str">
        <v/>
      </c>
      <c r="G4581" s="89" t="str">
        <f ca="1"/>
        <v/>
      </c>
    </row>
    <row r="4582" spans="1:7" x14ac:dyDescent="0.3">
      <c r="A4582" s="89" t="str">
        <v/>
      </c>
      <c r="B4582" s="89" t="str">
        <v>Seguridad aplicada al Pozo &amp; Yacimiento</v>
      </c>
      <c r="C4582" s="90" t="str">
        <v/>
      </c>
      <c r="D4582" s="89" t="str">
        <v>Periódica</v>
      </c>
      <c r="E4582" s="89">
        <v>365</v>
      </c>
      <c r="F4582" s="89" t="str">
        <v/>
      </c>
      <c r="G4582" s="89" t="str">
        <f ca="1"/>
        <v/>
      </c>
    </row>
    <row r="4583" spans="1:7" x14ac:dyDescent="0.3">
      <c r="A4583" s="89" t="str">
        <v/>
      </c>
      <c r="B4583" s="89" t="str">
        <v>Las Reglas que Salvan Vidas</v>
      </c>
      <c r="C4583" s="90" t="str">
        <v/>
      </c>
      <c r="D4583" s="89" t="str">
        <v>Periódica</v>
      </c>
      <c r="E4583" s="89">
        <v>365</v>
      </c>
      <c r="F4583" s="89" t="str">
        <v/>
      </c>
      <c r="G4583" s="89" t="str">
        <f ca="1"/>
        <v/>
      </c>
    </row>
    <row r="4584" spans="1:7" x14ac:dyDescent="0.3">
      <c r="A4584" s="89" t="str">
        <v/>
      </c>
      <c r="B4584" s="89" t="str">
        <v xml:space="preserve">Resguardo de Maquinas &amp; Equipos </v>
      </c>
      <c r="C4584" s="90" t="str">
        <v/>
      </c>
      <c r="D4584" s="89" t="str">
        <v>Periódica</v>
      </c>
      <c r="E4584" s="89">
        <v>365</v>
      </c>
      <c r="F4584" s="89" t="str">
        <v/>
      </c>
      <c r="G4584" s="89" t="str">
        <f ca="1"/>
        <v/>
      </c>
    </row>
    <row r="4585" spans="1:7" x14ac:dyDescent="0.3">
      <c r="A4585" s="89" t="str">
        <v/>
      </c>
      <c r="B4585" s="89" t="str">
        <v>Conduccion y Gestion de Viajes (Todos)</v>
      </c>
      <c r="C4585" s="90" t="str">
        <v/>
      </c>
      <c r="D4585" s="89" t="str">
        <v>Periódica</v>
      </c>
      <c r="E4585" s="89">
        <v>730</v>
      </c>
      <c r="F4585" s="89" t="str">
        <v/>
      </c>
      <c r="G4585" s="89" t="str">
        <f ca="1"/>
        <v/>
      </c>
    </row>
    <row r="4586" spans="1:7" x14ac:dyDescent="0.3">
      <c r="A4586" s="89" t="str">
        <v/>
      </c>
      <c r="B4586" s="89" t="str">
        <v>Conduccion y Gestion de Viajes (Conductores)</v>
      </c>
      <c r="C4586" s="90" t="str">
        <v/>
      </c>
      <c r="D4586" s="89" t="str">
        <v>Periódica</v>
      </c>
      <c r="E4586" s="89">
        <v>1095</v>
      </c>
      <c r="F4586" s="89" t="str">
        <v/>
      </c>
      <c r="G4586" s="89" t="str">
        <f ca="1"/>
        <v/>
      </c>
    </row>
    <row r="4587" spans="1:7" x14ac:dyDescent="0.3">
      <c r="A4587" s="89" t="str">
        <v/>
      </c>
      <c r="B4587" s="89" t="str">
        <v>Patogenos Transmitidos por la Sangre</v>
      </c>
      <c r="C4587" s="90" t="str">
        <v/>
      </c>
      <c r="D4587" s="89" t="str">
        <v>Periódica</v>
      </c>
      <c r="E4587" s="89">
        <v>365</v>
      </c>
      <c r="F4587" s="89" t="str">
        <v/>
      </c>
      <c r="G4587" s="89" t="str">
        <f ca="1"/>
        <v/>
      </c>
    </row>
    <row r="4588" spans="1:7" x14ac:dyDescent="0.3">
      <c r="A4588" s="89" t="str">
        <v/>
      </c>
      <c r="B4588" s="89" t="str">
        <v>Conservacion Auditiva</v>
      </c>
      <c r="C4588" s="90" t="str">
        <v/>
      </c>
      <c r="D4588" s="89" t="str">
        <v>Periódica</v>
      </c>
      <c r="E4588" s="89">
        <v>365</v>
      </c>
      <c r="F4588" s="89" t="str">
        <v/>
      </c>
      <c r="G4588" s="89" t="str">
        <f ca="1"/>
        <v/>
      </c>
    </row>
    <row r="4589" spans="1:7" x14ac:dyDescent="0.3">
      <c r="A4589" s="89" t="str">
        <v/>
      </c>
      <c r="B4589" s="89" t="str">
        <v xml:space="preserve">Ergonomia //  / Levantamiento &amp; Seguridad en la Espalda </v>
      </c>
      <c r="C4589" s="90" t="str">
        <v/>
      </c>
      <c r="D4589" s="89" t="str">
        <v>Periódica</v>
      </c>
      <c r="E4589" s="89">
        <v>365</v>
      </c>
      <c r="F4589" s="89" t="str">
        <v/>
      </c>
      <c r="G4589" s="89" t="str">
        <f ca="1"/>
        <v/>
      </c>
    </row>
    <row r="4590" spans="1:7" x14ac:dyDescent="0.3">
      <c r="A4590" s="89" t="str">
        <v/>
      </c>
      <c r="B4590" s="89" t="str">
        <v>Superficies Elevadas (Todos)</v>
      </c>
      <c r="C4590" s="90" t="str">
        <v/>
      </c>
      <c r="D4590" s="89" t="str">
        <v>Periódica</v>
      </c>
      <c r="E4590" s="89">
        <v>365</v>
      </c>
      <c r="F4590" s="89" t="str">
        <v/>
      </c>
      <c r="G4590" s="89" t="str">
        <f ca="1"/>
        <v/>
      </c>
    </row>
    <row r="4591" spans="1:7" x14ac:dyDescent="0.3">
      <c r="A4591" s="89" t="str">
        <v/>
      </c>
      <c r="B4591" s="89" t="str">
        <v>Superficies Elevadas (Personal Habilitado)</v>
      </c>
      <c r="C4591" s="90" t="str">
        <v/>
      </c>
      <c r="D4591" s="89" t="str">
        <v>Periódica</v>
      </c>
      <c r="E4591" s="89">
        <v>365</v>
      </c>
      <c r="F4591" s="89" t="str">
        <v/>
      </c>
      <c r="G4591" s="89" t="str">
        <f ca="1"/>
        <v/>
      </c>
    </row>
    <row r="4592" spans="1:7" x14ac:dyDescent="0.3">
      <c r="A4592" s="89" t="str">
        <v/>
      </c>
      <c r="B4592" s="89" t="str">
        <v>Seguridad Quimica (Todos)</v>
      </c>
      <c r="C4592" s="90" t="str">
        <v/>
      </c>
      <c r="D4592" s="89" t="str">
        <v>Periódica</v>
      </c>
      <c r="E4592" s="89">
        <v>730</v>
      </c>
      <c r="F4592" s="89" t="str">
        <v/>
      </c>
      <c r="G4592" s="89" t="str">
        <f ca="1"/>
        <v/>
      </c>
    </row>
    <row r="4593" spans="1:7" x14ac:dyDescent="0.3">
      <c r="A4593" s="89" t="str">
        <v/>
      </c>
      <c r="B4593" s="89" t="str">
        <v>Seguridad Quimica (Mantenimiento)</v>
      </c>
      <c r="C4593" s="90" t="str">
        <v/>
      </c>
      <c r="D4593" s="89" t="str">
        <v>Periódica</v>
      </c>
      <c r="E4593" s="89">
        <v>365</v>
      </c>
      <c r="F4593" s="89" t="str">
        <v/>
      </c>
      <c r="G4593" s="89" t="str">
        <f ca="1"/>
        <v/>
      </c>
    </row>
    <row r="4594" spans="1:7" x14ac:dyDescent="0.3">
      <c r="A4594" s="89" t="str">
        <v/>
      </c>
      <c r="B4594" s="89" t="str">
        <v>Seguridad Quimica (Contratistas)</v>
      </c>
      <c r="C4594" s="90" t="str">
        <v/>
      </c>
      <c r="D4594" s="89" t="str">
        <v>Periódica</v>
      </c>
      <c r="E4594" s="89">
        <v>365</v>
      </c>
      <c r="F4594" s="89" t="str">
        <v/>
      </c>
      <c r="G4594" s="89" t="str">
        <f ca="1"/>
        <v/>
      </c>
    </row>
    <row r="4595" spans="1:7" x14ac:dyDescent="0.3">
      <c r="A4595" s="89" t="str">
        <v/>
      </c>
      <c r="B4595" s="89" t="str">
        <v>Seguridad para Trabajos en Caliente</v>
      </c>
      <c r="C4595" s="90" t="str">
        <v/>
      </c>
      <c r="D4595" s="89" t="str">
        <v>Periódica</v>
      </c>
      <c r="E4595" s="89">
        <v>365</v>
      </c>
      <c r="F4595" s="89" t="str">
        <v/>
      </c>
      <c r="G4595" s="89" t="str">
        <f ca="1"/>
        <v/>
      </c>
    </row>
    <row r="4596" spans="1:7" x14ac:dyDescent="0.3">
      <c r="A4596" s="89" t="str">
        <v/>
      </c>
      <c r="B4596" s="89" t="str">
        <v>Seguridad con la Radiacion</v>
      </c>
      <c r="C4596" s="90" t="str">
        <v/>
      </c>
      <c r="D4596" s="89" t="str">
        <v>Periódica</v>
      </c>
      <c r="E4596" s="89">
        <v>365</v>
      </c>
      <c r="F4596" s="89" t="str">
        <v/>
      </c>
      <c r="G4596" s="89" t="str">
        <f ca="1"/>
        <v/>
      </c>
    </row>
    <row r="4597" spans="1:7" x14ac:dyDescent="0.3">
      <c r="A4597" s="89" t="str">
        <v/>
      </c>
      <c r="B4597" s="89" t="str">
        <v>Equipo de Proteccion Personal (PPE)</v>
      </c>
      <c r="C4597" s="90" t="str">
        <v/>
      </c>
      <c r="D4597" s="89" t="str">
        <v>Periódica</v>
      </c>
      <c r="E4597" s="89">
        <v>365</v>
      </c>
      <c r="F4597" s="89" t="str">
        <v/>
      </c>
      <c r="G4597" s="89" t="str">
        <f ca="1"/>
        <v/>
      </c>
    </row>
    <row r="4598" spans="1:7" x14ac:dyDescent="0.3">
      <c r="A4598" s="89" t="str">
        <v/>
      </c>
      <c r="B4598" s="89" t="str">
        <v>Proteccion Respiratoria</v>
      </c>
      <c r="C4598" s="90" t="str">
        <v/>
      </c>
      <c r="D4598" s="89" t="str">
        <v>Periódica</v>
      </c>
      <c r="E4598" s="89">
        <v>365</v>
      </c>
      <c r="F4598" s="89" t="str">
        <v/>
      </c>
      <c r="G4598" s="89" t="str">
        <f ca="1"/>
        <v/>
      </c>
    </row>
    <row r="4599" spans="1:7" x14ac:dyDescent="0.3">
      <c r="A4599" s="89" t="str">
        <v/>
      </c>
      <c r="B4599" s="89" t="str">
        <v xml:space="preserve">Seguridad con Escaleras </v>
      </c>
      <c r="C4599" s="90" t="str">
        <v/>
      </c>
      <c r="D4599" s="89" t="str">
        <v>Periódica</v>
      </c>
      <c r="E4599" s="89">
        <v>365</v>
      </c>
      <c r="F4599" s="89" t="str">
        <v/>
      </c>
      <c r="G4599" s="89" t="str">
        <f ca="1"/>
        <v/>
      </c>
    </row>
    <row r="4600" spans="1:7" x14ac:dyDescent="0.3">
      <c r="A4600" s="89" t="str">
        <v/>
      </c>
      <c r="B4600" s="89" t="str">
        <v>Seguridad con Escaleras // Estantes de Almacenamiento</v>
      </c>
      <c r="C4600" s="90" t="str">
        <v/>
      </c>
      <c r="D4600" s="89" t="str">
        <v>Periódica</v>
      </c>
      <c r="E4600" s="89">
        <v>365</v>
      </c>
      <c r="F4600" s="89" t="str">
        <v/>
      </c>
      <c r="G4600" s="89" t="str">
        <f ca="1"/>
        <v/>
      </c>
    </row>
    <row r="4601" spans="1:7" x14ac:dyDescent="0.3">
      <c r="A4601" s="89" t="str">
        <v/>
      </c>
      <c r="B4601" s="89" t="str">
        <v>Responsabilidades del Supervisor</v>
      </c>
      <c r="C4601" s="90" t="str">
        <v/>
      </c>
      <c r="D4601" s="89" t="str">
        <v>Periódica</v>
      </c>
      <c r="E4601" s="89">
        <v>365</v>
      </c>
      <c r="F4601" s="89" t="str">
        <v/>
      </c>
      <c r="G4601" s="89" t="str">
        <f ca="1"/>
        <v/>
      </c>
    </row>
    <row r="4602" spans="1:7" x14ac:dyDescent="0.3">
      <c r="A4602" s="89" t="str">
        <v/>
      </c>
      <c r="B4602" s="89" t="str">
        <v>Espacios Confinados (Todos)</v>
      </c>
      <c r="C4602" s="90" t="str">
        <v/>
      </c>
      <c r="D4602" s="89" t="str">
        <v>Periódica</v>
      </c>
      <c r="E4602" s="89">
        <v>365</v>
      </c>
      <c r="F4602" s="89" t="str">
        <v/>
      </c>
      <c r="G4602" s="89" t="str">
        <f ca="1"/>
        <v/>
      </c>
    </row>
    <row r="4603" spans="1:7" x14ac:dyDescent="0.3">
      <c r="A4603" s="89" t="str">
        <v/>
      </c>
      <c r="B4603" s="89" t="str">
        <v>HSMS.017 / Espacios Confinados (Entrantes)</v>
      </c>
      <c r="C4603" s="90" t="str">
        <v/>
      </c>
      <c r="D4603" s="89" t="str">
        <v>Evento</v>
      </c>
      <c r="E4603" s="89">
        <v>0</v>
      </c>
      <c r="F4603" s="89" t="str">
        <v/>
      </c>
      <c r="G4603" s="89" t="str">
        <f ca="1"/>
        <v/>
      </c>
    </row>
    <row r="4604" spans="1:7" x14ac:dyDescent="0.3">
      <c r="A4604" s="89" t="str">
        <v/>
      </c>
      <c r="B4604" s="89" t="str">
        <v>Programa de Agua (Todos)</v>
      </c>
      <c r="C4604" s="90" t="str">
        <v/>
      </c>
      <c r="D4604" s="89" t="str">
        <v>Evento</v>
      </c>
      <c r="E4604" s="89">
        <v>0</v>
      </c>
      <c r="F4604" s="89" t="str">
        <v/>
      </c>
      <c r="G4604" s="89" t="str">
        <f ca="1"/>
        <v/>
      </c>
    </row>
    <row r="4605" spans="1:7" x14ac:dyDescent="0.3">
      <c r="A4605" s="89" t="str">
        <v/>
      </c>
      <c r="B4605" s="89" t="str">
        <v>Programa de Agua (HSE)</v>
      </c>
      <c r="C4605" s="90" t="str">
        <v/>
      </c>
      <c r="D4605" s="89" t="str">
        <v>Evento</v>
      </c>
      <c r="E4605" s="89">
        <v>0</v>
      </c>
      <c r="F4605" s="89" t="str">
        <v/>
      </c>
      <c r="G4605" s="89" t="str">
        <f ca="1"/>
        <v/>
      </c>
    </row>
    <row r="4606" spans="1:7" x14ac:dyDescent="0.3">
      <c r="A4606" s="89" t="str">
        <v/>
      </c>
      <c r="B4606" s="89" t="str">
        <v>HIV/SIDA y otras enfermedades de transmisión sexual (ETS)</v>
      </c>
      <c r="C4606" s="90" t="str">
        <v/>
      </c>
      <c r="D4606" s="89" t="str">
        <v>Periódica</v>
      </c>
      <c r="E4606" s="89">
        <v>365</v>
      </c>
      <c r="F4606" s="89" t="str">
        <v/>
      </c>
      <c r="G4606" s="89" t="str">
        <f ca="1"/>
        <v/>
      </c>
    </row>
    <row r="4607" spans="1:7" x14ac:dyDescent="0.3">
      <c r="A4607" s="89" t="str">
        <v/>
      </c>
      <c r="B4607" s="89" t="str">
        <v>Drogas de abuso (concientización y prevención)</v>
      </c>
      <c r="C4607" s="90" t="str">
        <v/>
      </c>
      <c r="D4607" s="89" t="str">
        <v>Periódica</v>
      </c>
      <c r="E4607" s="89">
        <v>365</v>
      </c>
      <c r="F4607" s="89" t="str">
        <v/>
      </c>
      <c r="G4607" s="89" t="str">
        <f ca="1"/>
        <v/>
      </c>
    </row>
    <row r="4608" spans="1:7" x14ac:dyDescent="0.3">
      <c r="A4608" s="89" t="str">
        <v/>
      </c>
      <c r="B4608" s="89" t="str">
        <v>Vida saludable (hábitos, autocuidado y bienestar)</v>
      </c>
      <c r="C4608" s="90" t="str">
        <v/>
      </c>
      <c r="D4608" s="89" t="str">
        <v>Periódica</v>
      </c>
      <c r="E4608" s="89">
        <v>365</v>
      </c>
      <c r="F4608" s="89" t="str">
        <v/>
      </c>
      <c r="G4608" s="89" t="str">
        <f ca="1"/>
        <v/>
      </c>
    </row>
    <row r="4609" spans="1:7" x14ac:dyDescent="0.3">
      <c r="A4609" s="89" t="str">
        <v/>
      </c>
      <c r="B4609" s="89" t="str">
        <v>Primeros auxilios y Reanimación Cardio Pulmonar (RCP)</v>
      </c>
      <c r="C4609" s="90" t="str">
        <v/>
      </c>
      <c r="D4609" s="89" t="str">
        <v>Periódica</v>
      </c>
      <c r="E4609" s="89">
        <v>365</v>
      </c>
      <c r="F4609" s="89" t="str">
        <v/>
      </c>
      <c r="G4609" s="89" t="str">
        <f ca="1"/>
        <v/>
      </c>
    </row>
    <row r="4610" spans="1:7" x14ac:dyDescent="0.3">
      <c r="A4610" s="89" t="str">
        <v/>
      </c>
      <c r="B4610" s="89" t="str">
        <v>Prevención cardiovascular (factores de riesgo y señales de alarma)</v>
      </c>
      <c r="C4610" s="90" t="str">
        <v/>
      </c>
      <c r="D4610" s="89" t="str">
        <v>Periódica</v>
      </c>
      <c r="E4610" s="89">
        <v>365</v>
      </c>
      <c r="F4610" s="89" t="str">
        <v/>
      </c>
      <c r="G4610" s="89" t="str">
        <f ca="1"/>
        <v/>
      </c>
    </row>
    <row r="4611" spans="1:7" x14ac:dyDescent="0.3">
      <c r="A4611" s="89" t="str">
        <v/>
      </c>
      <c r="B4611" s="89" t="str">
        <v>Efectos del tabaco sobre la salud</v>
      </c>
      <c r="C4611" s="90" t="str">
        <v/>
      </c>
      <c r="D4611" s="89" t="str">
        <v>Periódica</v>
      </c>
      <c r="E4611" s="89">
        <v>365</v>
      </c>
      <c r="F4611" s="89" t="str">
        <v/>
      </c>
      <c r="G4611" s="89" t="str">
        <f ca="1"/>
        <v/>
      </c>
    </row>
    <row r="4612" spans="1:7" x14ac:dyDescent="0.3">
      <c r="A4612" s="89" t="str">
        <v/>
      </c>
      <c r="B4612" s="89" t="str">
        <v>Cargadora (Op. Montacargas)</v>
      </c>
      <c r="C4612" s="90" t="str">
        <v/>
      </c>
      <c r="D4612" s="89" t="str">
        <v>Periódica</v>
      </c>
      <c r="E4612" s="89">
        <v>365</v>
      </c>
      <c r="F4612" s="89" t="str">
        <v/>
      </c>
      <c r="G4612" s="89" t="str">
        <f ca="1"/>
        <v/>
      </c>
    </row>
    <row r="4613" spans="1:7" x14ac:dyDescent="0.3">
      <c r="A4613" s="89" t="str">
        <v/>
      </c>
      <c r="B4613" s="89">
        <v>0</v>
      </c>
      <c r="C4613" s="90" t="str">
        <v/>
      </c>
      <c r="D4613" s="89" t="str">
        <v/>
      </c>
      <c r="E4613" s="89" t="str">
        <v/>
      </c>
      <c r="F4613" s="89" t="str">
        <v/>
      </c>
      <c r="G4613" s="89" t="str">
        <f ca="1"/>
        <v/>
      </c>
    </row>
    <row r="4614" spans="1:7" x14ac:dyDescent="0.3">
      <c r="A4614" s="89" t="str">
        <v/>
      </c>
      <c r="B4614" s="89">
        <v>0</v>
      </c>
      <c r="C4614" s="90" t="str">
        <v/>
      </c>
      <c r="D4614" s="89" t="str">
        <v/>
      </c>
      <c r="E4614" s="89" t="str">
        <v/>
      </c>
      <c r="F4614" s="89" t="str">
        <v/>
      </c>
      <c r="G4614" s="89" t="str">
        <f ca="1"/>
        <v/>
      </c>
    </row>
    <row r="4615" spans="1:7" x14ac:dyDescent="0.3">
      <c r="A4615" s="89" t="str">
        <v/>
      </c>
      <c r="B4615" s="89">
        <v>0</v>
      </c>
      <c r="C4615" s="90" t="str">
        <v/>
      </c>
      <c r="D4615" s="89" t="str">
        <v/>
      </c>
      <c r="E4615" s="89" t="str">
        <v/>
      </c>
      <c r="F4615" s="89" t="str">
        <v/>
      </c>
      <c r="G4615" s="89" t="str">
        <f ca="1"/>
        <v/>
      </c>
    </row>
    <row r="4616" spans="1:7" x14ac:dyDescent="0.3">
      <c r="A4616" s="89" t="str">
        <v/>
      </c>
      <c r="B4616" s="89">
        <v>0</v>
      </c>
      <c r="C4616" s="90" t="str">
        <v/>
      </c>
      <c r="D4616" s="89" t="str">
        <v/>
      </c>
      <c r="E4616" s="89" t="str">
        <v/>
      </c>
      <c r="F4616" s="89" t="str">
        <v/>
      </c>
      <c r="G4616" s="89" t="str">
        <f ca="1"/>
        <v/>
      </c>
    </row>
    <row r="4617" spans="1:7" x14ac:dyDescent="0.3">
      <c r="A4617" s="89" t="str">
        <v/>
      </c>
      <c r="B4617" s="89">
        <v>0</v>
      </c>
      <c r="C4617" s="90" t="str">
        <v/>
      </c>
      <c r="D4617" s="89" t="str">
        <v/>
      </c>
      <c r="E4617" s="89" t="str">
        <v/>
      </c>
      <c r="F4617" s="89" t="str">
        <v/>
      </c>
      <c r="G4617" s="89" t="str">
        <f ca="1"/>
        <v/>
      </c>
    </row>
    <row r="4618" spans="1:7" x14ac:dyDescent="0.3">
      <c r="A4618" s="89" t="str">
        <v/>
      </c>
      <c r="B4618" s="89">
        <v>0</v>
      </c>
      <c r="C4618" s="90" t="str">
        <v/>
      </c>
      <c r="D4618" s="89" t="str">
        <v/>
      </c>
      <c r="E4618" s="89" t="str">
        <v/>
      </c>
      <c r="F4618" s="89" t="str">
        <v/>
      </c>
      <c r="G4618" s="89" t="str">
        <f ca="1"/>
        <v/>
      </c>
    </row>
    <row r="4619" spans="1:7" x14ac:dyDescent="0.3">
      <c r="A4619" s="89" t="str">
        <v/>
      </c>
      <c r="B4619" s="89">
        <v>0</v>
      </c>
      <c r="C4619" s="90" t="str">
        <v/>
      </c>
      <c r="D4619" s="89" t="str">
        <v/>
      </c>
      <c r="E4619" s="89" t="str">
        <v/>
      </c>
      <c r="F4619" s="89" t="str">
        <v/>
      </c>
      <c r="G4619" s="89" t="str">
        <f ca="1"/>
        <v/>
      </c>
    </row>
    <row r="4620" spans="1:7" x14ac:dyDescent="0.3">
      <c r="A4620" s="89" t="str">
        <v/>
      </c>
      <c r="B4620" s="89">
        <v>0</v>
      </c>
      <c r="C4620" s="90" t="str">
        <v/>
      </c>
      <c r="D4620" s="89" t="str">
        <v/>
      </c>
      <c r="E4620" s="89" t="str">
        <v/>
      </c>
      <c r="F4620" s="89" t="str">
        <v/>
      </c>
      <c r="G4620" s="89" t="str">
        <f ca="1"/>
        <v/>
      </c>
    </row>
    <row r="4621" spans="1:7" x14ac:dyDescent="0.3">
      <c r="A4621" s="89" t="str">
        <v/>
      </c>
      <c r="B4621" s="89">
        <v>0</v>
      </c>
      <c r="C4621" s="90" t="str">
        <v/>
      </c>
      <c r="D4621" s="89" t="str">
        <v/>
      </c>
      <c r="E4621" s="89" t="str">
        <v/>
      </c>
      <c r="F4621" s="89" t="str">
        <v/>
      </c>
      <c r="G4621" s="89" t="str">
        <f ca="1"/>
        <v/>
      </c>
    </row>
    <row r="4622" spans="1:7" x14ac:dyDescent="0.3">
      <c r="A4622" s="89" t="str">
        <v/>
      </c>
      <c r="B4622" s="89" t="str">
        <v>Programa de Aire</v>
      </c>
      <c r="C4622" s="90" t="str">
        <v/>
      </c>
      <c r="D4622" s="89" t="str">
        <v>Evento</v>
      </c>
      <c r="E4622" s="89">
        <v>0</v>
      </c>
      <c r="F4622" s="89" t="str">
        <v/>
      </c>
      <c r="G4622" s="89" t="str">
        <f ca="1"/>
        <v/>
      </c>
    </row>
    <row r="4623" spans="1:7" x14ac:dyDescent="0.3">
      <c r="A4623" s="89" t="str">
        <v/>
      </c>
      <c r="B4623" s="89" t="str">
        <v>Conciencia Ambiental</v>
      </c>
      <c r="C4623" s="90" t="str">
        <v/>
      </c>
      <c r="D4623" s="89" t="str">
        <v>Periódica</v>
      </c>
      <c r="E4623" s="89">
        <v>365</v>
      </c>
      <c r="F4623" s="89" t="str">
        <v/>
      </c>
      <c r="G4623" s="89" t="str">
        <f ca="1"/>
        <v/>
      </c>
    </row>
    <row r="4624" spans="1:7" x14ac:dyDescent="0.3">
      <c r="A4624" s="89" t="str">
        <v/>
      </c>
      <c r="B4624" s="89" t="str">
        <v xml:space="preserve">Control de Documentos e Informacion de HSE </v>
      </c>
      <c r="C4624" s="90" t="str">
        <v/>
      </c>
      <c r="D4624" s="89" t="str">
        <v>Evento</v>
      </c>
      <c r="E4624" s="89">
        <v>0</v>
      </c>
      <c r="F4624" s="89" t="str">
        <v/>
      </c>
      <c r="G4624" s="89" t="str">
        <f ca="1"/>
        <v/>
      </c>
    </row>
    <row r="4625" spans="1:7" x14ac:dyDescent="0.3">
      <c r="A4625" s="89" t="str">
        <v/>
      </c>
      <c r="B4625" s="89" t="str">
        <v xml:space="preserve"> Acciones Correctivas y Preventivas (CAPA)</v>
      </c>
      <c r="C4625" s="90" t="str">
        <v/>
      </c>
      <c r="D4625" s="89" t="str">
        <v>Evento</v>
      </c>
      <c r="E4625" s="89">
        <v>0</v>
      </c>
      <c r="F4625" s="89" t="str">
        <v/>
      </c>
      <c r="G4625" s="89" t="str">
        <f ca="1"/>
        <v/>
      </c>
    </row>
    <row r="4626" spans="1:7" x14ac:dyDescent="0.3">
      <c r="A4626" s="89" t="str">
        <v/>
      </c>
      <c r="B4626" s="89" t="str">
        <v>Seguridad Basada en el Comportamiento (Observation Program) // HSMS.043 / Autoridad de Detener el Trabajo</v>
      </c>
      <c r="C4626" s="90" t="str">
        <v/>
      </c>
      <c r="D4626" s="89" t="str">
        <v>Periódica</v>
      </c>
      <c r="E4626" s="89">
        <v>365</v>
      </c>
      <c r="F4626" s="89" t="str">
        <v/>
      </c>
      <c r="G4626" s="89" t="str">
        <f ca="1"/>
        <v/>
      </c>
    </row>
    <row r="4627" spans="1:7" x14ac:dyDescent="0.3">
      <c r="A4627" s="89" t="str">
        <v/>
      </c>
      <c r="B4627" s="89" t="str">
        <v>Identificacion de Peligros y Evaluacion de Riesgos</v>
      </c>
      <c r="C4627" s="90" t="str">
        <v/>
      </c>
      <c r="D4627" s="89" t="str">
        <v>Evento</v>
      </c>
      <c r="E4627" s="89">
        <v>0</v>
      </c>
      <c r="F4627" s="89" t="str">
        <v/>
      </c>
      <c r="G4627" s="89" t="str">
        <f ca="1"/>
        <v/>
      </c>
    </row>
    <row r="4628" spans="1:7" x14ac:dyDescent="0.3">
      <c r="A4628" s="89" t="str">
        <v/>
      </c>
      <c r="B4628" s="89" t="str">
        <v xml:space="preserve"> Plan de Respuesta ante Eemergencias / HSMS.010 /Primeros Axulios &amp; RCP/DEA / HSMSWT-002 / Patogenos Trasnmitidos por la Sangre</v>
      </c>
      <c r="C4628" s="90" t="str">
        <v/>
      </c>
      <c r="D4628" s="89" t="str">
        <v>Periódica</v>
      </c>
      <c r="E4628" s="89">
        <v>365</v>
      </c>
      <c r="F4628" s="89" t="str">
        <v/>
      </c>
      <c r="G4628" s="89" t="str">
        <f ca="1"/>
        <v/>
      </c>
    </row>
    <row r="4629" spans="1:7" x14ac:dyDescent="0.3">
      <c r="A4629" s="89" t="str">
        <v/>
      </c>
      <c r="B4629" s="89" t="str">
        <v>Reporte y Gestion de Incidentes HSE (Todos)</v>
      </c>
      <c r="C4629" s="90" t="str">
        <v/>
      </c>
      <c r="D4629" s="89" t="str">
        <v>Periódica</v>
      </c>
      <c r="E4629" s="89">
        <v>365</v>
      </c>
      <c r="F4629" s="89" t="str">
        <v/>
      </c>
      <c r="G4629" s="89" t="str">
        <f ca="1"/>
        <v/>
      </c>
    </row>
    <row r="4630" spans="1:7" x14ac:dyDescent="0.3">
      <c r="A4630" s="89" t="str">
        <v/>
      </c>
      <c r="B4630" s="89" t="str">
        <v>Reporte, Gestion e Investigacion de Incidentes HSE (supervisores / investigadores (rol))</v>
      </c>
      <c r="C4630" s="90" t="str">
        <v/>
      </c>
      <c r="D4630" s="89" t="str">
        <v>Periódica</v>
      </c>
      <c r="E4630" s="89">
        <v>1095</v>
      </c>
      <c r="F4630" s="89" t="str">
        <v/>
      </c>
      <c r="G4630" s="89" t="str">
        <f ca="1"/>
        <v/>
      </c>
    </row>
    <row r="4631" spans="1:7" x14ac:dyDescent="0.3">
      <c r="A4631" s="89" t="str">
        <v/>
      </c>
      <c r="B4631" s="89" t="str">
        <v>Gruas y Equipos de Izaje (Todos)</v>
      </c>
      <c r="C4631" s="90" t="str">
        <v/>
      </c>
      <c r="D4631" s="89" t="str">
        <v>Periódica</v>
      </c>
      <c r="E4631" s="89">
        <v>365</v>
      </c>
      <c r="F4631" s="89" t="str">
        <v/>
      </c>
      <c r="G4631" s="89" t="str">
        <f ca="1"/>
        <v/>
      </c>
    </row>
    <row r="4632" spans="1:7" x14ac:dyDescent="0.3">
      <c r="A4632" s="89" t="str">
        <v/>
      </c>
      <c r="B4632" s="89" t="str">
        <v>HSMS.007 / Gruas y Equipos de Izaje (Operadores)</v>
      </c>
      <c r="C4632" s="90" t="str">
        <v/>
      </c>
      <c r="D4632" s="89" t="str">
        <v>Periódica</v>
      </c>
      <c r="E4632" s="89">
        <v>365</v>
      </c>
      <c r="F4632" s="89" t="str">
        <v/>
      </c>
      <c r="G4632" s="89" t="str">
        <f ca="1"/>
        <v/>
      </c>
    </row>
    <row r="4633" spans="1:7" x14ac:dyDescent="0.3">
      <c r="A4633" s="89" t="str">
        <v/>
      </c>
      <c r="B4633" s="89" t="str">
        <v>Proteccion Contra Incendios (Todos)</v>
      </c>
      <c r="C4633" s="90" t="str">
        <v/>
      </c>
      <c r="D4633" s="89" t="str">
        <v>Periódica</v>
      </c>
      <c r="E4633" s="89">
        <v>365</v>
      </c>
      <c r="F4633" s="89" t="str">
        <v/>
      </c>
      <c r="G4633" s="89" t="str">
        <f ca="1"/>
        <v/>
      </c>
    </row>
    <row r="4634" spans="1:7" x14ac:dyDescent="0.3">
      <c r="A4634" s="89" t="str">
        <v/>
      </c>
      <c r="B4634" s="89" t="str">
        <v>Proteccion Contra Incendios (Brigadistas)</v>
      </c>
      <c r="C4634" s="90" t="str">
        <v/>
      </c>
      <c r="D4634" s="89" t="str">
        <v>Periódica</v>
      </c>
      <c r="E4634" s="89">
        <v>365</v>
      </c>
      <c r="F4634" s="89" t="str">
        <v/>
      </c>
      <c r="G4634" s="89" t="str">
        <f ca="1"/>
        <v/>
      </c>
    </row>
    <row r="4635" spans="1:7" x14ac:dyDescent="0.3">
      <c r="A4635" s="89" t="str">
        <v/>
      </c>
      <c r="B4635" s="89" t="str">
        <v>Primeros Auxilios (Brigadistas)</v>
      </c>
      <c r="C4635" s="90" t="str">
        <v/>
      </c>
      <c r="D4635" s="89" t="str">
        <v>Periódica</v>
      </c>
      <c r="E4635" s="89">
        <v>365</v>
      </c>
      <c r="F4635" s="89" t="str">
        <v/>
      </c>
      <c r="G4635" s="89" t="str">
        <f ca="1"/>
        <v/>
      </c>
    </row>
    <row r="4636" spans="1:7" x14ac:dyDescent="0.3">
      <c r="A4636" s="89" t="str">
        <v/>
      </c>
      <c r="B4636" s="89" t="str">
        <v>Seguridad Electrica (Todos)</v>
      </c>
      <c r="C4636" s="90" t="str">
        <v/>
      </c>
      <c r="D4636" s="89" t="str">
        <v>Periódica</v>
      </c>
      <c r="E4636" s="89">
        <v>365</v>
      </c>
      <c r="F4636" s="89" t="str">
        <v/>
      </c>
      <c r="G4636" s="89" t="str">
        <f ca="1"/>
        <v/>
      </c>
    </row>
    <row r="4637" spans="1:7" x14ac:dyDescent="0.3">
      <c r="A4637" s="89" t="str">
        <v/>
      </c>
      <c r="B4637" s="89" t="str">
        <v>Seguridad Electrica (Personal Autorizado)</v>
      </c>
      <c r="C4637" s="90" t="str">
        <v/>
      </c>
      <c r="D4637" s="89" t="str">
        <v>Periódica</v>
      </c>
      <c r="E4637" s="89">
        <v>1095</v>
      </c>
      <c r="F4637" s="89" t="str">
        <v/>
      </c>
      <c r="G4637" s="89" t="str">
        <f ca="1"/>
        <v/>
      </c>
    </row>
    <row r="4638" spans="1:7" x14ac:dyDescent="0.3">
      <c r="A4638" s="89" t="str">
        <v/>
      </c>
      <c r="B4638" s="89" t="str">
        <v>Camiones Industriales Motorizados (PIT) (Todos)</v>
      </c>
      <c r="C4638" s="90" t="str">
        <v/>
      </c>
      <c r="D4638" s="89" t="str">
        <v>Periódica</v>
      </c>
      <c r="E4638" s="89">
        <v>365</v>
      </c>
      <c r="F4638" s="89" t="str">
        <v/>
      </c>
      <c r="G4638" s="89" t="str">
        <f ca="1"/>
        <v/>
      </c>
    </row>
    <row r="4639" spans="1:7" x14ac:dyDescent="0.3">
      <c r="A4639" s="89" t="str">
        <v/>
      </c>
      <c r="B4639" s="89" t="str">
        <v>Camiones Industriales Motorizados (PIT) (Op. Montacargas)</v>
      </c>
      <c r="C4639" s="90" t="str">
        <v/>
      </c>
      <c r="D4639" s="89" t="str">
        <v>Periódica</v>
      </c>
      <c r="E4639" s="89">
        <v>365</v>
      </c>
      <c r="F4639" s="89" t="str">
        <v/>
      </c>
      <c r="G4639" s="89" t="str">
        <f ca="1"/>
        <v/>
      </c>
    </row>
    <row r="4640" spans="1:7" x14ac:dyDescent="0.3">
      <c r="A4640" s="89" t="str">
        <v/>
      </c>
      <c r="B4640" s="89" t="str">
        <v>Control de Energias Peligrosas (LOTO) (Todos)</v>
      </c>
      <c r="C4640" s="90" t="str">
        <v/>
      </c>
      <c r="D4640" s="89" t="str">
        <v>Evento</v>
      </c>
      <c r="E4640" s="89">
        <v>0</v>
      </c>
      <c r="F4640" s="89" t="str">
        <v/>
      </c>
      <c r="G4640" s="89" t="str">
        <f ca="1"/>
        <v/>
      </c>
    </row>
    <row r="4641" spans="1:7" x14ac:dyDescent="0.3">
      <c r="A4641" s="89" t="str">
        <v/>
      </c>
      <c r="B4641" s="89" t="str">
        <v>Control de Energias Peligrosas (LOTO) (Empleados Autorizados)</v>
      </c>
      <c r="C4641" s="90" t="str">
        <v/>
      </c>
      <c r="D4641" s="89" t="str">
        <v>Periódica</v>
      </c>
      <c r="E4641" s="89">
        <v>365</v>
      </c>
      <c r="F4641" s="89" t="str">
        <v/>
      </c>
      <c r="G4641" s="89" t="str">
        <f ca="1"/>
        <v/>
      </c>
    </row>
    <row r="4642" spans="1:7" x14ac:dyDescent="0.3">
      <c r="A4642" s="89" t="str">
        <v/>
      </c>
      <c r="B4642" s="89" t="str">
        <v>Seguridad aplicada al Pozo &amp; Yacimiento</v>
      </c>
      <c r="C4642" s="90" t="str">
        <v/>
      </c>
      <c r="D4642" s="89" t="str">
        <v>Periódica</v>
      </c>
      <c r="E4642" s="89">
        <v>365</v>
      </c>
      <c r="F4642" s="89" t="str">
        <v/>
      </c>
      <c r="G4642" s="89" t="str">
        <f ca="1"/>
        <v/>
      </c>
    </row>
    <row r="4643" spans="1:7" x14ac:dyDescent="0.3">
      <c r="A4643" s="89" t="str">
        <v/>
      </c>
      <c r="B4643" s="89" t="str">
        <v>Las Reglas que Salvan Vidas</v>
      </c>
      <c r="C4643" s="90" t="str">
        <v/>
      </c>
      <c r="D4643" s="89" t="str">
        <v>Periódica</v>
      </c>
      <c r="E4643" s="89">
        <v>365</v>
      </c>
      <c r="F4643" s="89" t="str">
        <v/>
      </c>
      <c r="G4643" s="89" t="str">
        <f ca="1"/>
        <v/>
      </c>
    </row>
    <row r="4644" spans="1:7" x14ac:dyDescent="0.3">
      <c r="A4644" s="89" t="str">
        <v/>
      </c>
      <c r="B4644" s="89" t="str">
        <v xml:space="preserve">Resguardo de Maquinas &amp; Equipos </v>
      </c>
      <c r="C4644" s="90" t="str">
        <v/>
      </c>
      <c r="D4644" s="89" t="str">
        <v>Periódica</v>
      </c>
      <c r="E4644" s="89">
        <v>365</v>
      </c>
      <c r="F4644" s="89" t="str">
        <v/>
      </c>
      <c r="G4644" s="89" t="str">
        <f ca="1"/>
        <v/>
      </c>
    </row>
    <row r="4645" spans="1:7" x14ac:dyDescent="0.3">
      <c r="A4645" s="89" t="str">
        <v/>
      </c>
      <c r="B4645" s="89" t="str">
        <v>Conduccion y Gestion de Viajes (Todos)</v>
      </c>
      <c r="C4645" s="90" t="str">
        <v/>
      </c>
      <c r="D4645" s="89" t="str">
        <v>Periódica</v>
      </c>
      <c r="E4645" s="89">
        <v>730</v>
      </c>
      <c r="F4645" s="89" t="str">
        <v/>
      </c>
      <c r="G4645" s="89" t="str">
        <f ca="1"/>
        <v/>
      </c>
    </row>
    <row r="4646" spans="1:7" x14ac:dyDescent="0.3">
      <c r="A4646" s="89" t="str">
        <v/>
      </c>
      <c r="B4646" s="89" t="str">
        <v>Conduccion y Gestion de Viajes (Conductores)</v>
      </c>
      <c r="C4646" s="90" t="str">
        <v/>
      </c>
      <c r="D4646" s="89" t="str">
        <v>Periódica</v>
      </c>
      <c r="E4646" s="89">
        <v>1095</v>
      </c>
      <c r="F4646" s="89" t="str">
        <v/>
      </c>
      <c r="G4646" s="89" t="str">
        <f ca="1"/>
        <v/>
      </c>
    </row>
    <row r="4647" spans="1:7" x14ac:dyDescent="0.3">
      <c r="A4647" s="89" t="str">
        <v/>
      </c>
      <c r="B4647" s="89" t="str">
        <v>Patogenos Transmitidos por la Sangre</v>
      </c>
      <c r="C4647" s="90" t="str">
        <v/>
      </c>
      <c r="D4647" s="89" t="str">
        <v>Periódica</v>
      </c>
      <c r="E4647" s="89">
        <v>365</v>
      </c>
      <c r="F4647" s="89" t="str">
        <v/>
      </c>
      <c r="G4647" s="89" t="str">
        <f ca="1"/>
        <v/>
      </c>
    </row>
    <row r="4648" spans="1:7" x14ac:dyDescent="0.3">
      <c r="A4648" s="89" t="str">
        <v/>
      </c>
      <c r="B4648" s="89" t="str">
        <v>Conservacion Auditiva</v>
      </c>
      <c r="C4648" s="90" t="str">
        <v/>
      </c>
      <c r="D4648" s="89" t="str">
        <v>Periódica</v>
      </c>
      <c r="E4648" s="89">
        <v>365</v>
      </c>
      <c r="F4648" s="89" t="str">
        <v/>
      </c>
      <c r="G4648" s="89" t="str">
        <f ca="1"/>
        <v/>
      </c>
    </row>
    <row r="4649" spans="1:7" x14ac:dyDescent="0.3">
      <c r="A4649" s="89" t="str">
        <v/>
      </c>
      <c r="B4649" s="89" t="str">
        <v xml:space="preserve">Ergonomia //  / Levantamiento &amp; Seguridad en la Espalda </v>
      </c>
      <c r="C4649" s="90" t="str">
        <v/>
      </c>
      <c r="D4649" s="89" t="str">
        <v>Periódica</v>
      </c>
      <c r="E4649" s="89">
        <v>365</v>
      </c>
      <c r="F4649" s="89" t="str">
        <v/>
      </c>
      <c r="G4649" s="89" t="str">
        <f ca="1"/>
        <v/>
      </c>
    </row>
    <row r="4650" spans="1:7" x14ac:dyDescent="0.3">
      <c r="A4650" s="89" t="str">
        <v/>
      </c>
      <c r="B4650" s="89" t="str">
        <v>Superficies Elevadas (Todos)</v>
      </c>
      <c r="C4650" s="90" t="str">
        <v/>
      </c>
      <c r="D4650" s="89" t="str">
        <v>Periódica</v>
      </c>
      <c r="E4650" s="89">
        <v>365</v>
      </c>
      <c r="F4650" s="89" t="str">
        <v/>
      </c>
      <c r="G4650" s="89" t="str">
        <f ca="1"/>
        <v/>
      </c>
    </row>
    <row r="4651" spans="1:7" x14ac:dyDescent="0.3">
      <c r="A4651" s="89" t="str">
        <v/>
      </c>
      <c r="B4651" s="89" t="str">
        <v>Superficies Elevadas (Personal Habilitado)</v>
      </c>
      <c r="C4651" s="90" t="str">
        <v/>
      </c>
      <c r="D4651" s="89" t="str">
        <v>Periódica</v>
      </c>
      <c r="E4651" s="89">
        <v>365</v>
      </c>
      <c r="F4651" s="89" t="str">
        <v/>
      </c>
      <c r="G4651" s="89" t="str">
        <f ca="1"/>
        <v/>
      </c>
    </row>
    <row r="4652" spans="1:7" x14ac:dyDescent="0.3">
      <c r="A4652" s="89" t="str">
        <v/>
      </c>
      <c r="B4652" s="89" t="str">
        <v>Seguridad Quimica (Todos)</v>
      </c>
      <c r="C4652" s="90" t="str">
        <v/>
      </c>
      <c r="D4652" s="89" t="str">
        <v>Periódica</v>
      </c>
      <c r="E4652" s="89">
        <v>730</v>
      </c>
      <c r="F4652" s="89" t="str">
        <v/>
      </c>
      <c r="G4652" s="89" t="str">
        <f ca="1"/>
        <v/>
      </c>
    </row>
    <row r="4653" spans="1:7" x14ac:dyDescent="0.3">
      <c r="A4653" s="89" t="str">
        <v/>
      </c>
      <c r="B4653" s="89" t="str">
        <v>Seguridad Quimica (Mantenimiento)</v>
      </c>
      <c r="C4653" s="90" t="str">
        <v/>
      </c>
      <c r="D4653" s="89" t="str">
        <v>Periódica</v>
      </c>
      <c r="E4653" s="89">
        <v>365</v>
      </c>
      <c r="F4653" s="89" t="str">
        <v/>
      </c>
      <c r="G4653" s="89" t="str">
        <f ca="1"/>
        <v/>
      </c>
    </row>
    <row r="4654" spans="1:7" x14ac:dyDescent="0.3">
      <c r="A4654" s="89" t="str">
        <v/>
      </c>
      <c r="B4654" s="89" t="str">
        <v>Seguridad Quimica (Contratistas)</v>
      </c>
      <c r="C4654" s="90" t="str">
        <v/>
      </c>
      <c r="D4654" s="89" t="str">
        <v>Periódica</v>
      </c>
      <c r="E4654" s="89">
        <v>365</v>
      </c>
      <c r="F4654" s="89" t="str">
        <v/>
      </c>
      <c r="G4654" s="89" t="str">
        <f ca="1"/>
        <v/>
      </c>
    </row>
    <row r="4655" spans="1:7" x14ac:dyDescent="0.3">
      <c r="A4655" s="89" t="str">
        <v/>
      </c>
      <c r="B4655" s="89" t="str">
        <v>Seguridad para Trabajos en Caliente</v>
      </c>
      <c r="C4655" s="90" t="str">
        <v/>
      </c>
      <c r="D4655" s="89" t="str">
        <v>Periódica</v>
      </c>
      <c r="E4655" s="89">
        <v>365</v>
      </c>
      <c r="F4655" s="89" t="str">
        <v/>
      </c>
      <c r="G4655" s="89" t="str">
        <f ca="1"/>
        <v/>
      </c>
    </row>
    <row r="4656" spans="1:7" x14ac:dyDescent="0.3">
      <c r="A4656" s="89" t="str">
        <v/>
      </c>
      <c r="B4656" s="89" t="str">
        <v>Seguridad con la Radiacion</v>
      </c>
      <c r="C4656" s="90" t="str">
        <v/>
      </c>
      <c r="D4656" s="89" t="str">
        <v>Periódica</v>
      </c>
      <c r="E4656" s="89">
        <v>365</v>
      </c>
      <c r="F4656" s="89" t="str">
        <v/>
      </c>
      <c r="G4656" s="89" t="str">
        <f ca="1"/>
        <v/>
      </c>
    </row>
    <row r="4657" spans="1:7" x14ac:dyDescent="0.3">
      <c r="A4657" s="89" t="str">
        <v/>
      </c>
      <c r="B4657" s="89" t="str">
        <v>Equipo de Proteccion Personal (PPE)</v>
      </c>
      <c r="C4657" s="90" t="str">
        <v/>
      </c>
      <c r="D4657" s="89" t="str">
        <v>Periódica</v>
      </c>
      <c r="E4657" s="89">
        <v>365</v>
      </c>
      <c r="F4657" s="89" t="str">
        <v/>
      </c>
      <c r="G4657" s="89" t="str">
        <f ca="1"/>
        <v/>
      </c>
    </row>
    <row r="4658" spans="1:7" x14ac:dyDescent="0.3">
      <c r="A4658" s="89" t="str">
        <v/>
      </c>
      <c r="B4658" s="89" t="str">
        <v>Proteccion Respiratoria</v>
      </c>
      <c r="C4658" s="90" t="str">
        <v/>
      </c>
      <c r="D4658" s="89" t="str">
        <v>Periódica</v>
      </c>
      <c r="E4658" s="89">
        <v>365</v>
      </c>
      <c r="F4658" s="89" t="str">
        <v/>
      </c>
      <c r="G4658" s="89" t="str">
        <f ca="1"/>
        <v/>
      </c>
    </row>
    <row r="4659" spans="1:7" x14ac:dyDescent="0.3">
      <c r="A4659" s="89" t="str">
        <v/>
      </c>
      <c r="B4659" s="89" t="str">
        <v xml:space="preserve">Seguridad con Escaleras </v>
      </c>
      <c r="C4659" s="90" t="str">
        <v/>
      </c>
      <c r="D4659" s="89" t="str">
        <v>Periódica</v>
      </c>
      <c r="E4659" s="89">
        <v>365</v>
      </c>
      <c r="F4659" s="89" t="str">
        <v/>
      </c>
      <c r="G4659" s="89" t="str">
        <f ca="1"/>
        <v/>
      </c>
    </row>
    <row r="4660" spans="1:7" x14ac:dyDescent="0.3">
      <c r="A4660" s="89" t="str">
        <v/>
      </c>
      <c r="B4660" s="89" t="str">
        <v>Seguridad con Escaleras // Estantes de Almacenamiento</v>
      </c>
      <c r="C4660" s="90" t="str">
        <v/>
      </c>
      <c r="D4660" s="89" t="str">
        <v>Periódica</v>
      </c>
      <c r="E4660" s="89">
        <v>365</v>
      </c>
      <c r="F4660" s="89" t="str">
        <v/>
      </c>
      <c r="G4660" s="89" t="str">
        <f ca="1"/>
        <v/>
      </c>
    </row>
    <row r="4661" spans="1:7" x14ac:dyDescent="0.3">
      <c r="A4661" s="89" t="str">
        <v/>
      </c>
      <c r="B4661" s="89" t="str">
        <v>Responsabilidades del Supervisor</v>
      </c>
      <c r="C4661" s="90" t="str">
        <v/>
      </c>
      <c r="D4661" s="89" t="str">
        <v>Periódica</v>
      </c>
      <c r="E4661" s="89">
        <v>365</v>
      </c>
      <c r="F4661" s="89" t="str">
        <v/>
      </c>
      <c r="G4661" s="89" t="str">
        <f ca="1"/>
        <v/>
      </c>
    </row>
    <row r="4662" spans="1:7" x14ac:dyDescent="0.3">
      <c r="A4662" s="89" t="str">
        <v/>
      </c>
      <c r="B4662" s="89" t="str">
        <v>Espacios Confinados (Todos)</v>
      </c>
      <c r="C4662" s="90" t="str">
        <v/>
      </c>
      <c r="D4662" s="89" t="str">
        <v>Periódica</v>
      </c>
      <c r="E4662" s="89">
        <v>365</v>
      </c>
      <c r="F4662" s="89" t="str">
        <v/>
      </c>
      <c r="G4662" s="89" t="str">
        <f ca="1"/>
        <v/>
      </c>
    </row>
    <row r="4663" spans="1:7" x14ac:dyDescent="0.3">
      <c r="A4663" s="89" t="str">
        <v/>
      </c>
      <c r="B4663" s="89" t="str">
        <v>HSMS.017 / Espacios Confinados (Entrantes)</v>
      </c>
      <c r="C4663" s="90" t="str">
        <v/>
      </c>
      <c r="D4663" s="89" t="str">
        <v>Evento</v>
      </c>
      <c r="E4663" s="89">
        <v>0</v>
      </c>
      <c r="F4663" s="89" t="str">
        <v/>
      </c>
      <c r="G4663" s="89" t="str">
        <f ca="1"/>
        <v/>
      </c>
    </row>
    <row r="4664" spans="1:7" x14ac:dyDescent="0.3">
      <c r="A4664" s="89" t="str">
        <v/>
      </c>
      <c r="B4664" s="89" t="str">
        <v>Programa de Agua (Todos)</v>
      </c>
      <c r="C4664" s="90" t="str">
        <v/>
      </c>
      <c r="D4664" s="89" t="str">
        <v>Evento</v>
      </c>
      <c r="E4664" s="89">
        <v>0</v>
      </c>
      <c r="F4664" s="89" t="str">
        <v/>
      </c>
      <c r="G4664" s="89" t="str">
        <f ca="1"/>
        <v/>
      </c>
    </row>
    <row r="4665" spans="1:7" x14ac:dyDescent="0.3">
      <c r="A4665" s="89" t="str">
        <v/>
      </c>
      <c r="B4665" s="89" t="str">
        <v>Programa de Agua (HSE)</v>
      </c>
      <c r="C4665" s="90" t="str">
        <v/>
      </c>
      <c r="D4665" s="89" t="str">
        <v>Evento</v>
      </c>
      <c r="E4665" s="89">
        <v>0</v>
      </c>
      <c r="F4665" s="89" t="str">
        <v/>
      </c>
      <c r="G4665" s="89" t="str">
        <f ca="1"/>
        <v/>
      </c>
    </row>
    <row r="4666" spans="1:7" x14ac:dyDescent="0.3">
      <c r="A4666" s="89" t="str">
        <v/>
      </c>
      <c r="B4666" s="89" t="str">
        <v>HIV/SIDA y otras enfermedades de transmisión sexual (ETS)</v>
      </c>
      <c r="C4666" s="90" t="str">
        <v/>
      </c>
      <c r="D4666" s="89" t="str">
        <v>Periódica</v>
      </c>
      <c r="E4666" s="89">
        <v>365</v>
      </c>
      <c r="F4666" s="89" t="str">
        <v/>
      </c>
      <c r="G4666" s="89" t="str">
        <f ca="1"/>
        <v/>
      </c>
    </row>
    <row r="4667" spans="1:7" x14ac:dyDescent="0.3">
      <c r="A4667" s="89" t="str">
        <v/>
      </c>
      <c r="B4667" s="89" t="str">
        <v>Drogas de abuso (concientización y prevención)</v>
      </c>
      <c r="C4667" s="90" t="str">
        <v/>
      </c>
      <c r="D4667" s="89" t="str">
        <v>Periódica</v>
      </c>
      <c r="E4667" s="89">
        <v>365</v>
      </c>
      <c r="F4667" s="89" t="str">
        <v/>
      </c>
      <c r="G4667" s="89" t="str">
        <f ca="1"/>
        <v/>
      </c>
    </row>
    <row r="4668" spans="1:7" x14ac:dyDescent="0.3">
      <c r="A4668" s="89" t="str">
        <v/>
      </c>
      <c r="B4668" s="89" t="str">
        <v>Vida saludable (hábitos, autocuidado y bienestar)</v>
      </c>
      <c r="C4668" s="90" t="str">
        <v/>
      </c>
      <c r="D4668" s="89" t="str">
        <v>Periódica</v>
      </c>
      <c r="E4668" s="89">
        <v>365</v>
      </c>
      <c r="F4668" s="89" t="str">
        <v/>
      </c>
      <c r="G4668" s="89" t="str">
        <f ca="1"/>
        <v/>
      </c>
    </row>
    <row r="4669" spans="1:7" x14ac:dyDescent="0.3">
      <c r="A4669" s="89" t="str">
        <v/>
      </c>
      <c r="B4669" s="89" t="str">
        <v>Primeros auxilios y Reanimación Cardio Pulmonar (RCP)</v>
      </c>
      <c r="C4669" s="90" t="str">
        <v/>
      </c>
      <c r="D4669" s="89" t="str">
        <v>Periódica</v>
      </c>
      <c r="E4669" s="89">
        <v>365</v>
      </c>
      <c r="F4669" s="89" t="str">
        <v/>
      </c>
      <c r="G4669" s="89" t="str">
        <f ca="1"/>
        <v/>
      </c>
    </row>
    <row r="4670" spans="1:7" x14ac:dyDescent="0.3">
      <c r="A4670" s="89" t="str">
        <v/>
      </c>
      <c r="B4670" s="89" t="str">
        <v>Prevención cardiovascular (factores de riesgo y señales de alarma)</v>
      </c>
      <c r="C4670" s="90" t="str">
        <v/>
      </c>
      <c r="D4670" s="89" t="str">
        <v>Periódica</v>
      </c>
      <c r="E4670" s="89">
        <v>365</v>
      </c>
      <c r="F4670" s="89" t="str">
        <v/>
      </c>
      <c r="G4670" s="89" t="str">
        <f ca="1"/>
        <v/>
      </c>
    </row>
    <row r="4671" spans="1:7" x14ac:dyDescent="0.3">
      <c r="A4671" s="89" t="str">
        <v/>
      </c>
      <c r="B4671" s="89" t="str">
        <v>Efectos del tabaco sobre la salud</v>
      </c>
      <c r="C4671" s="90" t="str">
        <v/>
      </c>
      <c r="D4671" s="89" t="str">
        <v>Periódica</v>
      </c>
      <c r="E4671" s="89">
        <v>365</v>
      </c>
      <c r="F4671" s="89" t="str">
        <v/>
      </c>
      <c r="G4671" s="89" t="str">
        <f ca="1"/>
        <v/>
      </c>
    </row>
    <row r="4672" spans="1:7" x14ac:dyDescent="0.3">
      <c r="A4672" s="89" t="str">
        <v/>
      </c>
      <c r="B4672" s="89" t="str">
        <v>Cargadora (Op. Montacargas)</v>
      </c>
      <c r="C4672" s="90" t="str">
        <v/>
      </c>
      <c r="D4672" s="89" t="str">
        <v>Periódica</v>
      </c>
      <c r="E4672" s="89">
        <v>365</v>
      </c>
      <c r="F4672" s="89" t="str">
        <v/>
      </c>
      <c r="G4672" s="89" t="str">
        <f ca="1"/>
        <v/>
      </c>
    </row>
    <row r="4673" spans="1:7" x14ac:dyDescent="0.3">
      <c r="A4673" s="89" t="str">
        <v/>
      </c>
      <c r="B4673" s="89">
        <v>0</v>
      </c>
      <c r="C4673" s="90" t="str">
        <v/>
      </c>
      <c r="D4673" s="89" t="str">
        <v/>
      </c>
      <c r="E4673" s="89" t="str">
        <v/>
      </c>
      <c r="F4673" s="89" t="str">
        <v/>
      </c>
      <c r="G4673" s="89" t="str">
        <f ca="1"/>
        <v/>
      </c>
    </row>
    <row r="4674" spans="1:7" x14ac:dyDescent="0.3">
      <c r="A4674" s="89" t="str">
        <v/>
      </c>
      <c r="B4674" s="89">
        <v>0</v>
      </c>
      <c r="C4674" s="90" t="str">
        <v/>
      </c>
      <c r="D4674" s="89" t="str">
        <v/>
      </c>
      <c r="E4674" s="89" t="str">
        <v/>
      </c>
      <c r="F4674" s="89" t="str">
        <v/>
      </c>
      <c r="G4674" s="89" t="str">
        <f ca="1"/>
        <v/>
      </c>
    </row>
    <row r="4675" spans="1:7" x14ac:dyDescent="0.3">
      <c r="A4675" s="89" t="str">
        <v/>
      </c>
      <c r="B4675" s="89">
        <v>0</v>
      </c>
      <c r="C4675" s="90" t="str">
        <v/>
      </c>
      <c r="D4675" s="89" t="str">
        <v/>
      </c>
      <c r="E4675" s="89" t="str">
        <v/>
      </c>
      <c r="F4675" s="89" t="str">
        <v/>
      </c>
      <c r="G4675" s="89" t="str">
        <f ca="1"/>
        <v/>
      </c>
    </row>
    <row r="4676" spans="1:7" x14ac:dyDescent="0.3">
      <c r="A4676" s="89" t="str">
        <v/>
      </c>
      <c r="B4676" s="89">
        <v>0</v>
      </c>
      <c r="C4676" s="90" t="str">
        <v/>
      </c>
      <c r="D4676" s="89" t="str">
        <v/>
      </c>
      <c r="E4676" s="89" t="str">
        <v/>
      </c>
      <c r="F4676" s="89" t="str">
        <v/>
      </c>
      <c r="G4676" s="89" t="str">
        <f ca="1"/>
        <v/>
      </c>
    </row>
    <row r="4677" spans="1:7" x14ac:dyDescent="0.3">
      <c r="A4677" s="89" t="str">
        <v/>
      </c>
      <c r="B4677" s="89">
        <v>0</v>
      </c>
      <c r="C4677" s="90" t="str">
        <v/>
      </c>
      <c r="D4677" s="89" t="str">
        <v/>
      </c>
      <c r="E4677" s="89" t="str">
        <v/>
      </c>
      <c r="F4677" s="89" t="str">
        <v/>
      </c>
      <c r="G4677" s="89" t="str">
        <f ca="1"/>
        <v/>
      </c>
    </row>
    <row r="4678" spans="1:7" x14ac:dyDescent="0.3">
      <c r="A4678" s="89" t="str">
        <v/>
      </c>
      <c r="B4678" s="89">
        <v>0</v>
      </c>
      <c r="C4678" s="90" t="str">
        <v/>
      </c>
      <c r="D4678" s="89" t="str">
        <v/>
      </c>
      <c r="E4678" s="89" t="str">
        <v/>
      </c>
      <c r="F4678" s="89" t="str">
        <v/>
      </c>
      <c r="G4678" s="89" t="str">
        <f ca="1"/>
        <v/>
      </c>
    </row>
    <row r="4679" spans="1:7" x14ac:dyDescent="0.3">
      <c r="A4679" s="89" t="str">
        <v/>
      </c>
      <c r="B4679" s="89">
        <v>0</v>
      </c>
      <c r="C4679" s="90" t="str">
        <v/>
      </c>
      <c r="D4679" s="89" t="str">
        <v/>
      </c>
      <c r="E4679" s="89" t="str">
        <v/>
      </c>
      <c r="F4679" s="89" t="str">
        <v/>
      </c>
      <c r="G4679" s="89" t="str">
        <f ca="1"/>
        <v/>
      </c>
    </row>
    <row r="4680" spans="1:7" x14ac:dyDescent="0.3">
      <c r="A4680" s="89" t="str">
        <v/>
      </c>
      <c r="B4680" s="89">
        <v>0</v>
      </c>
      <c r="C4680" s="90" t="str">
        <v/>
      </c>
      <c r="D4680" s="89" t="str">
        <v/>
      </c>
      <c r="E4680" s="89" t="str">
        <v/>
      </c>
      <c r="F4680" s="89" t="str">
        <v/>
      </c>
      <c r="G4680" s="89" t="str">
        <f ca="1"/>
        <v/>
      </c>
    </row>
    <row r="4681" spans="1:7" x14ac:dyDescent="0.3">
      <c r="A4681" s="89" t="str">
        <v/>
      </c>
      <c r="B4681" s="89">
        <v>0</v>
      </c>
      <c r="C4681" s="90" t="str">
        <v/>
      </c>
      <c r="D4681" s="89" t="str">
        <v/>
      </c>
      <c r="E4681" s="89" t="str">
        <v/>
      </c>
      <c r="F4681" s="89" t="str">
        <v/>
      </c>
      <c r="G4681" s="89" t="str">
        <f ca="1"/>
        <v/>
      </c>
    </row>
    <row r="4682" spans="1:7" x14ac:dyDescent="0.3">
      <c r="A4682" s="89" t="str">
        <v/>
      </c>
      <c r="B4682" s="89" t="str">
        <v>Programa de Aire</v>
      </c>
      <c r="C4682" s="90" t="str">
        <v/>
      </c>
      <c r="D4682" s="89" t="str">
        <v>Evento</v>
      </c>
      <c r="E4682" s="89">
        <v>0</v>
      </c>
      <c r="F4682" s="89" t="str">
        <v/>
      </c>
      <c r="G4682" s="89" t="str">
        <f ca="1"/>
        <v/>
      </c>
    </row>
    <row r="4683" spans="1:7" x14ac:dyDescent="0.3">
      <c r="A4683" s="89" t="str">
        <v/>
      </c>
      <c r="B4683" s="89" t="str">
        <v>Conciencia Ambiental</v>
      </c>
      <c r="C4683" s="90" t="str">
        <v/>
      </c>
      <c r="D4683" s="89" t="str">
        <v>Periódica</v>
      </c>
      <c r="E4683" s="89">
        <v>365</v>
      </c>
      <c r="F4683" s="89" t="str">
        <v/>
      </c>
      <c r="G4683" s="89" t="str">
        <f ca="1"/>
        <v/>
      </c>
    </row>
    <row r="4684" spans="1:7" x14ac:dyDescent="0.3">
      <c r="A4684" s="89" t="str">
        <v/>
      </c>
      <c r="B4684" s="89" t="str">
        <v xml:space="preserve">Control de Documentos e Informacion de HSE </v>
      </c>
      <c r="C4684" s="90" t="str">
        <v/>
      </c>
      <c r="D4684" s="89" t="str">
        <v>Evento</v>
      </c>
      <c r="E4684" s="89">
        <v>0</v>
      </c>
      <c r="F4684" s="89" t="str">
        <v/>
      </c>
      <c r="G4684" s="89" t="str">
        <f ca="1"/>
        <v/>
      </c>
    </row>
    <row r="4685" spans="1:7" x14ac:dyDescent="0.3">
      <c r="A4685" s="89" t="str">
        <v/>
      </c>
      <c r="B4685" s="89" t="str">
        <v xml:space="preserve"> Acciones Correctivas y Preventivas (CAPA)</v>
      </c>
      <c r="C4685" s="90" t="str">
        <v/>
      </c>
      <c r="D4685" s="89" t="str">
        <v>Evento</v>
      </c>
      <c r="E4685" s="89">
        <v>0</v>
      </c>
      <c r="F4685" s="89" t="str">
        <v/>
      </c>
      <c r="G4685" s="89" t="str">
        <f ca="1"/>
        <v/>
      </c>
    </row>
    <row r="4686" spans="1:7" x14ac:dyDescent="0.3">
      <c r="A4686" s="89" t="str">
        <v/>
      </c>
      <c r="B4686" s="89" t="str">
        <v>Seguridad Basada en el Comportamiento (Observation Program) // HSMS.043 / Autoridad de Detener el Trabajo</v>
      </c>
      <c r="C4686" s="90" t="str">
        <v/>
      </c>
      <c r="D4686" s="89" t="str">
        <v>Periódica</v>
      </c>
      <c r="E4686" s="89">
        <v>365</v>
      </c>
      <c r="F4686" s="89" t="str">
        <v/>
      </c>
      <c r="G4686" s="89" t="str">
        <f ca="1"/>
        <v/>
      </c>
    </row>
    <row r="4687" spans="1:7" x14ac:dyDescent="0.3">
      <c r="A4687" s="89" t="str">
        <v/>
      </c>
      <c r="B4687" s="89" t="str">
        <v>Identificacion de Peligros y Evaluacion de Riesgos</v>
      </c>
      <c r="C4687" s="90" t="str">
        <v/>
      </c>
      <c r="D4687" s="89" t="str">
        <v>Evento</v>
      </c>
      <c r="E4687" s="89">
        <v>0</v>
      </c>
      <c r="F4687" s="89" t="str">
        <v/>
      </c>
      <c r="G4687" s="89" t="str">
        <f ca="1"/>
        <v/>
      </c>
    </row>
    <row r="4688" spans="1:7" x14ac:dyDescent="0.3">
      <c r="A4688" s="89" t="str">
        <v/>
      </c>
      <c r="B4688" s="89" t="str">
        <v xml:space="preserve"> Plan de Respuesta ante Eemergencias / HSMS.010 /Primeros Axulios &amp; RCP/DEA / HSMSWT-002 / Patogenos Trasnmitidos por la Sangre</v>
      </c>
      <c r="C4688" s="90" t="str">
        <v/>
      </c>
      <c r="D4688" s="89" t="str">
        <v>Periódica</v>
      </c>
      <c r="E4688" s="89">
        <v>365</v>
      </c>
      <c r="F4688" s="89" t="str">
        <v/>
      </c>
      <c r="G4688" s="89" t="str">
        <f ca="1"/>
        <v/>
      </c>
    </row>
    <row r="4689" spans="1:7" x14ac:dyDescent="0.3">
      <c r="A4689" s="89" t="str">
        <v/>
      </c>
      <c r="B4689" s="89" t="str">
        <v>Reporte y Gestion de Incidentes HSE (Todos)</v>
      </c>
      <c r="C4689" s="90" t="str">
        <v/>
      </c>
      <c r="D4689" s="89" t="str">
        <v>Periódica</v>
      </c>
      <c r="E4689" s="89">
        <v>365</v>
      </c>
      <c r="F4689" s="89" t="str">
        <v/>
      </c>
      <c r="G4689" s="89" t="str">
        <f ca="1"/>
        <v/>
      </c>
    </row>
    <row r="4690" spans="1:7" x14ac:dyDescent="0.3">
      <c r="A4690" s="89" t="str">
        <v/>
      </c>
      <c r="B4690" s="89" t="str">
        <v>Reporte, Gestion e Investigacion de Incidentes HSE (supervisores / investigadores (rol))</v>
      </c>
      <c r="C4690" s="90" t="str">
        <v/>
      </c>
      <c r="D4690" s="89" t="str">
        <v>Periódica</v>
      </c>
      <c r="E4690" s="89">
        <v>1095</v>
      </c>
      <c r="F4690" s="89" t="str">
        <v/>
      </c>
      <c r="G4690" s="89" t="str">
        <f ca="1"/>
        <v/>
      </c>
    </row>
    <row r="4691" spans="1:7" x14ac:dyDescent="0.3">
      <c r="A4691" s="89" t="str">
        <v/>
      </c>
      <c r="B4691" s="89" t="str">
        <v>Gruas y Equipos de Izaje (Todos)</v>
      </c>
      <c r="C4691" s="90" t="str">
        <v/>
      </c>
      <c r="D4691" s="89" t="str">
        <v>Periódica</v>
      </c>
      <c r="E4691" s="89">
        <v>365</v>
      </c>
      <c r="F4691" s="89" t="str">
        <v/>
      </c>
      <c r="G4691" s="89" t="str">
        <f ca="1"/>
        <v/>
      </c>
    </row>
    <row r="4692" spans="1:7" x14ac:dyDescent="0.3">
      <c r="A4692" s="89" t="str">
        <v/>
      </c>
      <c r="B4692" s="89" t="str">
        <v>HSMS.007 / Gruas y Equipos de Izaje (Operadores)</v>
      </c>
      <c r="C4692" s="90" t="str">
        <v/>
      </c>
      <c r="D4692" s="89" t="str">
        <v>Periódica</v>
      </c>
      <c r="E4692" s="89">
        <v>365</v>
      </c>
      <c r="F4692" s="89" t="str">
        <v/>
      </c>
      <c r="G4692" s="89" t="str">
        <f ca="1"/>
        <v/>
      </c>
    </row>
    <row r="4693" spans="1:7" x14ac:dyDescent="0.3">
      <c r="A4693" s="89" t="str">
        <v/>
      </c>
      <c r="B4693" s="89" t="str">
        <v>Proteccion Contra Incendios (Todos)</v>
      </c>
      <c r="C4693" s="90" t="str">
        <v/>
      </c>
      <c r="D4693" s="89" t="str">
        <v>Periódica</v>
      </c>
      <c r="E4693" s="89">
        <v>365</v>
      </c>
      <c r="F4693" s="89" t="str">
        <v/>
      </c>
      <c r="G4693" s="89" t="str">
        <f ca="1"/>
        <v/>
      </c>
    </row>
    <row r="4694" spans="1:7" x14ac:dyDescent="0.3">
      <c r="A4694" s="89" t="str">
        <v/>
      </c>
      <c r="B4694" s="89" t="str">
        <v>Proteccion Contra Incendios (Brigadistas)</v>
      </c>
      <c r="C4694" s="90" t="str">
        <v/>
      </c>
      <c r="D4694" s="89" t="str">
        <v>Periódica</v>
      </c>
      <c r="E4694" s="89">
        <v>365</v>
      </c>
      <c r="F4694" s="89" t="str">
        <v/>
      </c>
      <c r="G4694" s="89" t="str">
        <f ca="1"/>
        <v/>
      </c>
    </row>
    <row r="4695" spans="1:7" x14ac:dyDescent="0.3">
      <c r="A4695" s="89" t="str">
        <v/>
      </c>
      <c r="B4695" s="89" t="str">
        <v>Primeros Auxilios (Brigadistas)</v>
      </c>
      <c r="C4695" s="90" t="str">
        <v/>
      </c>
      <c r="D4695" s="89" t="str">
        <v>Periódica</v>
      </c>
      <c r="E4695" s="89">
        <v>365</v>
      </c>
      <c r="F4695" s="89" t="str">
        <v/>
      </c>
      <c r="G4695" s="89" t="str">
        <f ca="1"/>
        <v/>
      </c>
    </row>
    <row r="4696" spans="1:7" x14ac:dyDescent="0.3">
      <c r="A4696" s="89" t="str">
        <v/>
      </c>
      <c r="B4696" s="89" t="str">
        <v>Seguridad Electrica (Todos)</v>
      </c>
      <c r="C4696" s="90" t="str">
        <v/>
      </c>
      <c r="D4696" s="89" t="str">
        <v>Periódica</v>
      </c>
      <c r="E4696" s="89">
        <v>365</v>
      </c>
      <c r="F4696" s="89" t="str">
        <v/>
      </c>
      <c r="G4696" s="89" t="str">
        <f ca="1"/>
        <v/>
      </c>
    </row>
    <row r="4697" spans="1:7" x14ac:dyDescent="0.3">
      <c r="A4697" s="89" t="str">
        <v/>
      </c>
      <c r="B4697" s="89" t="str">
        <v>Seguridad Electrica (Personal Autorizado)</v>
      </c>
      <c r="C4697" s="90" t="str">
        <v/>
      </c>
      <c r="D4697" s="89" t="str">
        <v>Periódica</v>
      </c>
      <c r="E4697" s="89">
        <v>1095</v>
      </c>
      <c r="F4697" s="89" t="str">
        <v/>
      </c>
      <c r="G4697" s="89" t="str">
        <f ca="1"/>
        <v/>
      </c>
    </row>
    <row r="4698" spans="1:7" x14ac:dyDescent="0.3">
      <c r="A4698" s="89" t="str">
        <v/>
      </c>
      <c r="B4698" s="89" t="str">
        <v>Camiones Industriales Motorizados (PIT) (Todos)</v>
      </c>
      <c r="C4698" s="90" t="str">
        <v/>
      </c>
      <c r="D4698" s="89" t="str">
        <v>Periódica</v>
      </c>
      <c r="E4698" s="89">
        <v>365</v>
      </c>
      <c r="F4698" s="89" t="str">
        <v/>
      </c>
      <c r="G4698" s="89" t="str">
        <f ca="1"/>
        <v/>
      </c>
    </row>
    <row r="4699" spans="1:7" x14ac:dyDescent="0.3">
      <c r="A4699" s="89" t="str">
        <v/>
      </c>
      <c r="B4699" s="89" t="str">
        <v>Camiones Industriales Motorizados (PIT) (Op. Montacargas)</v>
      </c>
      <c r="C4699" s="90" t="str">
        <v/>
      </c>
      <c r="D4699" s="89" t="str">
        <v>Periódica</v>
      </c>
      <c r="E4699" s="89">
        <v>365</v>
      </c>
      <c r="F4699" s="89" t="str">
        <v/>
      </c>
      <c r="G4699" s="89" t="str">
        <f ca="1"/>
        <v/>
      </c>
    </row>
    <row r="4700" spans="1:7" x14ac:dyDescent="0.3">
      <c r="A4700" s="89" t="str">
        <v/>
      </c>
      <c r="B4700" s="89" t="str">
        <v>Control de Energias Peligrosas (LOTO) (Todos)</v>
      </c>
      <c r="C4700" s="90" t="str">
        <v/>
      </c>
      <c r="D4700" s="89" t="str">
        <v>Evento</v>
      </c>
      <c r="E4700" s="89">
        <v>0</v>
      </c>
      <c r="F4700" s="89" t="str">
        <v/>
      </c>
      <c r="G4700" s="89" t="str">
        <f ca="1"/>
        <v/>
      </c>
    </row>
    <row r="4701" spans="1:7" x14ac:dyDescent="0.3">
      <c r="A4701" s="89" t="str">
        <v/>
      </c>
      <c r="B4701" s="89" t="str">
        <v>Control de Energias Peligrosas (LOTO) (Empleados Autorizados)</v>
      </c>
      <c r="C4701" s="90" t="str">
        <v/>
      </c>
      <c r="D4701" s="89" t="str">
        <v>Periódica</v>
      </c>
      <c r="E4701" s="89">
        <v>365</v>
      </c>
      <c r="F4701" s="89" t="str">
        <v/>
      </c>
      <c r="G4701" s="89" t="str">
        <f ca="1"/>
        <v/>
      </c>
    </row>
    <row r="4702" spans="1:7" x14ac:dyDescent="0.3">
      <c r="A4702" s="89" t="str">
        <v/>
      </c>
      <c r="B4702" s="89" t="str">
        <v>Seguridad aplicada al Pozo &amp; Yacimiento</v>
      </c>
      <c r="C4702" s="90" t="str">
        <v/>
      </c>
      <c r="D4702" s="89" t="str">
        <v>Periódica</v>
      </c>
      <c r="E4702" s="89">
        <v>365</v>
      </c>
      <c r="F4702" s="89" t="str">
        <v/>
      </c>
      <c r="G4702" s="89" t="str">
        <f ca="1"/>
        <v/>
      </c>
    </row>
    <row r="4703" spans="1:7" x14ac:dyDescent="0.3">
      <c r="A4703" s="89" t="str">
        <v/>
      </c>
      <c r="B4703" s="89" t="str">
        <v>Las Reglas que Salvan Vidas</v>
      </c>
      <c r="C4703" s="90" t="str">
        <v/>
      </c>
      <c r="D4703" s="89" t="str">
        <v>Periódica</v>
      </c>
      <c r="E4703" s="89">
        <v>365</v>
      </c>
      <c r="F4703" s="89" t="str">
        <v/>
      </c>
      <c r="G4703" s="89" t="str">
        <f ca="1"/>
        <v/>
      </c>
    </row>
    <row r="4704" spans="1:7" x14ac:dyDescent="0.3">
      <c r="A4704" s="89" t="str">
        <v/>
      </c>
      <c r="B4704" s="89" t="str">
        <v xml:space="preserve">Resguardo de Maquinas &amp; Equipos </v>
      </c>
      <c r="C4704" s="90" t="str">
        <v/>
      </c>
      <c r="D4704" s="89" t="str">
        <v>Periódica</v>
      </c>
      <c r="E4704" s="89">
        <v>365</v>
      </c>
      <c r="F4704" s="89" t="str">
        <v/>
      </c>
      <c r="G4704" s="89" t="str">
        <f ca="1"/>
        <v/>
      </c>
    </row>
    <row r="4705" spans="1:7" x14ac:dyDescent="0.3">
      <c r="A4705" s="89" t="str">
        <v/>
      </c>
      <c r="B4705" s="89" t="str">
        <v>Conduccion y Gestion de Viajes (Todos)</v>
      </c>
      <c r="C4705" s="90" t="str">
        <v/>
      </c>
      <c r="D4705" s="89" t="str">
        <v>Periódica</v>
      </c>
      <c r="E4705" s="89">
        <v>730</v>
      </c>
      <c r="F4705" s="89" t="str">
        <v/>
      </c>
      <c r="G4705" s="89" t="str">
        <f ca="1"/>
        <v/>
      </c>
    </row>
    <row r="4706" spans="1:7" x14ac:dyDescent="0.3">
      <c r="A4706" s="89" t="str">
        <v/>
      </c>
      <c r="B4706" s="89" t="str">
        <v>Conduccion y Gestion de Viajes (Conductores)</v>
      </c>
      <c r="C4706" s="90" t="str">
        <v/>
      </c>
      <c r="D4706" s="89" t="str">
        <v>Periódica</v>
      </c>
      <c r="E4706" s="89">
        <v>1095</v>
      </c>
      <c r="F4706" s="89" t="str">
        <v/>
      </c>
      <c r="G4706" s="89" t="str">
        <f ca="1"/>
        <v/>
      </c>
    </row>
    <row r="4707" spans="1:7" x14ac:dyDescent="0.3">
      <c r="A4707" s="89" t="str">
        <v/>
      </c>
      <c r="B4707" s="89" t="str">
        <v>Patogenos Transmitidos por la Sangre</v>
      </c>
      <c r="C4707" s="90" t="str">
        <v/>
      </c>
      <c r="D4707" s="89" t="str">
        <v>Periódica</v>
      </c>
      <c r="E4707" s="89">
        <v>365</v>
      </c>
      <c r="F4707" s="89" t="str">
        <v/>
      </c>
      <c r="G4707" s="89" t="str">
        <f ca="1"/>
        <v/>
      </c>
    </row>
    <row r="4708" spans="1:7" x14ac:dyDescent="0.3">
      <c r="A4708" s="89" t="str">
        <v/>
      </c>
      <c r="B4708" s="89" t="str">
        <v>Conservacion Auditiva</v>
      </c>
      <c r="C4708" s="90" t="str">
        <v/>
      </c>
      <c r="D4708" s="89" t="str">
        <v>Periódica</v>
      </c>
      <c r="E4708" s="89">
        <v>365</v>
      </c>
      <c r="F4708" s="89" t="str">
        <v/>
      </c>
      <c r="G4708" s="89" t="str">
        <f ca="1"/>
        <v/>
      </c>
    </row>
    <row r="4709" spans="1:7" x14ac:dyDescent="0.3">
      <c r="A4709" s="89" t="str">
        <v/>
      </c>
      <c r="B4709" s="89" t="str">
        <v xml:space="preserve">Ergonomia //  / Levantamiento &amp; Seguridad en la Espalda </v>
      </c>
      <c r="C4709" s="90" t="str">
        <v/>
      </c>
      <c r="D4709" s="89" t="str">
        <v>Periódica</v>
      </c>
      <c r="E4709" s="89">
        <v>365</v>
      </c>
      <c r="F4709" s="89" t="str">
        <v/>
      </c>
      <c r="G4709" s="89" t="str">
        <f ca="1"/>
        <v/>
      </c>
    </row>
    <row r="4710" spans="1:7" x14ac:dyDescent="0.3">
      <c r="A4710" s="89" t="str">
        <v/>
      </c>
      <c r="B4710" s="89" t="str">
        <v>Superficies Elevadas (Todos)</v>
      </c>
      <c r="C4710" s="90" t="str">
        <v/>
      </c>
      <c r="D4710" s="89" t="str">
        <v>Periódica</v>
      </c>
      <c r="E4710" s="89">
        <v>365</v>
      </c>
      <c r="F4710" s="89" t="str">
        <v/>
      </c>
      <c r="G4710" s="89" t="str">
        <f ca="1"/>
        <v/>
      </c>
    </row>
    <row r="4711" spans="1:7" x14ac:dyDescent="0.3">
      <c r="A4711" s="89" t="str">
        <v/>
      </c>
      <c r="B4711" s="89" t="str">
        <v>Superficies Elevadas (Personal Habilitado)</v>
      </c>
      <c r="C4711" s="90" t="str">
        <v/>
      </c>
      <c r="D4711" s="89" t="str">
        <v>Periódica</v>
      </c>
      <c r="E4711" s="89">
        <v>365</v>
      </c>
      <c r="F4711" s="89" t="str">
        <v/>
      </c>
      <c r="G4711" s="89" t="str">
        <f ca="1"/>
        <v/>
      </c>
    </row>
    <row r="4712" spans="1:7" x14ac:dyDescent="0.3">
      <c r="A4712" s="89" t="str">
        <v/>
      </c>
      <c r="B4712" s="89" t="str">
        <v>Seguridad Quimica (Todos)</v>
      </c>
      <c r="C4712" s="90" t="str">
        <v/>
      </c>
      <c r="D4712" s="89" t="str">
        <v>Periódica</v>
      </c>
      <c r="E4712" s="89">
        <v>730</v>
      </c>
      <c r="F4712" s="89" t="str">
        <v/>
      </c>
      <c r="G4712" s="89" t="str">
        <f ca="1"/>
        <v/>
      </c>
    </row>
    <row r="4713" spans="1:7" x14ac:dyDescent="0.3">
      <c r="A4713" s="89" t="str">
        <v/>
      </c>
      <c r="B4713" s="89" t="str">
        <v>Seguridad Quimica (Mantenimiento)</v>
      </c>
      <c r="C4713" s="90" t="str">
        <v/>
      </c>
      <c r="D4713" s="89" t="str">
        <v>Periódica</v>
      </c>
      <c r="E4713" s="89">
        <v>365</v>
      </c>
      <c r="F4713" s="89" t="str">
        <v/>
      </c>
      <c r="G4713" s="89" t="str">
        <f ca="1"/>
        <v/>
      </c>
    </row>
    <row r="4714" spans="1:7" x14ac:dyDescent="0.3">
      <c r="A4714" s="89" t="str">
        <v/>
      </c>
      <c r="B4714" s="89" t="str">
        <v>Seguridad Quimica (Contratistas)</v>
      </c>
      <c r="C4714" s="90" t="str">
        <v/>
      </c>
      <c r="D4714" s="89" t="str">
        <v>Periódica</v>
      </c>
      <c r="E4714" s="89">
        <v>365</v>
      </c>
      <c r="F4714" s="89" t="str">
        <v/>
      </c>
      <c r="G4714" s="89" t="str">
        <f ca="1"/>
        <v/>
      </c>
    </row>
    <row r="4715" spans="1:7" x14ac:dyDescent="0.3">
      <c r="A4715" s="89" t="str">
        <v/>
      </c>
      <c r="B4715" s="89" t="str">
        <v>Seguridad para Trabajos en Caliente</v>
      </c>
      <c r="C4715" s="90" t="str">
        <v/>
      </c>
      <c r="D4715" s="89" t="str">
        <v>Periódica</v>
      </c>
      <c r="E4715" s="89">
        <v>365</v>
      </c>
      <c r="F4715" s="89" t="str">
        <v/>
      </c>
      <c r="G4715" s="89" t="str">
        <f ca="1"/>
        <v/>
      </c>
    </row>
    <row r="4716" spans="1:7" x14ac:dyDescent="0.3">
      <c r="A4716" s="89" t="str">
        <v/>
      </c>
      <c r="B4716" s="89" t="str">
        <v>Seguridad con la Radiacion</v>
      </c>
      <c r="C4716" s="90" t="str">
        <v/>
      </c>
      <c r="D4716" s="89" t="str">
        <v>Periódica</v>
      </c>
      <c r="E4716" s="89">
        <v>365</v>
      </c>
      <c r="F4716" s="89" t="str">
        <v/>
      </c>
      <c r="G4716" s="89" t="str">
        <f ca="1"/>
        <v/>
      </c>
    </row>
    <row r="4717" spans="1:7" x14ac:dyDescent="0.3">
      <c r="A4717" s="89" t="str">
        <v/>
      </c>
      <c r="B4717" s="89" t="str">
        <v>Equipo de Proteccion Personal (PPE)</v>
      </c>
      <c r="C4717" s="90" t="str">
        <v/>
      </c>
      <c r="D4717" s="89" t="str">
        <v>Periódica</v>
      </c>
      <c r="E4717" s="89">
        <v>365</v>
      </c>
      <c r="F4717" s="89" t="str">
        <v/>
      </c>
      <c r="G4717" s="89" t="str">
        <f ca="1"/>
        <v/>
      </c>
    </row>
    <row r="4718" spans="1:7" x14ac:dyDescent="0.3">
      <c r="A4718" s="89" t="str">
        <v/>
      </c>
      <c r="B4718" s="89" t="str">
        <v>Proteccion Respiratoria</v>
      </c>
      <c r="C4718" s="90" t="str">
        <v/>
      </c>
      <c r="D4718" s="89" t="str">
        <v>Periódica</v>
      </c>
      <c r="E4718" s="89">
        <v>365</v>
      </c>
      <c r="F4718" s="89" t="str">
        <v/>
      </c>
      <c r="G4718" s="89" t="str">
        <f ca="1"/>
        <v/>
      </c>
    </row>
    <row r="4719" spans="1:7" x14ac:dyDescent="0.3">
      <c r="A4719" s="89" t="str">
        <v/>
      </c>
      <c r="B4719" s="89" t="str">
        <v xml:space="preserve">Seguridad con Escaleras </v>
      </c>
      <c r="C4719" s="90" t="str">
        <v/>
      </c>
      <c r="D4719" s="89" t="str">
        <v>Periódica</v>
      </c>
      <c r="E4719" s="89">
        <v>365</v>
      </c>
      <c r="F4719" s="89" t="str">
        <v/>
      </c>
      <c r="G4719" s="89" t="str">
        <f ca="1"/>
        <v/>
      </c>
    </row>
    <row r="4720" spans="1:7" x14ac:dyDescent="0.3">
      <c r="A4720" s="89" t="str">
        <v/>
      </c>
      <c r="B4720" s="89" t="str">
        <v>Seguridad con Escaleras // Estantes de Almacenamiento</v>
      </c>
      <c r="C4720" s="90" t="str">
        <v/>
      </c>
      <c r="D4720" s="89" t="str">
        <v>Periódica</v>
      </c>
      <c r="E4720" s="89">
        <v>365</v>
      </c>
      <c r="F4720" s="89" t="str">
        <v/>
      </c>
      <c r="G4720" s="89" t="str">
        <f ca="1"/>
        <v/>
      </c>
    </row>
    <row r="4721" spans="1:7" x14ac:dyDescent="0.3">
      <c r="A4721" s="89" t="str">
        <v/>
      </c>
      <c r="B4721" s="89" t="str">
        <v>Responsabilidades del Supervisor</v>
      </c>
      <c r="C4721" s="90" t="str">
        <v/>
      </c>
      <c r="D4721" s="89" t="str">
        <v>Periódica</v>
      </c>
      <c r="E4721" s="89">
        <v>365</v>
      </c>
      <c r="F4721" s="89" t="str">
        <v/>
      </c>
      <c r="G4721" s="89" t="str">
        <f ca="1"/>
        <v/>
      </c>
    </row>
    <row r="4722" spans="1:7" x14ac:dyDescent="0.3">
      <c r="A4722" s="89" t="str">
        <v/>
      </c>
      <c r="B4722" s="89" t="str">
        <v>Espacios Confinados (Todos)</v>
      </c>
      <c r="C4722" s="90" t="str">
        <v/>
      </c>
      <c r="D4722" s="89" t="str">
        <v>Periódica</v>
      </c>
      <c r="E4722" s="89">
        <v>365</v>
      </c>
      <c r="F4722" s="89" t="str">
        <v/>
      </c>
      <c r="G4722" s="89" t="str">
        <f ca="1"/>
        <v/>
      </c>
    </row>
    <row r="4723" spans="1:7" x14ac:dyDescent="0.3">
      <c r="A4723" s="89" t="str">
        <v/>
      </c>
      <c r="B4723" s="89" t="str">
        <v>HSMS.017 / Espacios Confinados (Entrantes)</v>
      </c>
      <c r="C4723" s="90" t="str">
        <v/>
      </c>
      <c r="D4723" s="89" t="str">
        <v>Evento</v>
      </c>
      <c r="E4723" s="89">
        <v>0</v>
      </c>
      <c r="F4723" s="89" t="str">
        <v/>
      </c>
      <c r="G4723" s="89" t="str">
        <f ca="1"/>
        <v/>
      </c>
    </row>
    <row r="4724" spans="1:7" x14ac:dyDescent="0.3">
      <c r="A4724" s="89" t="str">
        <v/>
      </c>
      <c r="B4724" s="89" t="str">
        <v>Programa de Agua (Todos)</v>
      </c>
      <c r="C4724" s="90" t="str">
        <v/>
      </c>
      <c r="D4724" s="89" t="str">
        <v>Evento</v>
      </c>
      <c r="E4724" s="89">
        <v>0</v>
      </c>
      <c r="F4724" s="89" t="str">
        <v/>
      </c>
      <c r="G4724" s="89" t="str">
        <f ca="1"/>
        <v/>
      </c>
    </row>
    <row r="4725" spans="1:7" x14ac:dyDescent="0.3">
      <c r="A4725" s="89" t="str">
        <v/>
      </c>
      <c r="B4725" s="89" t="str">
        <v>Programa de Agua (HSE)</v>
      </c>
      <c r="C4725" s="90" t="str">
        <v/>
      </c>
      <c r="D4725" s="89" t="str">
        <v>Evento</v>
      </c>
      <c r="E4725" s="89">
        <v>0</v>
      </c>
      <c r="F4725" s="89" t="str">
        <v/>
      </c>
      <c r="G4725" s="89" t="str">
        <f ca="1"/>
        <v/>
      </c>
    </row>
    <row r="4726" spans="1:7" x14ac:dyDescent="0.3">
      <c r="A4726" s="89" t="str">
        <v/>
      </c>
      <c r="B4726" s="89" t="str">
        <v>HIV/SIDA y otras enfermedades de transmisión sexual (ETS)</v>
      </c>
      <c r="C4726" s="90" t="str">
        <v/>
      </c>
      <c r="D4726" s="89" t="str">
        <v>Periódica</v>
      </c>
      <c r="E4726" s="89">
        <v>365</v>
      </c>
      <c r="F4726" s="89" t="str">
        <v/>
      </c>
      <c r="G4726" s="89" t="str">
        <f ca="1"/>
        <v/>
      </c>
    </row>
    <row r="4727" spans="1:7" x14ac:dyDescent="0.3">
      <c r="A4727" s="89" t="str">
        <v/>
      </c>
      <c r="B4727" s="89" t="str">
        <v>Drogas de abuso (concientización y prevención)</v>
      </c>
      <c r="C4727" s="90" t="str">
        <v/>
      </c>
      <c r="D4727" s="89" t="str">
        <v>Periódica</v>
      </c>
      <c r="E4727" s="89">
        <v>365</v>
      </c>
      <c r="F4727" s="89" t="str">
        <v/>
      </c>
      <c r="G4727" s="89" t="str">
        <f ca="1"/>
        <v/>
      </c>
    </row>
    <row r="4728" spans="1:7" x14ac:dyDescent="0.3">
      <c r="A4728" s="89" t="str">
        <v/>
      </c>
      <c r="B4728" s="89" t="str">
        <v>Vida saludable (hábitos, autocuidado y bienestar)</v>
      </c>
      <c r="C4728" s="90" t="str">
        <v/>
      </c>
      <c r="D4728" s="89" t="str">
        <v>Periódica</v>
      </c>
      <c r="E4728" s="89">
        <v>365</v>
      </c>
      <c r="F4728" s="89" t="str">
        <v/>
      </c>
      <c r="G4728" s="89" t="str">
        <f ca="1"/>
        <v/>
      </c>
    </row>
    <row r="4729" spans="1:7" x14ac:dyDescent="0.3">
      <c r="A4729" s="89" t="str">
        <v/>
      </c>
      <c r="B4729" s="89" t="str">
        <v>Primeros auxilios y Reanimación Cardio Pulmonar (RCP)</v>
      </c>
      <c r="C4729" s="90" t="str">
        <v/>
      </c>
      <c r="D4729" s="89" t="str">
        <v>Periódica</v>
      </c>
      <c r="E4729" s="89">
        <v>365</v>
      </c>
      <c r="F4729" s="89" t="str">
        <v/>
      </c>
      <c r="G4729" s="89" t="str">
        <f ca="1"/>
        <v/>
      </c>
    </row>
    <row r="4730" spans="1:7" x14ac:dyDescent="0.3">
      <c r="A4730" s="89" t="str">
        <v/>
      </c>
      <c r="B4730" s="89" t="str">
        <v>Prevención cardiovascular (factores de riesgo y señales de alarma)</v>
      </c>
      <c r="C4730" s="90" t="str">
        <v/>
      </c>
      <c r="D4730" s="89" t="str">
        <v>Periódica</v>
      </c>
      <c r="E4730" s="89">
        <v>365</v>
      </c>
      <c r="F4730" s="89" t="str">
        <v/>
      </c>
      <c r="G4730" s="89" t="str">
        <f ca="1"/>
        <v/>
      </c>
    </row>
    <row r="4731" spans="1:7" x14ac:dyDescent="0.3">
      <c r="A4731" s="89" t="str">
        <v/>
      </c>
      <c r="B4731" s="89" t="str">
        <v>Efectos del tabaco sobre la salud</v>
      </c>
      <c r="C4731" s="90" t="str">
        <v/>
      </c>
      <c r="D4731" s="89" t="str">
        <v>Periódica</v>
      </c>
      <c r="E4731" s="89">
        <v>365</v>
      </c>
      <c r="F4731" s="89" t="str">
        <v/>
      </c>
      <c r="G4731" s="89" t="str">
        <f ca="1"/>
        <v/>
      </c>
    </row>
    <row r="4732" spans="1:7" x14ac:dyDescent="0.3">
      <c r="A4732" s="89" t="str">
        <v/>
      </c>
      <c r="B4732" s="89" t="str">
        <v>Cargadora (Op. Montacargas)</v>
      </c>
      <c r="C4732" s="90" t="str">
        <v/>
      </c>
      <c r="D4732" s="89" t="str">
        <v>Periódica</v>
      </c>
      <c r="E4732" s="89">
        <v>365</v>
      </c>
      <c r="F4732" s="89" t="str">
        <v/>
      </c>
      <c r="G4732" s="89" t="str">
        <f ca="1"/>
        <v/>
      </c>
    </row>
    <row r="4733" spans="1:7" x14ac:dyDescent="0.3">
      <c r="A4733" s="89" t="str">
        <v/>
      </c>
      <c r="B4733" s="89">
        <v>0</v>
      </c>
      <c r="C4733" s="90" t="str">
        <v/>
      </c>
      <c r="D4733" s="89" t="str">
        <v/>
      </c>
      <c r="E4733" s="89" t="str">
        <v/>
      </c>
      <c r="F4733" s="89" t="str">
        <v/>
      </c>
      <c r="G4733" s="89" t="str">
        <f ca="1"/>
        <v/>
      </c>
    </row>
    <row r="4734" spans="1:7" x14ac:dyDescent="0.3">
      <c r="A4734" s="89" t="str">
        <v/>
      </c>
      <c r="B4734" s="89">
        <v>0</v>
      </c>
      <c r="C4734" s="90" t="str">
        <v/>
      </c>
      <c r="D4734" s="89" t="str">
        <v/>
      </c>
      <c r="E4734" s="89" t="str">
        <v/>
      </c>
      <c r="F4734" s="89" t="str">
        <v/>
      </c>
      <c r="G4734" s="89" t="str">
        <f ca="1"/>
        <v/>
      </c>
    </row>
    <row r="4735" spans="1:7" x14ac:dyDescent="0.3">
      <c r="A4735" s="89" t="str">
        <v/>
      </c>
      <c r="B4735" s="89">
        <v>0</v>
      </c>
      <c r="C4735" s="90" t="str">
        <v/>
      </c>
      <c r="D4735" s="89" t="str">
        <v/>
      </c>
      <c r="E4735" s="89" t="str">
        <v/>
      </c>
      <c r="F4735" s="89" t="str">
        <v/>
      </c>
      <c r="G4735" s="89" t="str">
        <f ca="1"/>
        <v/>
      </c>
    </row>
    <row r="4736" spans="1:7" x14ac:dyDescent="0.3">
      <c r="A4736" s="89" t="str">
        <v/>
      </c>
      <c r="B4736" s="89">
        <v>0</v>
      </c>
      <c r="C4736" s="90" t="str">
        <v/>
      </c>
      <c r="D4736" s="89" t="str">
        <v/>
      </c>
      <c r="E4736" s="89" t="str">
        <v/>
      </c>
      <c r="F4736" s="89" t="str">
        <v/>
      </c>
      <c r="G4736" s="89" t="str">
        <f ca="1"/>
        <v/>
      </c>
    </row>
    <row r="4737" spans="1:7" x14ac:dyDescent="0.3">
      <c r="A4737" s="89" t="str">
        <v/>
      </c>
      <c r="B4737" s="89">
        <v>0</v>
      </c>
      <c r="C4737" s="90" t="str">
        <v/>
      </c>
      <c r="D4737" s="89" t="str">
        <v/>
      </c>
      <c r="E4737" s="89" t="str">
        <v/>
      </c>
      <c r="F4737" s="89" t="str">
        <v/>
      </c>
      <c r="G4737" s="89" t="str">
        <f ca="1"/>
        <v/>
      </c>
    </row>
    <row r="4738" spans="1:7" x14ac:dyDescent="0.3">
      <c r="A4738" s="89" t="str">
        <v/>
      </c>
      <c r="B4738" s="89">
        <v>0</v>
      </c>
      <c r="C4738" s="90" t="str">
        <v/>
      </c>
      <c r="D4738" s="89" t="str">
        <v/>
      </c>
      <c r="E4738" s="89" t="str">
        <v/>
      </c>
      <c r="F4738" s="89" t="str">
        <v/>
      </c>
      <c r="G4738" s="89" t="str">
        <f ca="1"/>
        <v/>
      </c>
    </row>
    <row r="4739" spans="1:7" x14ac:dyDescent="0.3">
      <c r="A4739" s="89" t="str">
        <v/>
      </c>
      <c r="B4739" s="89">
        <v>0</v>
      </c>
      <c r="C4739" s="90" t="str">
        <v/>
      </c>
      <c r="D4739" s="89" t="str">
        <v/>
      </c>
      <c r="E4739" s="89" t="str">
        <v/>
      </c>
      <c r="F4739" s="89" t="str">
        <v/>
      </c>
      <c r="G4739" s="89" t="str">
        <f ca="1"/>
        <v/>
      </c>
    </row>
    <row r="4740" spans="1:7" x14ac:dyDescent="0.3">
      <c r="A4740" s="89" t="str">
        <v/>
      </c>
      <c r="B4740" s="89">
        <v>0</v>
      </c>
      <c r="C4740" s="90" t="str">
        <v/>
      </c>
      <c r="D4740" s="89" t="str">
        <v/>
      </c>
      <c r="E4740" s="89" t="str">
        <v/>
      </c>
      <c r="F4740" s="89" t="str">
        <v/>
      </c>
      <c r="G4740" s="89" t="str">
        <f ca="1"/>
        <v/>
      </c>
    </row>
    <row r="4741" spans="1:7" x14ac:dyDescent="0.3">
      <c r="A4741" s="89" t="str">
        <v/>
      </c>
      <c r="B4741" s="89">
        <v>0</v>
      </c>
      <c r="C4741" s="90" t="str">
        <v/>
      </c>
      <c r="D4741" s="89" t="str">
        <v/>
      </c>
      <c r="E4741" s="89" t="str">
        <v/>
      </c>
      <c r="F4741" s="89" t="str">
        <v/>
      </c>
      <c r="G4741" s="89" t="str">
        <f ca="1"/>
        <v/>
      </c>
    </row>
    <row r="4742" spans="1:7" x14ac:dyDescent="0.3">
      <c r="A4742" s="89" t="str">
        <v/>
      </c>
      <c r="B4742" s="89" t="str">
        <v>Programa de Aire</v>
      </c>
      <c r="C4742" s="90" t="str">
        <v/>
      </c>
      <c r="D4742" s="89" t="str">
        <v>Evento</v>
      </c>
      <c r="E4742" s="89">
        <v>0</v>
      </c>
      <c r="F4742" s="89" t="str">
        <v/>
      </c>
      <c r="G4742" s="89" t="str">
        <f ca="1"/>
        <v/>
      </c>
    </row>
    <row r="4743" spans="1:7" x14ac:dyDescent="0.3">
      <c r="A4743" s="89" t="str">
        <v/>
      </c>
      <c r="B4743" s="89" t="str">
        <v>Conciencia Ambiental</v>
      </c>
      <c r="C4743" s="90" t="str">
        <v/>
      </c>
      <c r="D4743" s="89" t="str">
        <v>Periódica</v>
      </c>
      <c r="E4743" s="89">
        <v>365</v>
      </c>
      <c r="F4743" s="89" t="str">
        <v/>
      </c>
      <c r="G4743" s="89" t="str">
        <f ca="1"/>
        <v/>
      </c>
    </row>
    <row r="4744" spans="1:7" x14ac:dyDescent="0.3">
      <c r="A4744" s="89" t="str">
        <v/>
      </c>
      <c r="B4744" s="89" t="str">
        <v xml:space="preserve">Control de Documentos e Informacion de HSE </v>
      </c>
      <c r="C4744" s="90" t="str">
        <v/>
      </c>
      <c r="D4744" s="89" t="str">
        <v>Evento</v>
      </c>
      <c r="E4744" s="89">
        <v>0</v>
      </c>
      <c r="F4744" s="89" t="str">
        <v/>
      </c>
      <c r="G4744" s="89" t="str">
        <f ca="1"/>
        <v/>
      </c>
    </row>
    <row r="4745" spans="1:7" x14ac:dyDescent="0.3">
      <c r="A4745" s="89" t="str">
        <v/>
      </c>
      <c r="B4745" s="89" t="str">
        <v xml:space="preserve"> Acciones Correctivas y Preventivas (CAPA)</v>
      </c>
      <c r="C4745" s="90" t="str">
        <v/>
      </c>
      <c r="D4745" s="89" t="str">
        <v>Evento</v>
      </c>
      <c r="E4745" s="89">
        <v>0</v>
      </c>
      <c r="F4745" s="89" t="str">
        <v/>
      </c>
      <c r="G4745" s="89" t="str">
        <f ca="1"/>
        <v/>
      </c>
    </row>
    <row r="4746" spans="1:7" x14ac:dyDescent="0.3">
      <c r="A4746" s="89" t="str">
        <v/>
      </c>
      <c r="B4746" s="89" t="str">
        <v>Seguridad Basada en el Comportamiento (Observation Program) // HSMS.043 / Autoridad de Detener el Trabajo</v>
      </c>
      <c r="C4746" s="90" t="str">
        <v/>
      </c>
      <c r="D4746" s="89" t="str">
        <v>Periódica</v>
      </c>
      <c r="E4746" s="89">
        <v>365</v>
      </c>
      <c r="F4746" s="89" t="str">
        <v/>
      </c>
      <c r="G4746" s="89" t="str">
        <f ca="1"/>
        <v/>
      </c>
    </row>
    <row r="4747" spans="1:7" x14ac:dyDescent="0.3">
      <c r="A4747" s="89" t="str">
        <v/>
      </c>
      <c r="B4747" s="89" t="str">
        <v>Identificacion de Peligros y Evaluacion de Riesgos</v>
      </c>
      <c r="C4747" s="90" t="str">
        <v/>
      </c>
      <c r="D4747" s="89" t="str">
        <v>Evento</v>
      </c>
      <c r="E4747" s="89">
        <v>0</v>
      </c>
      <c r="F4747" s="89" t="str">
        <v/>
      </c>
      <c r="G4747" s="89" t="str">
        <f ca="1"/>
        <v/>
      </c>
    </row>
    <row r="4748" spans="1:7" x14ac:dyDescent="0.3">
      <c r="A4748" s="89" t="str">
        <v/>
      </c>
      <c r="B4748" s="89" t="str">
        <v xml:space="preserve"> Plan de Respuesta ante Eemergencias / HSMS.010 /Primeros Axulios &amp; RCP/DEA / HSMSWT-002 / Patogenos Trasnmitidos por la Sangre</v>
      </c>
      <c r="C4748" s="90" t="str">
        <v/>
      </c>
      <c r="D4748" s="89" t="str">
        <v>Periódica</v>
      </c>
      <c r="E4748" s="89">
        <v>365</v>
      </c>
      <c r="F4748" s="89" t="str">
        <v/>
      </c>
      <c r="G4748" s="89" t="str">
        <f ca="1"/>
        <v/>
      </c>
    </row>
    <row r="4749" spans="1:7" x14ac:dyDescent="0.3">
      <c r="A4749" s="89" t="str">
        <v/>
      </c>
      <c r="B4749" s="89" t="str">
        <v>Reporte y Gestion de Incidentes HSE (Todos)</v>
      </c>
      <c r="C4749" s="90" t="str">
        <v/>
      </c>
      <c r="D4749" s="89" t="str">
        <v>Periódica</v>
      </c>
      <c r="E4749" s="89">
        <v>365</v>
      </c>
      <c r="F4749" s="89" t="str">
        <v/>
      </c>
      <c r="G4749" s="89" t="str">
        <f ca="1"/>
        <v/>
      </c>
    </row>
    <row r="4750" spans="1:7" x14ac:dyDescent="0.3">
      <c r="A4750" s="89" t="str">
        <v/>
      </c>
      <c r="B4750" s="89" t="str">
        <v>Reporte, Gestion e Investigacion de Incidentes HSE (supervisores / investigadores (rol))</v>
      </c>
      <c r="C4750" s="90" t="str">
        <v/>
      </c>
      <c r="D4750" s="89" t="str">
        <v>Periódica</v>
      </c>
      <c r="E4750" s="89">
        <v>1095</v>
      </c>
      <c r="F4750" s="89" t="str">
        <v/>
      </c>
      <c r="G4750" s="89" t="str">
        <f ca="1"/>
        <v/>
      </c>
    </row>
    <row r="4751" spans="1:7" x14ac:dyDescent="0.3">
      <c r="A4751" s="89" t="str">
        <v/>
      </c>
      <c r="B4751" s="89" t="str">
        <v>Gruas y Equipos de Izaje (Todos)</v>
      </c>
      <c r="C4751" s="90" t="str">
        <v/>
      </c>
      <c r="D4751" s="89" t="str">
        <v>Periódica</v>
      </c>
      <c r="E4751" s="89">
        <v>365</v>
      </c>
      <c r="F4751" s="89" t="str">
        <v/>
      </c>
      <c r="G4751" s="89" t="str">
        <f ca="1"/>
        <v/>
      </c>
    </row>
    <row r="4752" spans="1:7" x14ac:dyDescent="0.3">
      <c r="A4752" s="89" t="str">
        <v/>
      </c>
      <c r="B4752" s="89" t="str">
        <v>HSMS.007 / Gruas y Equipos de Izaje (Operadores)</v>
      </c>
      <c r="C4752" s="90" t="str">
        <v/>
      </c>
      <c r="D4752" s="89" t="str">
        <v>Periódica</v>
      </c>
      <c r="E4752" s="89">
        <v>365</v>
      </c>
      <c r="F4752" s="89" t="str">
        <v/>
      </c>
      <c r="G4752" s="89" t="str">
        <f ca="1"/>
        <v/>
      </c>
    </row>
    <row r="4753" spans="1:7" x14ac:dyDescent="0.3">
      <c r="A4753" s="89" t="str">
        <v/>
      </c>
      <c r="B4753" s="89" t="str">
        <v>Proteccion Contra Incendios (Todos)</v>
      </c>
      <c r="C4753" s="90" t="str">
        <v/>
      </c>
      <c r="D4753" s="89" t="str">
        <v>Periódica</v>
      </c>
      <c r="E4753" s="89">
        <v>365</v>
      </c>
      <c r="F4753" s="89" t="str">
        <v/>
      </c>
      <c r="G4753" s="89" t="str">
        <f ca="1"/>
        <v/>
      </c>
    </row>
    <row r="4754" spans="1:7" x14ac:dyDescent="0.3">
      <c r="A4754" s="89" t="str">
        <v/>
      </c>
      <c r="B4754" s="89" t="str">
        <v>Proteccion Contra Incendios (Brigadistas)</v>
      </c>
      <c r="C4754" s="90" t="str">
        <v/>
      </c>
      <c r="D4754" s="89" t="str">
        <v>Periódica</v>
      </c>
      <c r="E4754" s="89">
        <v>365</v>
      </c>
      <c r="F4754" s="89" t="str">
        <v/>
      </c>
      <c r="G4754" s="89" t="str">
        <f ca="1"/>
        <v/>
      </c>
    </row>
    <row r="4755" spans="1:7" x14ac:dyDescent="0.3">
      <c r="A4755" s="89" t="str">
        <v/>
      </c>
      <c r="B4755" s="89" t="str">
        <v>Primeros Auxilios (Brigadistas)</v>
      </c>
      <c r="C4755" s="90" t="str">
        <v/>
      </c>
      <c r="D4755" s="89" t="str">
        <v>Periódica</v>
      </c>
      <c r="E4755" s="89">
        <v>365</v>
      </c>
      <c r="F4755" s="89" t="str">
        <v/>
      </c>
      <c r="G4755" s="89" t="str">
        <f ca="1"/>
        <v/>
      </c>
    </row>
    <row r="4756" spans="1:7" x14ac:dyDescent="0.3">
      <c r="A4756" s="89" t="str">
        <v/>
      </c>
      <c r="B4756" s="89" t="str">
        <v>Seguridad Electrica (Todos)</v>
      </c>
      <c r="C4756" s="90" t="str">
        <v/>
      </c>
      <c r="D4756" s="89" t="str">
        <v>Periódica</v>
      </c>
      <c r="E4756" s="89">
        <v>365</v>
      </c>
      <c r="F4756" s="89" t="str">
        <v/>
      </c>
      <c r="G4756" s="89" t="str">
        <f ca="1"/>
        <v/>
      </c>
    </row>
    <row r="4757" spans="1:7" x14ac:dyDescent="0.3">
      <c r="A4757" s="89" t="str">
        <v/>
      </c>
      <c r="B4757" s="89" t="str">
        <v>Seguridad Electrica (Personal Autorizado)</v>
      </c>
      <c r="C4757" s="90" t="str">
        <v/>
      </c>
      <c r="D4757" s="89" t="str">
        <v>Periódica</v>
      </c>
      <c r="E4757" s="89">
        <v>1095</v>
      </c>
      <c r="F4757" s="89" t="str">
        <v/>
      </c>
      <c r="G4757" s="89" t="str">
        <f ca="1"/>
        <v/>
      </c>
    </row>
    <row r="4758" spans="1:7" x14ac:dyDescent="0.3">
      <c r="A4758" s="89" t="str">
        <v/>
      </c>
      <c r="B4758" s="89" t="str">
        <v>Camiones Industriales Motorizados (PIT) (Todos)</v>
      </c>
      <c r="C4758" s="90" t="str">
        <v/>
      </c>
      <c r="D4758" s="89" t="str">
        <v>Periódica</v>
      </c>
      <c r="E4758" s="89">
        <v>365</v>
      </c>
      <c r="F4758" s="89" t="str">
        <v/>
      </c>
      <c r="G4758" s="89" t="str">
        <f ca="1"/>
        <v/>
      </c>
    </row>
    <row r="4759" spans="1:7" x14ac:dyDescent="0.3">
      <c r="A4759" s="89" t="str">
        <v/>
      </c>
      <c r="B4759" s="89" t="str">
        <v>Camiones Industriales Motorizados (PIT) (Op. Montacargas)</v>
      </c>
      <c r="C4759" s="90" t="str">
        <v/>
      </c>
      <c r="D4759" s="89" t="str">
        <v>Periódica</v>
      </c>
      <c r="E4759" s="89">
        <v>365</v>
      </c>
      <c r="F4759" s="89" t="str">
        <v/>
      </c>
      <c r="G4759" s="89" t="str">
        <f ca="1"/>
        <v/>
      </c>
    </row>
    <row r="4760" spans="1:7" x14ac:dyDescent="0.3">
      <c r="A4760" s="89" t="str">
        <v/>
      </c>
      <c r="B4760" s="89" t="str">
        <v>Control de Energias Peligrosas (LOTO) (Todos)</v>
      </c>
      <c r="C4760" s="90" t="str">
        <v/>
      </c>
      <c r="D4760" s="89" t="str">
        <v>Evento</v>
      </c>
      <c r="E4760" s="89">
        <v>0</v>
      </c>
      <c r="F4760" s="89" t="str">
        <v/>
      </c>
      <c r="G4760" s="89" t="str">
        <f ca="1"/>
        <v/>
      </c>
    </row>
    <row r="4761" spans="1:7" x14ac:dyDescent="0.3">
      <c r="A4761" s="89" t="str">
        <v/>
      </c>
      <c r="B4761" s="89" t="str">
        <v>Control de Energias Peligrosas (LOTO) (Empleados Autorizados)</v>
      </c>
      <c r="C4761" s="90" t="str">
        <v/>
      </c>
      <c r="D4761" s="89" t="str">
        <v>Periódica</v>
      </c>
      <c r="E4761" s="89">
        <v>365</v>
      </c>
      <c r="F4761" s="89" t="str">
        <v/>
      </c>
      <c r="G4761" s="89" t="str">
        <f ca="1"/>
        <v/>
      </c>
    </row>
    <row r="4762" spans="1:7" x14ac:dyDescent="0.3">
      <c r="A4762" s="89" t="str">
        <v/>
      </c>
      <c r="B4762" s="89" t="str">
        <v>Seguridad aplicada al Pozo &amp; Yacimiento</v>
      </c>
      <c r="C4762" s="90" t="str">
        <v/>
      </c>
      <c r="D4762" s="89" t="str">
        <v>Periódica</v>
      </c>
      <c r="E4762" s="89">
        <v>365</v>
      </c>
      <c r="F4762" s="89" t="str">
        <v/>
      </c>
      <c r="G4762" s="89" t="str">
        <f ca="1"/>
        <v/>
      </c>
    </row>
    <row r="4763" spans="1:7" x14ac:dyDescent="0.3">
      <c r="A4763" s="89" t="str">
        <v/>
      </c>
      <c r="B4763" s="89" t="str">
        <v>Las Reglas que Salvan Vidas</v>
      </c>
      <c r="C4763" s="90" t="str">
        <v/>
      </c>
      <c r="D4763" s="89" t="str">
        <v>Periódica</v>
      </c>
      <c r="E4763" s="89">
        <v>365</v>
      </c>
      <c r="F4763" s="89" t="str">
        <v/>
      </c>
      <c r="G4763" s="89" t="str">
        <f ca="1"/>
        <v/>
      </c>
    </row>
    <row r="4764" spans="1:7" x14ac:dyDescent="0.3">
      <c r="A4764" s="89" t="str">
        <v/>
      </c>
      <c r="B4764" s="89" t="str">
        <v xml:space="preserve">Resguardo de Maquinas &amp; Equipos </v>
      </c>
      <c r="C4764" s="90" t="str">
        <v/>
      </c>
      <c r="D4764" s="89" t="str">
        <v>Periódica</v>
      </c>
      <c r="E4764" s="89">
        <v>365</v>
      </c>
      <c r="F4764" s="89" t="str">
        <v/>
      </c>
      <c r="G4764" s="89" t="str">
        <f ca="1"/>
        <v/>
      </c>
    </row>
    <row r="4765" spans="1:7" x14ac:dyDescent="0.3">
      <c r="A4765" s="89" t="str">
        <v/>
      </c>
      <c r="B4765" s="89" t="str">
        <v>Conduccion y Gestion de Viajes (Todos)</v>
      </c>
      <c r="C4765" s="90" t="str">
        <v/>
      </c>
      <c r="D4765" s="89" t="str">
        <v>Periódica</v>
      </c>
      <c r="E4765" s="89">
        <v>730</v>
      </c>
      <c r="F4765" s="89" t="str">
        <v/>
      </c>
      <c r="G4765" s="89" t="str">
        <f ca="1"/>
        <v/>
      </c>
    </row>
    <row r="4766" spans="1:7" x14ac:dyDescent="0.3">
      <c r="A4766" s="89" t="str">
        <v/>
      </c>
      <c r="B4766" s="89" t="str">
        <v>Conduccion y Gestion de Viajes (Conductores)</v>
      </c>
      <c r="C4766" s="90" t="str">
        <v/>
      </c>
      <c r="D4766" s="89" t="str">
        <v>Periódica</v>
      </c>
      <c r="E4766" s="89">
        <v>1095</v>
      </c>
      <c r="F4766" s="89" t="str">
        <v/>
      </c>
      <c r="G4766" s="89" t="str">
        <f ca="1"/>
        <v/>
      </c>
    </row>
    <row r="4767" spans="1:7" x14ac:dyDescent="0.3">
      <c r="A4767" s="89" t="str">
        <v/>
      </c>
      <c r="B4767" s="89" t="str">
        <v>Patogenos Transmitidos por la Sangre</v>
      </c>
      <c r="C4767" s="90" t="str">
        <v/>
      </c>
      <c r="D4767" s="89" t="str">
        <v>Periódica</v>
      </c>
      <c r="E4767" s="89">
        <v>365</v>
      </c>
      <c r="F4767" s="89" t="str">
        <v/>
      </c>
      <c r="G4767" s="89" t="str">
        <f ca="1"/>
        <v/>
      </c>
    </row>
    <row r="4768" spans="1:7" x14ac:dyDescent="0.3">
      <c r="A4768" s="89" t="str">
        <v/>
      </c>
      <c r="B4768" s="89" t="str">
        <v>Conservacion Auditiva</v>
      </c>
      <c r="C4768" s="90" t="str">
        <v/>
      </c>
      <c r="D4768" s="89" t="str">
        <v>Periódica</v>
      </c>
      <c r="E4768" s="89">
        <v>365</v>
      </c>
      <c r="F4768" s="89" t="str">
        <v/>
      </c>
      <c r="G4768" s="89" t="str">
        <f ca="1"/>
        <v/>
      </c>
    </row>
    <row r="4769" spans="1:7" x14ac:dyDescent="0.3">
      <c r="A4769" s="89" t="str">
        <v/>
      </c>
      <c r="B4769" s="89" t="str">
        <v xml:space="preserve">Ergonomia //  / Levantamiento &amp; Seguridad en la Espalda </v>
      </c>
      <c r="C4769" s="90" t="str">
        <v/>
      </c>
      <c r="D4769" s="89" t="str">
        <v>Periódica</v>
      </c>
      <c r="E4769" s="89">
        <v>365</v>
      </c>
      <c r="F4769" s="89" t="str">
        <v/>
      </c>
      <c r="G4769" s="89" t="str">
        <f ca="1"/>
        <v/>
      </c>
    </row>
    <row r="4770" spans="1:7" x14ac:dyDescent="0.3">
      <c r="A4770" s="89" t="str">
        <v/>
      </c>
      <c r="B4770" s="89" t="str">
        <v>Superficies Elevadas (Todos)</v>
      </c>
      <c r="C4770" s="90" t="str">
        <v/>
      </c>
      <c r="D4770" s="89" t="str">
        <v>Periódica</v>
      </c>
      <c r="E4770" s="89">
        <v>365</v>
      </c>
      <c r="F4770" s="89" t="str">
        <v/>
      </c>
      <c r="G4770" s="89" t="str">
        <f ca="1"/>
        <v/>
      </c>
    </row>
    <row r="4771" spans="1:7" x14ac:dyDescent="0.3">
      <c r="A4771" s="89" t="str">
        <v/>
      </c>
      <c r="B4771" s="89" t="str">
        <v>Superficies Elevadas (Personal Habilitado)</v>
      </c>
      <c r="C4771" s="90" t="str">
        <v/>
      </c>
      <c r="D4771" s="89" t="str">
        <v>Periódica</v>
      </c>
      <c r="E4771" s="89">
        <v>365</v>
      </c>
      <c r="F4771" s="89" t="str">
        <v/>
      </c>
      <c r="G4771" s="89" t="str">
        <f ca="1"/>
        <v/>
      </c>
    </row>
    <row r="4772" spans="1:7" x14ac:dyDescent="0.3">
      <c r="A4772" s="89" t="str">
        <v/>
      </c>
      <c r="B4772" s="89" t="str">
        <v>Seguridad Quimica (Todos)</v>
      </c>
      <c r="C4772" s="90" t="str">
        <v/>
      </c>
      <c r="D4772" s="89" t="str">
        <v>Periódica</v>
      </c>
      <c r="E4772" s="89">
        <v>730</v>
      </c>
      <c r="F4772" s="89" t="str">
        <v/>
      </c>
      <c r="G4772" s="89" t="str">
        <f ca="1"/>
        <v/>
      </c>
    </row>
    <row r="4773" spans="1:7" x14ac:dyDescent="0.3">
      <c r="A4773" s="89" t="str">
        <v/>
      </c>
      <c r="B4773" s="89" t="str">
        <v>Seguridad Quimica (Mantenimiento)</v>
      </c>
      <c r="C4773" s="90" t="str">
        <v/>
      </c>
      <c r="D4773" s="89" t="str">
        <v>Periódica</v>
      </c>
      <c r="E4773" s="89">
        <v>365</v>
      </c>
      <c r="F4773" s="89" t="str">
        <v/>
      </c>
      <c r="G4773" s="89" t="str">
        <f ca="1"/>
        <v/>
      </c>
    </row>
    <row r="4774" spans="1:7" x14ac:dyDescent="0.3">
      <c r="A4774" s="89" t="str">
        <v/>
      </c>
      <c r="B4774" s="89" t="str">
        <v>Seguridad Quimica (Contratistas)</v>
      </c>
      <c r="C4774" s="90" t="str">
        <v/>
      </c>
      <c r="D4774" s="89" t="str">
        <v>Periódica</v>
      </c>
      <c r="E4774" s="89">
        <v>365</v>
      </c>
      <c r="F4774" s="89" t="str">
        <v/>
      </c>
      <c r="G4774" s="89" t="str">
        <f ca="1"/>
        <v/>
      </c>
    </row>
    <row r="4775" spans="1:7" x14ac:dyDescent="0.3">
      <c r="A4775" s="89" t="str">
        <v/>
      </c>
      <c r="B4775" s="89" t="str">
        <v>Seguridad para Trabajos en Caliente</v>
      </c>
      <c r="C4775" s="90" t="str">
        <v/>
      </c>
      <c r="D4775" s="89" t="str">
        <v>Periódica</v>
      </c>
      <c r="E4775" s="89">
        <v>365</v>
      </c>
      <c r="F4775" s="89" t="str">
        <v/>
      </c>
      <c r="G4775" s="89" t="str">
        <f ca="1"/>
        <v/>
      </c>
    </row>
    <row r="4776" spans="1:7" x14ac:dyDescent="0.3">
      <c r="A4776" s="89" t="str">
        <v/>
      </c>
      <c r="B4776" s="89" t="str">
        <v>Seguridad con la Radiacion</v>
      </c>
      <c r="C4776" s="90" t="str">
        <v/>
      </c>
      <c r="D4776" s="89" t="str">
        <v>Periódica</v>
      </c>
      <c r="E4776" s="89">
        <v>365</v>
      </c>
      <c r="F4776" s="89" t="str">
        <v/>
      </c>
      <c r="G4776" s="89" t="str">
        <f ca="1"/>
        <v/>
      </c>
    </row>
    <row r="4777" spans="1:7" x14ac:dyDescent="0.3">
      <c r="A4777" s="89" t="str">
        <v/>
      </c>
      <c r="B4777" s="89" t="str">
        <v>Equipo de Proteccion Personal (PPE)</v>
      </c>
      <c r="C4777" s="90" t="str">
        <v/>
      </c>
      <c r="D4777" s="89" t="str">
        <v>Periódica</v>
      </c>
      <c r="E4777" s="89">
        <v>365</v>
      </c>
      <c r="F4777" s="89" t="str">
        <v/>
      </c>
      <c r="G4777" s="89" t="str">
        <f ca="1"/>
        <v/>
      </c>
    </row>
    <row r="4778" spans="1:7" x14ac:dyDescent="0.3">
      <c r="A4778" s="89" t="str">
        <v/>
      </c>
      <c r="B4778" s="89" t="str">
        <v>Proteccion Respiratoria</v>
      </c>
      <c r="C4778" s="90" t="str">
        <v/>
      </c>
      <c r="D4778" s="89" t="str">
        <v>Periódica</v>
      </c>
      <c r="E4778" s="89">
        <v>365</v>
      </c>
      <c r="F4778" s="89" t="str">
        <v/>
      </c>
      <c r="G4778" s="89" t="str">
        <f ca="1"/>
        <v/>
      </c>
    </row>
    <row r="4779" spans="1:7" x14ac:dyDescent="0.3">
      <c r="A4779" s="89" t="str">
        <v/>
      </c>
      <c r="B4779" s="89" t="str">
        <v xml:space="preserve">Seguridad con Escaleras </v>
      </c>
      <c r="C4779" s="90" t="str">
        <v/>
      </c>
      <c r="D4779" s="89" t="str">
        <v>Periódica</v>
      </c>
      <c r="E4779" s="89">
        <v>365</v>
      </c>
      <c r="F4779" s="89" t="str">
        <v/>
      </c>
      <c r="G4779" s="89" t="str">
        <f ca="1"/>
        <v/>
      </c>
    </row>
    <row r="4780" spans="1:7" x14ac:dyDescent="0.3">
      <c r="A4780" s="89" t="str">
        <v/>
      </c>
      <c r="B4780" s="89" t="str">
        <v>Seguridad con Escaleras // Estantes de Almacenamiento</v>
      </c>
      <c r="C4780" s="90" t="str">
        <v/>
      </c>
      <c r="D4780" s="89" t="str">
        <v>Periódica</v>
      </c>
      <c r="E4780" s="89">
        <v>365</v>
      </c>
      <c r="F4780" s="89" t="str">
        <v/>
      </c>
      <c r="G4780" s="89" t="str">
        <f ca="1"/>
        <v/>
      </c>
    </row>
    <row r="4781" spans="1:7" x14ac:dyDescent="0.3">
      <c r="A4781" s="89" t="str">
        <v/>
      </c>
      <c r="B4781" s="89" t="str">
        <v>Responsabilidades del Supervisor</v>
      </c>
      <c r="C4781" s="90" t="str">
        <v/>
      </c>
      <c r="D4781" s="89" t="str">
        <v>Periódica</v>
      </c>
      <c r="E4781" s="89">
        <v>365</v>
      </c>
      <c r="F4781" s="89" t="str">
        <v/>
      </c>
      <c r="G4781" s="89" t="str">
        <f ca="1"/>
        <v/>
      </c>
    </row>
    <row r="4782" spans="1:7" x14ac:dyDescent="0.3">
      <c r="A4782" s="89" t="str">
        <v/>
      </c>
      <c r="B4782" s="89" t="str">
        <v>Espacios Confinados (Todos)</v>
      </c>
      <c r="C4782" s="90" t="str">
        <v/>
      </c>
      <c r="D4782" s="89" t="str">
        <v>Periódica</v>
      </c>
      <c r="E4782" s="89">
        <v>365</v>
      </c>
      <c r="F4782" s="89" t="str">
        <v/>
      </c>
      <c r="G4782" s="89" t="str">
        <f ca="1"/>
        <v/>
      </c>
    </row>
    <row r="4783" spans="1:7" x14ac:dyDescent="0.3">
      <c r="A4783" s="89" t="str">
        <v/>
      </c>
      <c r="B4783" s="89" t="str">
        <v>HSMS.017 / Espacios Confinados (Entrantes)</v>
      </c>
      <c r="C4783" s="90" t="str">
        <v/>
      </c>
      <c r="D4783" s="89" t="str">
        <v>Evento</v>
      </c>
      <c r="E4783" s="89">
        <v>0</v>
      </c>
      <c r="F4783" s="89" t="str">
        <v/>
      </c>
      <c r="G4783" s="89" t="str">
        <f ca="1"/>
        <v/>
      </c>
    </row>
    <row r="4784" spans="1:7" x14ac:dyDescent="0.3">
      <c r="A4784" s="89" t="str">
        <v/>
      </c>
      <c r="B4784" s="89" t="str">
        <v>Programa de Agua (Todos)</v>
      </c>
      <c r="C4784" s="90" t="str">
        <v/>
      </c>
      <c r="D4784" s="89" t="str">
        <v>Evento</v>
      </c>
      <c r="E4784" s="89">
        <v>0</v>
      </c>
      <c r="F4784" s="89" t="str">
        <v/>
      </c>
      <c r="G4784" s="89" t="str">
        <f ca="1"/>
        <v/>
      </c>
    </row>
    <row r="4785" spans="1:7" x14ac:dyDescent="0.3">
      <c r="A4785" s="89" t="str">
        <v/>
      </c>
      <c r="B4785" s="89" t="str">
        <v>Programa de Agua (HSE)</v>
      </c>
      <c r="C4785" s="90" t="str">
        <v/>
      </c>
      <c r="D4785" s="89" t="str">
        <v>Evento</v>
      </c>
      <c r="E4785" s="89">
        <v>0</v>
      </c>
      <c r="F4785" s="89" t="str">
        <v/>
      </c>
      <c r="G4785" s="89" t="str">
        <f ca="1"/>
        <v/>
      </c>
    </row>
    <row r="4786" spans="1:7" x14ac:dyDescent="0.3">
      <c r="A4786" s="89" t="str">
        <v/>
      </c>
      <c r="B4786" s="89" t="str">
        <v>HIV/SIDA y otras enfermedades de transmisión sexual (ETS)</v>
      </c>
      <c r="C4786" s="90" t="str">
        <v/>
      </c>
      <c r="D4786" s="89" t="str">
        <v>Periódica</v>
      </c>
      <c r="E4786" s="89">
        <v>365</v>
      </c>
      <c r="F4786" s="89" t="str">
        <v/>
      </c>
      <c r="G4786" s="89" t="str">
        <f ca="1"/>
        <v/>
      </c>
    </row>
    <row r="4787" spans="1:7" x14ac:dyDescent="0.3">
      <c r="A4787" s="89" t="str">
        <v/>
      </c>
      <c r="B4787" s="89" t="str">
        <v>Drogas de abuso (concientización y prevención)</v>
      </c>
      <c r="C4787" s="90" t="str">
        <v/>
      </c>
      <c r="D4787" s="89" t="str">
        <v>Periódica</v>
      </c>
      <c r="E4787" s="89">
        <v>365</v>
      </c>
      <c r="F4787" s="89" t="str">
        <v/>
      </c>
      <c r="G4787" s="89" t="str">
        <f ca="1"/>
        <v/>
      </c>
    </row>
    <row r="4788" spans="1:7" x14ac:dyDescent="0.3">
      <c r="A4788" s="89" t="str">
        <v/>
      </c>
      <c r="B4788" s="89" t="str">
        <v>Vida saludable (hábitos, autocuidado y bienestar)</v>
      </c>
      <c r="C4788" s="90" t="str">
        <v/>
      </c>
      <c r="D4788" s="89" t="str">
        <v>Periódica</v>
      </c>
      <c r="E4788" s="89">
        <v>365</v>
      </c>
      <c r="F4788" s="89" t="str">
        <v/>
      </c>
      <c r="G4788" s="89" t="str">
        <f ca="1"/>
        <v/>
      </c>
    </row>
    <row r="4789" spans="1:7" x14ac:dyDescent="0.3">
      <c r="A4789" s="89" t="str">
        <v/>
      </c>
      <c r="B4789" s="89" t="str">
        <v>Primeros auxilios y Reanimación Cardio Pulmonar (RCP)</v>
      </c>
      <c r="C4789" s="90" t="str">
        <v/>
      </c>
      <c r="D4789" s="89" t="str">
        <v>Periódica</v>
      </c>
      <c r="E4789" s="89">
        <v>365</v>
      </c>
      <c r="F4789" s="89" t="str">
        <v/>
      </c>
      <c r="G4789" s="89" t="str">
        <f ca="1"/>
        <v/>
      </c>
    </row>
    <row r="4790" spans="1:7" x14ac:dyDescent="0.3">
      <c r="A4790" s="89" t="str">
        <v/>
      </c>
      <c r="B4790" s="89" t="str">
        <v>Prevención cardiovascular (factores de riesgo y señales de alarma)</v>
      </c>
      <c r="C4790" s="90" t="str">
        <v/>
      </c>
      <c r="D4790" s="89" t="str">
        <v>Periódica</v>
      </c>
      <c r="E4790" s="89">
        <v>365</v>
      </c>
      <c r="F4790" s="89" t="str">
        <v/>
      </c>
      <c r="G4790" s="89" t="str">
        <f ca="1"/>
        <v/>
      </c>
    </row>
    <row r="4791" spans="1:7" x14ac:dyDescent="0.3">
      <c r="A4791" s="89" t="str">
        <v/>
      </c>
      <c r="B4791" s="89" t="str">
        <v>Efectos del tabaco sobre la salud</v>
      </c>
      <c r="C4791" s="90" t="str">
        <v/>
      </c>
      <c r="D4791" s="89" t="str">
        <v>Periódica</v>
      </c>
      <c r="E4791" s="89">
        <v>365</v>
      </c>
      <c r="F4791" s="89" t="str">
        <v/>
      </c>
      <c r="G4791" s="89" t="str">
        <f ca="1"/>
        <v/>
      </c>
    </row>
    <row r="4792" spans="1:7" x14ac:dyDescent="0.3">
      <c r="A4792" s="89" t="str">
        <v/>
      </c>
      <c r="B4792" s="89" t="str">
        <v>Cargadora (Op. Montacargas)</v>
      </c>
      <c r="C4792" s="90" t="str">
        <v/>
      </c>
      <c r="D4792" s="89" t="str">
        <v>Periódica</v>
      </c>
      <c r="E4792" s="89">
        <v>365</v>
      </c>
      <c r="F4792" s="89" t="str">
        <v/>
      </c>
      <c r="G4792" s="89" t="str">
        <f ca="1"/>
        <v/>
      </c>
    </row>
    <row r="4793" spans="1:7" x14ac:dyDescent="0.3">
      <c r="A4793" s="89" t="str">
        <v/>
      </c>
      <c r="B4793" s="89">
        <v>0</v>
      </c>
      <c r="C4793" s="90" t="str">
        <v/>
      </c>
      <c r="D4793" s="89" t="str">
        <v/>
      </c>
      <c r="E4793" s="89" t="str">
        <v/>
      </c>
      <c r="F4793" s="89" t="str">
        <v/>
      </c>
      <c r="G4793" s="89" t="str">
        <f ca="1"/>
        <v/>
      </c>
    </row>
    <row r="4794" spans="1:7" x14ac:dyDescent="0.3">
      <c r="A4794" s="89" t="str">
        <v/>
      </c>
      <c r="B4794" s="89">
        <v>0</v>
      </c>
      <c r="C4794" s="90" t="str">
        <v/>
      </c>
      <c r="D4794" s="89" t="str">
        <v/>
      </c>
      <c r="E4794" s="89" t="str">
        <v/>
      </c>
      <c r="F4794" s="89" t="str">
        <v/>
      </c>
      <c r="G4794" s="89" t="str">
        <f ca="1"/>
        <v/>
      </c>
    </row>
    <row r="4795" spans="1:7" x14ac:dyDescent="0.3">
      <c r="A4795" s="89" t="str">
        <v/>
      </c>
      <c r="B4795" s="89">
        <v>0</v>
      </c>
      <c r="C4795" s="90" t="str">
        <v/>
      </c>
      <c r="D4795" s="89" t="str">
        <v/>
      </c>
      <c r="E4795" s="89" t="str">
        <v/>
      </c>
      <c r="F4795" s="89" t="str">
        <v/>
      </c>
      <c r="G4795" s="89" t="str">
        <f ca="1"/>
        <v/>
      </c>
    </row>
    <row r="4796" spans="1:7" x14ac:dyDescent="0.3">
      <c r="A4796" s="89" t="str">
        <v/>
      </c>
      <c r="B4796" s="89">
        <v>0</v>
      </c>
      <c r="C4796" s="90" t="str">
        <v/>
      </c>
      <c r="D4796" s="89" t="str">
        <v/>
      </c>
      <c r="E4796" s="89" t="str">
        <v/>
      </c>
      <c r="F4796" s="89" t="str">
        <v/>
      </c>
      <c r="G4796" s="89" t="str">
        <f ca="1"/>
        <v/>
      </c>
    </row>
    <row r="4797" spans="1:7" x14ac:dyDescent="0.3">
      <c r="A4797" s="89" t="str">
        <v/>
      </c>
      <c r="B4797" s="89">
        <v>0</v>
      </c>
      <c r="C4797" s="90" t="str">
        <v/>
      </c>
      <c r="D4797" s="89" t="str">
        <v/>
      </c>
      <c r="E4797" s="89" t="str">
        <v/>
      </c>
      <c r="F4797" s="89" t="str">
        <v/>
      </c>
      <c r="G4797" s="89" t="str">
        <f ca="1"/>
        <v/>
      </c>
    </row>
    <row r="4798" spans="1:7" x14ac:dyDescent="0.3">
      <c r="A4798" s="89" t="str">
        <v/>
      </c>
      <c r="B4798" s="89">
        <v>0</v>
      </c>
      <c r="C4798" s="90" t="str">
        <v/>
      </c>
      <c r="D4798" s="89" t="str">
        <v/>
      </c>
      <c r="E4798" s="89" t="str">
        <v/>
      </c>
      <c r="F4798" s="89" t="str">
        <v/>
      </c>
      <c r="G4798" s="89" t="str">
        <f ca="1"/>
        <v/>
      </c>
    </row>
    <row r="4799" spans="1:7" x14ac:dyDescent="0.3">
      <c r="A4799" s="89" t="str">
        <v/>
      </c>
      <c r="B4799" s="89">
        <v>0</v>
      </c>
      <c r="C4799" s="90" t="str">
        <v/>
      </c>
      <c r="D4799" s="89" t="str">
        <v/>
      </c>
      <c r="E4799" s="89" t="str">
        <v/>
      </c>
      <c r="F4799" s="89" t="str">
        <v/>
      </c>
      <c r="G4799" s="89" t="str">
        <f ca="1"/>
        <v/>
      </c>
    </row>
    <row r="4800" spans="1:7" x14ac:dyDescent="0.3">
      <c r="A4800" s="89" t="str">
        <v/>
      </c>
      <c r="B4800" s="89">
        <v>0</v>
      </c>
      <c r="C4800" s="90" t="str">
        <v/>
      </c>
      <c r="D4800" s="89" t="str">
        <v/>
      </c>
      <c r="E4800" s="89" t="str">
        <v/>
      </c>
      <c r="F4800" s="89" t="str">
        <v/>
      </c>
      <c r="G4800" s="89" t="str">
        <f ca="1"/>
        <v/>
      </c>
    </row>
    <row r="4801" spans="1:7" x14ac:dyDescent="0.3">
      <c r="A4801" s="89" t="str">
        <v/>
      </c>
      <c r="B4801" s="89">
        <v>0</v>
      </c>
      <c r="C4801" s="90" t="str">
        <v/>
      </c>
      <c r="D4801" s="89" t="str">
        <v/>
      </c>
      <c r="E4801" s="89" t="str">
        <v/>
      </c>
      <c r="F4801" s="89" t="str">
        <v/>
      </c>
      <c r="G4801" s="89" t="str">
        <f ca="1"/>
        <v/>
      </c>
    </row>
    <row r="4802" spans="1:7" x14ac:dyDescent="0.3">
      <c r="A4802" s="89" t="str">
        <v/>
      </c>
      <c r="B4802" s="89" t="str">
        <v>Programa de Aire</v>
      </c>
      <c r="C4802" s="90" t="str">
        <v/>
      </c>
      <c r="D4802" s="89" t="str">
        <v>Evento</v>
      </c>
      <c r="E4802" s="89">
        <v>0</v>
      </c>
      <c r="F4802" s="89" t="str">
        <v/>
      </c>
      <c r="G4802" s="89" t="str">
        <f ca="1"/>
        <v/>
      </c>
    </row>
    <row r="4803" spans="1:7" x14ac:dyDescent="0.3">
      <c r="A4803" s="89" t="str">
        <v/>
      </c>
      <c r="B4803" s="89" t="str">
        <v>Conciencia Ambiental</v>
      </c>
      <c r="C4803" s="90" t="str">
        <v/>
      </c>
      <c r="D4803" s="89" t="str">
        <v>Periódica</v>
      </c>
      <c r="E4803" s="89">
        <v>365</v>
      </c>
      <c r="F4803" s="89" t="str">
        <v/>
      </c>
      <c r="G4803" s="89" t="str">
        <f ca="1"/>
        <v/>
      </c>
    </row>
    <row r="4804" spans="1:7" x14ac:dyDescent="0.3">
      <c r="A4804" s="89" t="str">
        <v/>
      </c>
      <c r="B4804" s="89" t="str">
        <v xml:space="preserve">Control de Documentos e Informacion de HSE </v>
      </c>
      <c r="C4804" s="90" t="str">
        <v/>
      </c>
      <c r="D4804" s="89" t="str">
        <v>Evento</v>
      </c>
      <c r="E4804" s="89">
        <v>0</v>
      </c>
      <c r="F4804" s="89" t="str">
        <v/>
      </c>
      <c r="G4804" s="89" t="str">
        <f ca="1"/>
        <v/>
      </c>
    </row>
    <row r="4805" spans="1:7" x14ac:dyDescent="0.3">
      <c r="A4805" s="89" t="str">
        <v/>
      </c>
      <c r="B4805" s="89" t="str">
        <v xml:space="preserve"> Acciones Correctivas y Preventivas (CAPA)</v>
      </c>
      <c r="C4805" s="90" t="str">
        <v/>
      </c>
      <c r="D4805" s="89" t="str">
        <v>Evento</v>
      </c>
      <c r="E4805" s="89">
        <v>0</v>
      </c>
      <c r="F4805" s="89" t="str">
        <v/>
      </c>
      <c r="G4805" s="89" t="str">
        <f ca="1"/>
        <v/>
      </c>
    </row>
    <row r="4806" spans="1:7" x14ac:dyDescent="0.3">
      <c r="A4806" s="89" t="str">
        <v/>
      </c>
      <c r="B4806" s="89" t="str">
        <v>Seguridad Basada en el Comportamiento (Observation Program) // HSMS.043 / Autoridad de Detener el Trabajo</v>
      </c>
      <c r="C4806" s="90" t="str">
        <v/>
      </c>
      <c r="D4806" s="89" t="str">
        <v>Periódica</v>
      </c>
      <c r="E4806" s="89">
        <v>365</v>
      </c>
      <c r="F4806" s="89" t="str">
        <v/>
      </c>
      <c r="G4806" s="89" t="str">
        <f ca="1"/>
        <v/>
      </c>
    </row>
    <row r="4807" spans="1:7" x14ac:dyDescent="0.3">
      <c r="A4807" s="89" t="str">
        <v/>
      </c>
      <c r="B4807" s="89" t="str">
        <v>Identificacion de Peligros y Evaluacion de Riesgos</v>
      </c>
      <c r="C4807" s="90" t="str">
        <v/>
      </c>
      <c r="D4807" s="89" t="str">
        <v>Evento</v>
      </c>
      <c r="E4807" s="89">
        <v>0</v>
      </c>
      <c r="F4807" s="89" t="str">
        <v/>
      </c>
      <c r="G4807" s="89" t="str">
        <f ca="1"/>
        <v/>
      </c>
    </row>
    <row r="4808" spans="1:7" x14ac:dyDescent="0.3">
      <c r="A4808" s="89" t="str">
        <v/>
      </c>
      <c r="B4808" s="89" t="str">
        <v xml:space="preserve"> Plan de Respuesta ante Eemergencias / HSMS.010 /Primeros Axulios &amp; RCP/DEA / HSMSWT-002 / Patogenos Trasnmitidos por la Sangre</v>
      </c>
      <c r="C4808" s="90" t="str">
        <v/>
      </c>
      <c r="D4808" s="89" t="str">
        <v>Periódica</v>
      </c>
      <c r="E4808" s="89">
        <v>365</v>
      </c>
      <c r="F4808" s="89" t="str">
        <v/>
      </c>
      <c r="G4808" s="89" t="str">
        <f ca="1"/>
        <v/>
      </c>
    </row>
    <row r="4809" spans="1:7" x14ac:dyDescent="0.3">
      <c r="A4809" s="89" t="str">
        <v/>
      </c>
      <c r="B4809" s="89" t="str">
        <v>Reporte y Gestion de Incidentes HSE (Todos)</v>
      </c>
      <c r="C4809" s="90" t="str">
        <v/>
      </c>
      <c r="D4809" s="89" t="str">
        <v>Periódica</v>
      </c>
      <c r="E4809" s="89">
        <v>365</v>
      </c>
      <c r="F4809" s="89" t="str">
        <v/>
      </c>
      <c r="G4809" s="89" t="str">
        <f ca="1"/>
        <v/>
      </c>
    </row>
    <row r="4810" spans="1:7" x14ac:dyDescent="0.3">
      <c r="A4810" s="89" t="str">
        <v/>
      </c>
      <c r="B4810" s="89" t="str">
        <v>Reporte, Gestion e Investigacion de Incidentes HSE (supervisores / investigadores (rol))</v>
      </c>
      <c r="C4810" s="90" t="str">
        <v/>
      </c>
      <c r="D4810" s="89" t="str">
        <v>Periódica</v>
      </c>
      <c r="E4810" s="89">
        <v>1095</v>
      </c>
      <c r="F4810" s="89" t="str">
        <v/>
      </c>
      <c r="G4810" s="89" t="str">
        <f ca="1"/>
        <v/>
      </c>
    </row>
    <row r="4811" spans="1:7" x14ac:dyDescent="0.3">
      <c r="A4811" s="89" t="str">
        <v/>
      </c>
      <c r="B4811" s="89" t="str">
        <v>Gruas y Equipos de Izaje (Todos)</v>
      </c>
      <c r="C4811" s="90" t="str">
        <v/>
      </c>
      <c r="D4811" s="89" t="str">
        <v>Periódica</v>
      </c>
      <c r="E4811" s="89">
        <v>365</v>
      </c>
      <c r="F4811" s="89" t="str">
        <v/>
      </c>
      <c r="G4811" s="89" t="str">
        <f ca="1"/>
        <v/>
      </c>
    </row>
    <row r="4812" spans="1:7" x14ac:dyDescent="0.3">
      <c r="A4812" s="89" t="str">
        <v/>
      </c>
      <c r="B4812" s="89" t="str">
        <v>HSMS.007 / Gruas y Equipos de Izaje (Operadores)</v>
      </c>
      <c r="C4812" s="90" t="str">
        <v/>
      </c>
      <c r="D4812" s="89" t="str">
        <v>Periódica</v>
      </c>
      <c r="E4812" s="89">
        <v>365</v>
      </c>
      <c r="F4812" s="89" t="str">
        <v/>
      </c>
      <c r="G4812" s="89" t="str">
        <f ca="1"/>
        <v/>
      </c>
    </row>
    <row r="4813" spans="1:7" x14ac:dyDescent="0.3">
      <c r="A4813" s="89" t="str">
        <v/>
      </c>
      <c r="B4813" s="89" t="str">
        <v>Proteccion Contra Incendios (Todos)</v>
      </c>
      <c r="C4813" s="90" t="str">
        <v/>
      </c>
      <c r="D4813" s="89" t="str">
        <v>Periódica</v>
      </c>
      <c r="E4813" s="89">
        <v>365</v>
      </c>
      <c r="F4813" s="89" t="str">
        <v/>
      </c>
      <c r="G4813" s="89" t="str">
        <f ca="1"/>
        <v/>
      </c>
    </row>
    <row r="4814" spans="1:7" x14ac:dyDescent="0.3">
      <c r="A4814" s="89" t="str">
        <v/>
      </c>
      <c r="B4814" s="89" t="str">
        <v>Proteccion Contra Incendios (Brigadistas)</v>
      </c>
      <c r="C4814" s="90" t="str">
        <v/>
      </c>
      <c r="D4814" s="89" t="str">
        <v>Periódica</v>
      </c>
      <c r="E4814" s="89">
        <v>365</v>
      </c>
      <c r="F4814" s="89" t="str">
        <v/>
      </c>
      <c r="G4814" s="89" t="str">
        <f ca="1"/>
        <v/>
      </c>
    </row>
    <row r="4815" spans="1:7" x14ac:dyDescent="0.3">
      <c r="A4815" s="89" t="str">
        <v/>
      </c>
      <c r="B4815" s="89" t="str">
        <v>Primeros Auxilios (Brigadistas)</v>
      </c>
      <c r="C4815" s="90" t="str">
        <v/>
      </c>
      <c r="D4815" s="89" t="str">
        <v>Periódica</v>
      </c>
      <c r="E4815" s="89">
        <v>365</v>
      </c>
      <c r="F4815" s="89" t="str">
        <v/>
      </c>
      <c r="G4815" s="89" t="str">
        <f ca="1"/>
        <v/>
      </c>
    </row>
    <row r="4816" spans="1:7" x14ac:dyDescent="0.3">
      <c r="A4816" s="89" t="str">
        <v/>
      </c>
      <c r="B4816" s="89" t="str">
        <v>Seguridad Electrica (Todos)</v>
      </c>
      <c r="C4816" s="90" t="str">
        <v/>
      </c>
      <c r="D4816" s="89" t="str">
        <v>Periódica</v>
      </c>
      <c r="E4816" s="89">
        <v>365</v>
      </c>
      <c r="F4816" s="89" t="str">
        <v/>
      </c>
      <c r="G4816" s="89" t="str">
        <f ca="1"/>
        <v/>
      </c>
    </row>
    <row r="4817" spans="1:7" x14ac:dyDescent="0.3">
      <c r="A4817" s="89" t="str">
        <v/>
      </c>
      <c r="B4817" s="89" t="str">
        <v>Seguridad Electrica (Personal Autorizado)</v>
      </c>
      <c r="C4817" s="90" t="str">
        <v/>
      </c>
      <c r="D4817" s="89" t="str">
        <v>Periódica</v>
      </c>
      <c r="E4817" s="89">
        <v>1095</v>
      </c>
      <c r="F4817" s="89" t="str">
        <v/>
      </c>
      <c r="G4817" s="89" t="str">
        <f ca="1"/>
        <v/>
      </c>
    </row>
    <row r="4818" spans="1:7" x14ac:dyDescent="0.3">
      <c r="A4818" s="89" t="str">
        <v/>
      </c>
      <c r="B4818" s="89" t="str">
        <v>Camiones Industriales Motorizados (PIT) (Todos)</v>
      </c>
      <c r="C4818" s="90" t="str">
        <v/>
      </c>
      <c r="D4818" s="89" t="str">
        <v>Periódica</v>
      </c>
      <c r="E4818" s="89">
        <v>365</v>
      </c>
      <c r="F4818" s="89" t="str">
        <v/>
      </c>
      <c r="G4818" s="89" t="str">
        <f ca="1"/>
        <v/>
      </c>
    </row>
    <row r="4819" spans="1:7" x14ac:dyDescent="0.3">
      <c r="A4819" s="89" t="str">
        <v/>
      </c>
      <c r="B4819" s="89" t="str">
        <v>Camiones Industriales Motorizados (PIT) (Op. Montacargas)</v>
      </c>
      <c r="C4819" s="90" t="str">
        <v/>
      </c>
      <c r="D4819" s="89" t="str">
        <v>Periódica</v>
      </c>
      <c r="E4819" s="89">
        <v>365</v>
      </c>
      <c r="F4819" s="89" t="str">
        <v/>
      </c>
      <c r="G4819" s="89" t="str">
        <f ca="1"/>
        <v/>
      </c>
    </row>
    <row r="4820" spans="1:7" x14ac:dyDescent="0.3">
      <c r="A4820" s="89" t="str">
        <v/>
      </c>
      <c r="B4820" s="89" t="str">
        <v>Control de Energias Peligrosas (LOTO) (Todos)</v>
      </c>
      <c r="C4820" s="90" t="str">
        <v/>
      </c>
      <c r="D4820" s="89" t="str">
        <v>Evento</v>
      </c>
      <c r="E4820" s="89">
        <v>0</v>
      </c>
      <c r="F4820" s="89" t="str">
        <v/>
      </c>
      <c r="G4820" s="89" t="str">
        <f ca="1"/>
        <v/>
      </c>
    </row>
    <row r="4821" spans="1:7" x14ac:dyDescent="0.3">
      <c r="A4821" s="89" t="str">
        <v/>
      </c>
      <c r="B4821" s="89" t="str">
        <v>Control de Energias Peligrosas (LOTO) (Empleados Autorizados)</v>
      </c>
      <c r="C4821" s="90" t="str">
        <v/>
      </c>
      <c r="D4821" s="89" t="str">
        <v>Periódica</v>
      </c>
      <c r="E4821" s="89">
        <v>365</v>
      </c>
      <c r="F4821" s="89" t="str">
        <v/>
      </c>
      <c r="G4821" s="89" t="str">
        <f ca="1"/>
        <v/>
      </c>
    </row>
    <row r="4822" spans="1:7" x14ac:dyDescent="0.3">
      <c r="A4822" s="89" t="str">
        <v/>
      </c>
      <c r="B4822" s="89" t="str">
        <v>Seguridad aplicada al Pozo &amp; Yacimiento</v>
      </c>
      <c r="C4822" s="90" t="str">
        <v/>
      </c>
      <c r="D4822" s="89" t="str">
        <v>Periódica</v>
      </c>
      <c r="E4822" s="89">
        <v>365</v>
      </c>
      <c r="F4822" s="89" t="str">
        <v/>
      </c>
      <c r="G4822" s="89" t="str">
        <f ca="1"/>
        <v/>
      </c>
    </row>
    <row r="4823" spans="1:7" x14ac:dyDescent="0.3">
      <c r="A4823" s="89" t="str">
        <v/>
      </c>
      <c r="B4823" s="89" t="str">
        <v>Las Reglas que Salvan Vidas</v>
      </c>
      <c r="C4823" s="90" t="str">
        <v/>
      </c>
      <c r="D4823" s="89" t="str">
        <v>Periódica</v>
      </c>
      <c r="E4823" s="89">
        <v>365</v>
      </c>
      <c r="F4823" s="89" t="str">
        <v/>
      </c>
      <c r="G4823" s="89" t="str">
        <f ca="1"/>
        <v/>
      </c>
    </row>
    <row r="4824" spans="1:7" x14ac:dyDescent="0.3">
      <c r="A4824" s="89" t="str">
        <v/>
      </c>
      <c r="B4824" s="89" t="str">
        <v xml:space="preserve">Resguardo de Maquinas &amp; Equipos </v>
      </c>
      <c r="C4824" s="90" t="str">
        <v/>
      </c>
      <c r="D4824" s="89" t="str">
        <v>Periódica</v>
      </c>
      <c r="E4824" s="89">
        <v>365</v>
      </c>
      <c r="F4824" s="89" t="str">
        <v/>
      </c>
      <c r="G4824" s="89" t="str">
        <f ca="1"/>
        <v/>
      </c>
    </row>
    <row r="4825" spans="1:7" x14ac:dyDescent="0.3">
      <c r="A4825" s="89" t="str">
        <v/>
      </c>
      <c r="B4825" s="89" t="str">
        <v>Conduccion y Gestion de Viajes (Todos)</v>
      </c>
      <c r="C4825" s="90" t="str">
        <v/>
      </c>
      <c r="D4825" s="89" t="str">
        <v>Periódica</v>
      </c>
      <c r="E4825" s="89">
        <v>730</v>
      </c>
      <c r="F4825" s="89" t="str">
        <v/>
      </c>
      <c r="G4825" s="89" t="str">
        <f ca="1"/>
        <v/>
      </c>
    </row>
    <row r="4826" spans="1:7" x14ac:dyDescent="0.3">
      <c r="A4826" s="89" t="str">
        <v/>
      </c>
      <c r="B4826" s="89" t="str">
        <v>Conduccion y Gestion de Viajes (Conductores)</v>
      </c>
      <c r="C4826" s="90" t="str">
        <v/>
      </c>
      <c r="D4826" s="89" t="str">
        <v>Periódica</v>
      </c>
      <c r="E4826" s="89">
        <v>1095</v>
      </c>
      <c r="F4826" s="89" t="str">
        <v/>
      </c>
      <c r="G4826" s="89" t="str">
        <f ca="1"/>
        <v/>
      </c>
    </row>
    <row r="4827" spans="1:7" x14ac:dyDescent="0.3">
      <c r="A4827" s="89" t="str">
        <v/>
      </c>
      <c r="B4827" s="89" t="str">
        <v>Patogenos Transmitidos por la Sangre</v>
      </c>
      <c r="C4827" s="90" t="str">
        <v/>
      </c>
      <c r="D4827" s="89" t="str">
        <v>Periódica</v>
      </c>
      <c r="E4827" s="89">
        <v>365</v>
      </c>
      <c r="F4827" s="89" t="str">
        <v/>
      </c>
      <c r="G4827" s="89" t="str">
        <f ca="1"/>
        <v/>
      </c>
    </row>
    <row r="4828" spans="1:7" x14ac:dyDescent="0.3">
      <c r="A4828" s="89" t="str">
        <v/>
      </c>
      <c r="B4828" s="89" t="str">
        <v>Conservacion Auditiva</v>
      </c>
      <c r="C4828" s="90" t="str">
        <v/>
      </c>
      <c r="D4828" s="89" t="str">
        <v>Periódica</v>
      </c>
      <c r="E4828" s="89">
        <v>365</v>
      </c>
      <c r="F4828" s="89" t="str">
        <v/>
      </c>
      <c r="G4828" s="89" t="str">
        <f ca="1"/>
        <v/>
      </c>
    </row>
    <row r="4829" spans="1:7" x14ac:dyDescent="0.3">
      <c r="A4829" s="89" t="str">
        <v/>
      </c>
      <c r="B4829" s="89" t="str">
        <v xml:space="preserve">Ergonomia //  / Levantamiento &amp; Seguridad en la Espalda </v>
      </c>
      <c r="C4829" s="90" t="str">
        <v/>
      </c>
      <c r="D4829" s="89" t="str">
        <v>Periódica</v>
      </c>
      <c r="E4829" s="89">
        <v>365</v>
      </c>
      <c r="F4829" s="89" t="str">
        <v/>
      </c>
      <c r="G4829" s="89" t="str">
        <f ca="1"/>
        <v/>
      </c>
    </row>
    <row r="4830" spans="1:7" x14ac:dyDescent="0.3">
      <c r="A4830" s="89" t="str">
        <v/>
      </c>
      <c r="B4830" s="89" t="str">
        <v>Superficies Elevadas (Todos)</v>
      </c>
      <c r="C4830" s="90" t="str">
        <v/>
      </c>
      <c r="D4830" s="89" t="str">
        <v>Periódica</v>
      </c>
      <c r="E4830" s="89">
        <v>365</v>
      </c>
      <c r="F4830" s="89" t="str">
        <v/>
      </c>
      <c r="G4830" s="89" t="str">
        <f ca="1"/>
        <v/>
      </c>
    </row>
    <row r="4831" spans="1:7" x14ac:dyDescent="0.3">
      <c r="A4831" s="89" t="str">
        <v/>
      </c>
      <c r="B4831" s="89" t="str">
        <v>Superficies Elevadas (Personal Habilitado)</v>
      </c>
      <c r="C4831" s="90" t="str">
        <v/>
      </c>
      <c r="D4831" s="89" t="str">
        <v>Periódica</v>
      </c>
      <c r="E4831" s="89">
        <v>365</v>
      </c>
      <c r="F4831" s="89" t="str">
        <v/>
      </c>
      <c r="G4831" s="89" t="str">
        <f ca="1"/>
        <v/>
      </c>
    </row>
    <row r="4832" spans="1:7" x14ac:dyDescent="0.3">
      <c r="A4832" s="89" t="str">
        <v/>
      </c>
      <c r="B4832" s="89" t="str">
        <v>Seguridad Quimica (Todos)</v>
      </c>
      <c r="C4832" s="90" t="str">
        <v/>
      </c>
      <c r="D4832" s="89" t="str">
        <v>Periódica</v>
      </c>
      <c r="E4832" s="89">
        <v>730</v>
      </c>
      <c r="F4832" s="89" t="str">
        <v/>
      </c>
      <c r="G4832" s="89" t="str">
        <f ca="1"/>
        <v/>
      </c>
    </row>
    <row r="4833" spans="1:7" x14ac:dyDescent="0.3">
      <c r="A4833" s="89" t="str">
        <v/>
      </c>
      <c r="B4833" s="89" t="str">
        <v>Seguridad Quimica (Mantenimiento)</v>
      </c>
      <c r="C4833" s="90" t="str">
        <v/>
      </c>
      <c r="D4833" s="89" t="str">
        <v>Periódica</v>
      </c>
      <c r="E4833" s="89">
        <v>365</v>
      </c>
      <c r="F4833" s="89" t="str">
        <v/>
      </c>
      <c r="G4833" s="89" t="str">
        <f ca="1"/>
        <v/>
      </c>
    </row>
    <row r="4834" spans="1:7" x14ac:dyDescent="0.3">
      <c r="A4834" s="89" t="str">
        <v/>
      </c>
      <c r="B4834" s="89" t="str">
        <v>Seguridad Quimica (Contratistas)</v>
      </c>
      <c r="C4834" s="90" t="str">
        <v/>
      </c>
      <c r="D4834" s="89" t="str">
        <v>Periódica</v>
      </c>
      <c r="E4834" s="89">
        <v>365</v>
      </c>
      <c r="F4834" s="89" t="str">
        <v/>
      </c>
      <c r="G4834" s="89" t="str">
        <f ca="1"/>
        <v/>
      </c>
    </row>
    <row r="4835" spans="1:7" x14ac:dyDescent="0.3">
      <c r="A4835" s="89" t="str">
        <v/>
      </c>
      <c r="B4835" s="89" t="str">
        <v>Seguridad para Trabajos en Caliente</v>
      </c>
      <c r="C4835" s="90" t="str">
        <v/>
      </c>
      <c r="D4835" s="89" t="str">
        <v>Periódica</v>
      </c>
      <c r="E4835" s="89">
        <v>365</v>
      </c>
      <c r="F4835" s="89" t="str">
        <v/>
      </c>
      <c r="G4835" s="89" t="str">
        <f ca="1"/>
        <v/>
      </c>
    </row>
    <row r="4836" spans="1:7" x14ac:dyDescent="0.3">
      <c r="A4836" s="89" t="str">
        <v/>
      </c>
      <c r="B4836" s="89" t="str">
        <v>Seguridad con la Radiacion</v>
      </c>
      <c r="C4836" s="90" t="str">
        <v/>
      </c>
      <c r="D4836" s="89" t="str">
        <v>Periódica</v>
      </c>
      <c r="E4836" s="89">
        <v>365</v>
      </c>
      <c r="F4836" s="89" t="str">
        <v/>
      </c>
      <c r="G4836" s="89" t="str">
        <f ca="1"/>
        <v/>
      </c>
    </row>
    <row r="4837" spans="1:7" x14ac:dyDescent="0.3">
      <c r="A4837" s="89" t="str">
        <v/>
      </c>
      <c r="B4837" s="89" t="str">
        <v>Equipo de Proteccion Personal (PPE)</v>
      </c>
      <c r="C4837" s="90" t="str">
        <v/>
      </c>
      <c r="D4837" s="89" t="str">
        <v>Periódica</v>
      </c>
      <c r="E4837" s="89">
        <v>365</v>
      </c>
      <c r="F4837" s="89" t="str">
        <v/>
      </c>
      <c r="G4837" s="89" t="str">
        <f ca="1"/>
        <v/>
      </c>
    </row>
    <row r="4838" spans="1:7" x14ac:dyDescent="0.3">
      <c r="A4838" s="89" t="str">
        <v/>
      </c>
      <c r="B4838" s="89" t="str">
        <v>Proteccion Respiratoria</v>
      </c>
      <c r="C4838" s="90" t="str">
        <v/>
      </c>
      <c r="D4838" s="89" t="str">
        <v>Periódica</v>
      </c>
      <c r="E4838" s="89">
        <v>365</v>
      </c>
      <c r="F4838" s="89" t="str">
        <v/>
      </c>
      <c r="G4838" s="89" t="str">
        <f ca="1"/>
        <v/>
      </c>
    </row>
    <row r="4839" spans="1:7" x14ac:dyDescent="0.3">
      <c r="A4839" s="89" t="str">
        <v/>
      </c>
      <c r="B4839" s="89" t="str">
        <v xml:space="preserve">Seguridad con Escaleras </v>
      </c>
      <c r="C4839" s="90" t="str">
        <v/>
      </c>
      <c r="D4839" s="89" t="str">
        <v>Periódica</v>
      </c>
      <c r="E4839" s="89">
        <v>365</v>
      </c>
      <c r="F4839" s="89" t="str">
        <v/>
      </c>
      <c r="G4839" s="89" t="str">
        <f ca="1"/>
        <v/>
      </c>
    </row>
    <row r="4840" spans="1:7" x14ac:dyDescent="0.3">
      <c r="A4840" s="89" t="str">
        <v/>
      </c>
      <c r="B4840" s="89" t="str">
        <v>Seguridad con Escaleras // Estantes de Almacenamiento</v>
      </c>
      <c r="C4840" s="90" t="str">
        <v/>
      </c>
      <c r="D4840" s="89" t="str">
        <v>Periódica</v>
      </c>
      <c r="E4840" s="89">
        <v>365</v>
      </c>
      <c r="F4840" s="89" t="str">
        <v/>
      </c>
      <c r="G4840" s="89" t="str">
        <f ca="1"/>
        <v/>
      </c>
    </row>
    <row r="4841" spans="1:7" x14ac:dyDescent="0.3">
      <c r="A4841" s="89" t="str">
        <v/>
      </c>
      <c r="B4841" s="89" t="str">
        <v>Responsabilidades del Supervisor</v>
      </c>
      <c r="C4841" s="90" t="str">
        <v/>
      </c>
      <c r="D4841" s="89" t="str">
        <v>Periódica</v>
      </c>
      <c r="E4841" s="89">
        <v>365</v>
      </c>
      <c r="F4841" s="89" t="str">
        <v/>
      </c>
      <c r="G4841" s="89" t="str">
        <f ca="1"/>
        <v/>
      </c>
    </row>
    <row r="4842" spans="1:7" x14ac:dyDescent="0.3">
      <c r="A4842" s="89" t="str">
        <v/>
      </c>
      <c r="B4842" s="89" t="str">
        <v>Espacios Confinados (Todos)</v>
      </c>
      <c r="C4842" s="90" t="str">
        <v/>
      </c>
      <c r="D4842" s="89" t="str">
        <v>Periódica</v>
      </c>
      <c r="E4842" s="89">
        <v>365</v>
      </c>
      <c r="F4842" s="89" t="str">
        <v/>
      </c>
      <c r="G4842" s="89" t="str">
        <f ca="1"/>
        <v/>
      </c>
    </row>
    <row r="4843" spans="1:7" x14ac:dyDescent="0.3">
      <c r="A4843" s="89" t="str">
        <v/>
      </c>
      <c r="B4843" s="89" t="str">
        <v>HSMS.017 / Espacios Confinados (Entrantes)</v>
      </c>
      <c r="C4843" s="90" t="str">
        <v/>
      </c>
      <c r="D4843" s="89" t="str">
        <v>Evento</v>
      </c>
      <c r="E4843" s="89">
        <v>0</v>
      </c>
      <c r="F4843" s="89" t="str">
        <v/>
      </c>
      <c r="G4843" s="89" t="str">
        <f ca="1"/>
        <v/>
      </c>
    </row>
    <row r="4844" spans="1:7" x14ac:dyDescent="0.3">
      <c r="A4844" s="89" t="str">
        <v/>
      </c>
      <c r="B4844" s="89" t="str">
        <v>Programa de Agua (Todos)</v>
      </c>
      <c r="C4844" s="90" t="str">
        <v/>
      </c>
      <c r="D4844" s="89" t="str">
        <v>Evento</v>
      </c>
      <c r="E4844" s="89">
        <v>0</v>
      </c>
      <c r="F4844" s="89" t="str">
        <v/>
      </c>
      <c r="G4844" s="89" t="str">
        <f ca="1"/>
        <v/>
      </c>
    </row>
    <row r="4845" spans="1:7" x14ac:dyDescent="0.3">
      <c r="A4845" s="89" t="str">
        <v/>
      </c>
      <c r="B4845" s="89" t="str">
        <v>Programa de Agua (HSE)</v>
      </c>
      <c r="C4845" s="90" t="str">
        <v/>
      </c>
      <c r="D4845" s="89" t="str">
        <v>Evento</v>
      </c>
      <c r="E4845" s="89">
        <v>0</v>
      </c>
      <c r="F4845" s="89" t="str">
        <v/>
      </c>
      <c r="G4845" s="89" t="str">
        <f ca="1"/>
        <v/>
      </c>
    </row>
    <row r="4846" spans="1:7" x14ac:dyDescent="0.3">
      <c r="A4846" s="89" t="str">
        <v/>
      </c>
      <c r="B4846" s="89" t="str">
        <v>HIV/SIDA y otras enfermedades de transmisión sexual (ETS)</v>
      </c>
      <c r="C4846" s="90" t="str">
        <v/>
      </c>
      <c r="D4846" s="89" t="str">
        <v>Periódica</v>
      </c>
      <c r="E4846" s="89">
        <v>365</v>
      </c>
      <c r="F4846" s="89" t="str">
        <v/>
      </c>
      <c r="G4846" s="89" t="str">
        <f ca="1"/>
        <v/>
      </c>
    </row>
    <row r="4847" spans="1:7" x14ac:dyDescent="0.3">
      <c r="A4847" s="89" t="str">
        <v/>
      </c>
      <c r="B4847" s="89" t="str">
        <v>Drogas de abuso (concientización y prevención)</v>
      </c>
      <c r="C4847" s="90" t="str">
        <v/>
      </c>
      <c r="D4847" s="89" t="str">
        <v>Periódica</v>
      </c>
      <c r="E4847" s="89">
        <v>365</v>
      </c>
      <c r="F4847" s="89" t="str">
        <v/>
      </c>
      <c r="G4847" s="89" t="str">
        <f ca="1"/>
        <v/>
      </c>
    </row>
    <row r="4848" spans="1:7" x14ac:dyDescent="0.3">
      <c r="A4848" s="89" t="str">
        <v/>
      </c>
      <c r="B4848" s="89" t="str">
        <v>Vida saludable (hábitos, autocuidado y bienestar)</v>
      </c>
      <c r="C4848" s="90" t="str">
        <v/>
      </c>
      <c r="D4848" s="89" t="str">
        <v>Periódica</v>
      </c>
      <c r="E4848" s="89">
        <v>365</v>
      </c>
      <c r="F4848" s="89" t="str">
        <v/>
      </c>
      <c r="G4848" s="89" t="str">
        <f ca="1"/>
        <v/>
      </c>
    </row>
    <row r="4849" spans="1:7" x14ac:dyDescent="0.3">
      <c r="A4849" s="89" t="str">
        <v/>
      </c>
      <c r="B4849" s="89" t="str">
        <v>Primeros auxilios y Reanimación Cardio Pulmonar (RCP)</v>
      </c>
      <c r="C4849" s="90" t="str">
        <v/>
      </c>
      <c r="D4849" s="89" t="str">
        <v>Periódica</v>
      </c>
      <c r="E4849" s="89">
        <v>365</v>
      </c>
      <c r="F4849" s="89" t="str">
        <v/>
      </c>
      <c r="G4849" s="89" t="str">
        <f ca="1"/>
        <v/>
      </c>
    </row>
    <row r="4850" spans="1:7" x14ac:dyDescent="0.3">
      <c r="A4850" s="89" t="str">
        <v/>
      </c>
      <c r="B4850" s="89" t="str">
        <v>Prevención cardiovascular (factores de riesgo y señales de alarma)</v>
      </c>
      <c r="C4850" s="90" t="str">
        <v/>
      </c>
      <c r="D4850" s="89" t="str">
        <v>Periódica</v>
      </c>
      <c r="E4850" s="89">
        <v>365</v>
      </c>
      <c r="F4850" s="89" t="str">
        <v/>
      </c>
      <c r="G4850" s="89" t="str">
        <f ca="1"/>
        <v/>
      </c>
    </row>
    <row r="4851" spans="1:7" x14ac:dyDescent="0.3">
      <c r="A4851" s="89" t="str">
        <v/>
      </c>
      <c r="B4851" s="89" t="str">
        <v>Efectos del tabaco sobre la salud</v>
      </c>
      <c r="C4851" s="90" t="str">
        <v/>
      </c>
      <c r="D4851" s="89" t="str">
        <v>Periódica</v>
      </c>
      <c r="E4851" s="89">
        <v>365</v>
      </c>
      <c r="F4851" s="89" t="str">
        <v/>
      </c>
      <c r="G4851" s="89" t="str">
        <f ca="1"/>
        <v/>
      </c>
    </row>
    <row r="4852" spans="1:7" x14ac:dyDescent="0.3">
      <c r="A4852" s="89" t="str">
        <v/>
      </c>
      <c r="B4852" s="89" t="str">
        <v>Cargadora (Op. Montacargas)</v>
      </c>
      <c r="C4852" s="90" t="str">
        <v/>
      </c>
      <c r="D4852" s="89" t="str">
        <v>Periódica</v>
      </c>
      <c r="E4852" s="89">
        <v>365</v>
      </c>
      <c r="F4852" s="89" t="str">
        <v/>
      </c>
      <c r="G4852" s="89" t="str">
        <f ca="1"/>
        <v/>
      </c>
    </row>
    <row r="4853" spans="1:7" x14ac:dyDescent="0.3">
      <c r="A4853" s="89" t="str">
        <v/>
      </c>
      <c r="B4853" s="89">
        <v>0</v>
      </c>
      <c r="C4853" s="90" t="str">
        <v/>
      </c>
      <c r="D4853" s="89" t="str">
        <v/>
      </c>
      <c r="E4853" s="89" t="str">
        <v/>
      </c>
      <c r="F4853" s="89" t="str">
        <v/>
      </c>
      <c r="G4853" s="89" t="str">
        <f ca="1"/>
        <v/>
      </c>
    </row>
    <row r="4854" spans="1:7" x14ac:dyDescent="0.3">
      <c r="A4854" s="89" t="str">
        <v/>
      </c>
      <c r="B4854" s="89">
        <v>0</v>
      </c>
      <c r="C4854" s="90" t="str">
        <v/>
      </c>
      <c r="D4854" s="89" t="str">
        <v/>
      </c>
      <c r="E4854" s="89" t="str">
        <v/>
      </c>
      <c r="F4854" s="89" t="str">
        <v/>
      </c>
      <c r="G4854" s="89" t="str">
        <f ca="1"/>
        <v/>
      </c>
    </row>
    <row r="4855" spans="1:7" x14ac:dyDescent="0.3">
      <c r="A4855" s="89" t="str">
        <v/>
      </c>
      <c r="B4855" s="89">
        <v>0</v>
      </c>
      <c r="C4855" s="90" t="str">
        <v/>
      </c>
      <c r="D4855" s="89" t="str">
        <v/>
      </c>
      <c r="E4855" s="89" t="str">
        <v/>
      </c>
      <c r="F4855" s="89" t="str">
        <v/>
      </c>
      <c r="G4855" s="89" t="str">
        <f ca="1"/>
        <v/>
      </c>
    </row>
    <row r="4856" spans="1:7" x14ac:dyDescent="0.3">
      <c r="A4856" s="89" t="str">
        <v/>
      </c>
      <c r="B4856" s="89">
        <v>0</v>
      </c>
      <c r="C4856" s="90" t="str">
        <v/>
      </c>
      <c r="D4856" s="89" t="str">
        <v/>
      </c>
      <c r="E4856" s="89" t="str">
        <v/>
      </c>
      <c r="F4856" s="89" t="str">
        <v/>
      </c>
      <c r="G4856" s="89" t="str">
        <f ca="1"/>
        <v/>
      </c>
    </row>
    <row r="4857" spans="1:7" x14ac:dyDescent="0.3">
      <c r="A4857" s="89" t="str">
        <v/>
      </c>
      <c r="B4857" s="89">
        <v>0</v>
      </c>
      <c r="C4857" s="90" t="str">
        <v/>
      </c>
      <c r="D4857" s="89" t="str">
        <v/>
      </c>
      <c r="E4857" s="89" t="str">
        <v/>
      </c>
      <c r="F4857" s="89" t="str">
        <v/>
      </c>
      <c r="G4857" s="89" t="str">
        <f ca="1"/>
        <v/>
      </c>
    </row>
    <row r="4858" spans="1:7" x14ac:dyDescent="0.3">
      <c r="A4858" s="89" t="str">
        <v/>
      </c>
      <c r="B4858" s="89">
        <v>0</v>
      </c>
      <c r="C4858" s="90" t="str">
        <v/>
      </c>
      <c r="D4858" s="89" t="str">
        <v/>
      </c>
      <c r="E4858" s="89" t="str">
        <v/>
      </c>
      <c r="F4858" s="89" t="str">
        <v/>
      </c>
      <c r="G4858" s="89" t="str">
        <f ca="1"/>
        <v/>
      </c>
    </row>
    <row r="4859" spans="1:7" x14ac:dyDescent="0.3">
      <c r="A4859" s="89" t="str">
        <v/>
      </c>
      <c r="B4859" s="89">
        <v>0</v>
      </c>
      <c r="C4859" s="90" t="str">
        <v/>
      </c>
      <c r="D4859" s="89" t="str">
        <v/>
      </c>
      <c r="E4859" s="89" t="str">
        <v/>
      </c>
      <c r="F4859" s="89" t="str">
        <v/>
      </c>
      <c r="G4859" s="89" t="str">
        <f ca="1"/>
        <v/>
      </c>
    </row>
    <row r="4860" spans="1:7" x14ac:dyDescent="0.3">
      <c r="A4860" s="89" t="str">
        <v/>
      </c>
      <c r="B4860" s="89">
        <v>0</v>
      </c>
      <c r="C4860" s="90" t="str">
        <v/>
      </c>
      <c r="D4860" s="89" t="str">
        <v/>
      </c>
      <c r="E4860" s="89" t="str">
        <v/>
      </c>
      <c r="F4860" s="89" t="str">
        <v/>
      </c>
      <c r="G4860" s="89" t="str">
        <f ca="1"/>
        <v/>
      </c>
    </row>
    <row r="4861" spans="1:7" x14ac:dyDescent="0.3">
      <c r="A4861" s="89" t="str">
        <v/>
      </c>
      <c r="B4861" s="89">
        <v>0</v>
      </c>
      <c r="C4861" s="90" t="str">
        <v/>
      </c>
      <c r="D4861" s="89" t="str">
        <v/>
      </c>
      <c r="E4861" s="89" t="str">
        <v/>
      </c>
      <c r="F4861" s="89" t="str">
        <v/>
      </c>
      <c r="G4861" s="89" t="str">
        <f ca="1"/>
        <v/>
      </c>
    </row>
    <row r="4862" spans="1:7" x14ac:dyDescent="0.3">
      <c r="A4862" s="89" t="str">
        <v/>
      </c>
      <c r="B4862" s="89" t="str">
        <v>Programa de Aire</v>
      </c>
      <c r="C4862" s="90" t="str">
        <v/>
      </c>
      <c r="D4862" s="89" t="str">
        <v>Evento</v>
      </c>
      <c r="E4862" s="89">
        <v>0</v>
      </c>
      <c r="F4862" s="89" t="str">
        <v/>
      </c>
      <c r="G4862" s="89" t="str">
        <f ca="1"/>
        <v/>
      </c>
    </row>
    <row r="4863" spans="1:7" x14ac:dyDescent="0.3">
      <c r="A4863" s="89" t="str">
        <v/>
      </c>
      <c r="B4863" s="89" t="str">
        <v>Conciencia Ambiental</v>
      </c>
      <c r="C4863" s="90" t="str">
        <v/>
      </c>
      <c r="D4863" s="89" t="str">
        <v>Periódica</v>
      </c>
      <c r="E4863" s="89">
        <v>365</v>
      </c>
      <c r="F4863" s="89" t="str">
        <v/>
      </c>
      <c r="G4863" s="89" t="str">
        <f ca="1"/>
        <v/>
      </c>
    </row>
    <row r="4864" spans="1:7" x14ac:dyDescent="0.3">
      <c r="A4864" s="89" t="str">
        <v/>
      </c>
      <c r="B4864" s="89" t="str">
        <v xml:space="preserve">Control de Documentos e Informacion de HSE </v>
      </c>
      <c r="C4864" s="90" t="str">
        <v/>
      </c>
      <c r="D4864" s="89" t="str">
        <v>Evento</v>
      </c>
      <c r="E4864" s="89">
        <v>0</v>
      </c>
      <c r="F4864" s="89" t="str">
        <v/>
      </c>
      <c r="G4864" s="89" t="str">
        <f ca="1"/>
        <v/>
      </c>
    </row>
    <row r="4865" spans="1:7" x14ac:dyDescent="0.3">
      <c r="A4865" s="89" t="str">
        <v/>
      </c>
      <c r="B4865" s="89" t="str">
        <v xml:space="preserve"> Acciones Correctivas y Preventivas (CAPA)</v>
      </c>
      <c r="C4865" s="90" t="str">
        <v/>
      </c>
      <c r="D4865" s="89" t="str">
        <v>Evento</v>
      </c>
      <c r="E4865" s="89">
        <v>0</v>
      </c>
      <c r="F4865" s="89" t="str">
        <v/>
      </c>
      <c r="G4865" s="89" t="str">
        <f ca="1"/>
        <v/>
      </c>
    </row>
    <row r="4866" spans="1:7" x14ac:dyDescent="0.3">
      <c r="A4866" s="89" t="str">
        <v/>
      </c>
      <c r="B4866" s="89" t="str">
        <v>Seguridad Basada en el Comportamiento (Observation Program) // HSMS.043 / Autoridad de Detener el Trabajo</v>
      </c>
      <c r="C4866" s="90" t="str">
        <v/>
      </c>
      <c r="D4866" s="89" t="str">
        <v>Periódica</v>
      </c>
      <c r="E4866" s="89">
        <v>365</v>
      </c>
      <c r="F4866" s="89" t="str">
        <v/>
      </c>
      <c r="G4866" s="89" t="str">
        <f ca="1"/>
        <v/>
      </c>
    </row>
    <row r="4867" spans="1:7" x14ac:dyDescent="0.3">
      <c r="A4867" s="89" t="str">
        <v/>
      </c>
      <c r="B4867" s="89" t="str">
        <v>Identificacion de Peligros y Evaluacion de Riesgos</v>
      </c>
      <c r="C4867" s="90" t="str">
        <v/>
      </c>
      <c r="D4867" s="89" t="str">
        <v>Evento</v>
      </c>
      <c r="E4867" s="89">
        <v>0</v>
      </c>
      <c r="F4867" s="89" t="str">
        <v/>
      </c>
      <c r="G4867" s="89" t="str">
        <f ca="1"/>
        <v/>
      </c>
    </row>
    <row r="4868" spans="1:7" x14ac:dyDescent="0.3">
      <c r="A4868" s="89" t="str">
        <v/>
      </c>
      <c r="B4868" s="89" t="str">
        <v xml:space="preserve"> Plan de Respuesta ante Eemergencias / HSMS.010 /Primeros Axulios &amp; RCP/DEA / HSMSWT-002 / Patogenos Trasnmitidos por la Sangre</v>
      </c>
      <c r="C4868" s="90" t="str">
        <v/>
      </c>
      <c r="D4868" s="89" t="str">
        <v>Periódica</v>
      </c>
      <c r="E4868" s="89">
        <v>365</v>
      </c>
      <c r="F4868" s="89" t="str">
        <v/>
      </c>
      <c r="G4868" s="89" t="str">
        <f ca="1"/>
        <v/>
      </c>
    </row>
    <row r="4869" spans="1:7" x14ac:dyDescent="0.3">
      <c r="A4869" s="89" t="str">
        <v/>
      </c>
      <c r="B4869" s="89" t="str">
        <v>Reporte y Gestion de Incidentes HSE (Todos)</v>
      </c>
      <c r="C4869" s="90" t="str">
        <v/>
      </c>
      <c r="D4869" s="89" t="str">
        <v>Periódica</v>
      </c>
      <c r="E4869" s="89">
        <v>365</v>
      </c>
      <c r="F4869" s="89" t="str">
        <v/>
      </c>
      <c r="G4869" s="89" t="str">
        <f ca="1"/>
        <v/>
      </c>
    </row>
    <row r="4870" spans="1:7" x14ac:dyDescent="0.3">
      <c r="A4870" s="89" t="str">
        <v/>
      </c>
      <c r="B4870" s="89" t="str">
        <v>Reporte, Gestion e Investigacion de Incidentes HSE (supervisores / investigadores (rol))</v>
      </c>
      <c r="C4870" s="90" t="str">
        <v/>
      </c>
      <c r="D4870" s="89" t="str">
        <v>Periódica</v>
      </c>
      <c r="E4870" s="89">
        <v>1095</v>
      </c>
      <c r="F4870" s="89" t="str">
        <v/>
      </c>
      <c r="G4870" s="89" t="str">
        <f ca="1"/>
        <v/>
      </c>
    </row>
    <row r="4871" spans="1:7" x14ac:dyDescent="0.3">
      <c r="A4871" s="89" t="str">
        <v/>
      </c>
      <c r="B4871" s="89" t="str">
        <v>Gruas y Equipos de Izaje (Todos)</v>
      </c>
      <c r="C4871" s="90" t="str">
        <v/>
      </c>
      <c r="D4871" s="89" t="str">
        <v>Periódica</v>
      </c>
      <c r="E4871" s="89">
        <v>365</v>
      </c>
      <c r="F4871" s="89" t="str">
        <v/>
      </c>
      <c r="G4871" s="89" t="str">
        <f ca="1"/>
        <v/>
      </c>
    </row>
    <row r="4872" spans="1:7" x14ac:dyDescent="0.3">
      <c r="A4872" s="89" t="str">
        <v/>
      </c>
      <c r="B4872" s="89" t="str">
        <v>HSMS.007 / Gruas y Equipos de Izaje (Operadores)</v>
      </c>
      <c r="C4872" s="90" t="str">
        <v/>
      </c>
      <c r="D4872" s="89" t="str">
        <v>Periódica</v>
      </c>
      <c r="E4872" s="89">
        <v>365</v>
      </c>
      <c r="F4872" s="89" t="str">
        <v/>
      </c>
      <c r="G4872" s="89" t="str">
        <f ca="1"/>
        <v/>
      </c>
    </row>
    <row r="4873" spans="1:7" x14ac:dyDescent="0.3">
      <c r="A4873" s="89" t="str">
        <v/>
      </c>
      <c r="B4873" s="89" t="str">
        <v>Proteccion Contra Incendios (Todos)</v>
      </c>
      <c r="C4873" s="90" t="str">
        <v/>
      </c>
      <c r="D4873" s="89" t="str">
        <v>Periódica</v>
      </c>
      <c r="E4873" s="89">
        <v>365</v>
      </c>
      <c r="F4873" s="89" t="str">
        <v/>
      </c>
      <c r="G4873" s="89" t="str">
        <f ca="1"/>
        <v/>
      </c>
    </row>
    <row r="4874" spans="1:7" x14ac:dyDescent="0.3">
      <c r="A4874" s="89" t="str">
        <v/>
      </c>
      <c r="B4874" s="89" t="str">
        <v>Proteccion Contra Incendios (Brigadistas)</v>
      </c>
      <c r="C4874" s="90" t="str">
        <v/>
      </c>
      <c r="D4874" s="89" t="str">
        <v>Periódica</v>
      </c>
      <c r="E4874" s="89">
        <v>365</v>
      </c>
      <c r="F4874" s="89" t="str">
        <v/>
      </c>
      <c r="G4874" s="89" t="str">
        <f ca="1"/>
        <v/>
      </c>
    </row>
    <row r="4875" spans="1:7" x14ac:dyDescent="0.3">
      <c r="A4875" s="89" t="str">
        <v/>
      </c>
      <c r="B4875" s="89" t="str">
        <v>Primeros Auxilios (Brigadistas)</v>
      </c>
      <c r="C4875" s="90" t="str">
        <v/>
      </c>
      <c r="D4875" s="89" t="str">
        <v>Periódica</v>
      </c>
      <c r="E4875" s="89">
        <v>365</v>
      </c>
      <c r="F4875" s="89" t="str">
        <v/>
      </c>
      <c r="G4875" s="89" t="str">
        <f ca="1"/>
        <v/>
      </c>
    </row>
    <row r="4876" spans="1:7" x14ac:dyDescent="0.3">
      <c r="A4876" s="89" t="str">
        <v/>
      </c>
      <c r="B4876" s="89" t="str">
        <v>Seguridad Electrica (Todos)</v>
      </c>
      <c r="C4876" s="90" t="str">
        <v/>
      </c>
      <c r="D4876" s="89" t="str">
        <v>Periódica</v>
      </c>
      <c r="E4876" s="89">
        <v>365</v>
      </c>
      <c r="F4876" s="89" t="str">
        <v/>
      </c>
      <c r="G4876" s="89" t="str">
        <f ca="1"/>
        <v/>
      </c>
    </row>
    <row r="4877" spans="1:7" x14ac:dyDescent="0.3">
      <c r="A4877" s="89" t="str">
        <v/>
      </c>
      <c r="B4877" s="89" t="str">
        <v>Seguridad Electrica (Personal Autorizado)</v>
      </c>
      <c r="C4877" s="90" t="str">
        <v/>
      </c>
      <c r="D4877" s="89" t="str">
        <v>Periódica</v>
      </c>
      <c r="E4877" s="89">
        <v>1095</v>
      </c>
      <c r="F4877" s="89" t="str">
        <v/>
      </c>
      <c r="G4877" s="89" t="str">
        <f ca="1"/>
        <v/>
      </c>
    </row>
    <row r="4878" spans="1:7" x14ac:dyDescent="0.3">
      <c r="A4878" s="89" t="str">
        <v/>
      </c>
      <c r="B4878" s="89" t="str">
        <v>Camiones Industriales Motorizados (PIT) (Todos)</v>
      </c>
      <c r="C4878" s="90" t="str">
        <v/>
      </c>
      <c r="D4878" s="89" t="str">
        <v>Periódica</v>
      </c>
      <c r="E4878" s="89">
        <v>365</v>
      </c>
      <c r="F4878" s="89" t="str">
        <v/>
      </c>
      <c r="G4878" s="89" t="str">
        <f ca="1"/>
        <v/>
      </c>
    </row>
    <row r="4879" spans="1:7" x14ac:dyDescent="0.3">
      <c r="A4879" s="89" t="str">
        <v/>
      </c>
      <c r="B4879" s="89" t="str">
        <v>Camiones Industriales Motorizados (PIT) (Op. Montacargas)</v>
      </c>
      <c r="C4879" s="90" t="str">
        <v/>
      </c>
      <c r="D4879" s="89" t="str">
        <v>Periódica</v>
      </c>
      <c r="E4879" s="89">
        <v>365</v>
      </c>
      <c r="F4879" s="89" t="str">
        <v/>
      </c>
      <c r="G4879" s="89" t="str">
        <f ca="1"/>
        <v/>
      </c>
    </row>
    <row r="4880" spans="1:7" x14ac:dyDescent="0.3">
      <c r="A4880" s="89" t="str">
        <v/>
      </c>
      <c r="B4880" s="89" t="str">
        <v>Control de Energias Peligrosas (LOTO) (Todos)</v>
      </c>
      <c r="C4880" s="90" t="str">
        <v/>
      </c>
      <c r="D4880" s="89" t="str">
        <v>Evento</v>
      </c>
      <c r="E4880" s="89">
        <v>0</v>
      </c>
      <c r="F4880" s="89" t="str">
        <v/>
      </c>
      <c r="G4880" s="89" t="str">
        <f ca="1"/>
        <v/>
      </c>
    </row>
    <row r="4881" spans="1:7" x14ac:dyDescent="0.3">
      <c r="A4881" s="89" t="str">
        <v/>
      </c>
      <c r="B4881" s="89" t="str">
        <v>Control de Energias Peligrosas (LOTO) (Empleados Autorizados)</v>
      </c>
      <c r="C4881" s="90" t="str">
        <v/>
      </c>
      <c r="D4881" s="89" t="str">
        <v>Periódica</v>
      </c>
      <c r="E4881" s="89">
        <v>365</v>
      </c>
      <c r="F4881" s="89" t="str">
        <v/>
      </c>
      <c r="G4881" s="89" t="str">
        <f ca="1"/>
        <v/>
      </c>
    </row>
    <row r="4882" spans="1:7" x14ac:dyDescent="0.3">
      <c r="A4882" s="89" t="str">
        <v/>
      </c>
      <c r="B4882" s="89" t="str">
        <v>Seguridad aplicada al Pozo &amp; Yacimiento</v>
      </c>
      <c r="C4882" s="90" t="str">
        <v/>
      </c>
      <c r="D4882" s="89" t="str">
        <v>Periódica</v>
      </c>
      <c r="E4882" s="89">
        <v>365</v>
      </c>
      <c r="F4882" s="89" t="str">
        <v/>
      </c>
      <c r="G4882" s="89" t="str">
        <f ca="1"/>
        <v/>
      </c>
    </row>
    <row r="4883" spans="1:7" x14ac:dyDescent="0.3">
      <c r="A4883" s="89" t="str">
        <v/>
      </c>
      <c r="B4883" s="89" t="str">
        <v>Las Reglas que Salvan Vidas</v>
      </c>
      <c r="C4883" s="90" t="str">
        <v/>
      </c>
      <c r="D4883" s="89" t="str">
        <v>Periódica</v>
      </c>
      <c r="E4883" s="89">
        <v>365</v>
      </c>
      <c r="F4883" s="89" t="str">
        <v/>
      </c>
      <c r="G4883" s="89" t="str">
        <f ca="1"/>
        <v/>
      </c>
    </row>
    <row r="4884" spans="1:7" x14ac:dyDescent="0.3">
      <c r="A4884" s="89" t="str">
        <v/>
      </c>
      <c r="B4884" s="89" t="str">
        <v xml:space="preserve">Resguardo de Maquinas &amp; Equipos </v>
      </c>
      <c r="C4884" s="90" t="str">
        <v/>
      </c>
      <c r="D4884" s="89" t="str">
        <v>Periódica</v>
      </c>
      <c r="E4884" s="89">
        <v>365</v>
      </c>
      <c r="F4884" s="89" t="str">
        <v/>
      </c>
      <c r="G4884" s="89" t="str">
        <f ca="1"/>
        <v/>
      </c>
    </row>
    <row r="4885" spans="1:7" x14ac:dyDescent="0.3">
      <c r="A4885" s="89" t="str">
        <v/>
      </c>
      <c r="B4885" s="89" t="str">
        <v>Conduccion y Gestion de Viajes (Todos)</v>
      </c>
      <c r="C4885" s="90" t="str">
        <v/>
      </c>
      <c r="D4885" s="89" t="str">
        <v>Periódica</v>
      </c>
      <c r="E4885" s="89">
        <v>730</v>
      </c>
      <c r="F4885" s="89" t="str">
        <v/>
      </c>
      <c r="G4885" s="89" t="str">
        <f ca="1"/>
        <v/>
      </c>
    </row>
    <row r="4886" spans="1:7" x14ac:dyDescent="0.3">
      <c r="A4886" s="89" t="str">
        <v/>
      </c>
      <c r="B4886" s="89" t="str">
        <v>Conduccion y Gestion de Viajes (Conductores)</v>
      </c>
      <c r="C4886" s="90" t="str">
        <v/>
      </c>
      <c r="D4886" s="89" t="str">
        <v>Periódica</v>
      </c>
      <c r="E4886" s="89">
        <v>1095</v>
      </c>
      <c r="F4886" s="89" t="str">
        <v/>
      </c>
      <c r="G4886" s="89" t="str">
        <f ca="1"/>
        <v/>
      </c>
    </row>
    <row r="4887" spans="1:7" x14ac:dyDescent="0.3">
      <c r="A4887" s="89" t="str">
        <v/>
      </c>
      <c r="B4887" s="89" t="str">
        <v>Patogenos Transmitidos por la Sangre</v>
      </c>
      <c r="C4887" s="90" t="str">
        <v/>
      </c>
      <c r="D4887" s="89" t="str">
        <v>Periódica</v>
      </c>
      <c r="E4887" s="89">
        <v>365</v>
      </c>
      <c r="F4887" s="89" t="str">
        <v/>
      </c>
      <c r="G4887" s="89" t="str">
        <f ca="1"/>
        <v/>
      </c>
    </row>
    <row r="4888" spans="1:7" x14ac:dyDescent="0.3">
      <c r="A4888" s="89" t="str">
        <v/>
      </c>
      <c r="B4888" s="89" t="str">
        <v>Conservacion Auditiva</v>
      </c>
      <c r="C4888" s="90" t="str">
        <v/>
      </c>
      <c r="D4888" s="89" t="str">
        <v>Periódica</v>
      </c>
      <c r="E4888" s="89">
        <v>365</v>
      </c>
      <c r="F4888" s="89" t="str">
        <v/>
      </c>
      <c r="G4888" s="89" t="str">
        <f ca="1"/>
        <v/>
      </c>
    </row>
    <row r="4889" spans="1:7" x14ac:dyDescent="0.3">
      <c r="A4889" s="89" t="str">
        <v/>
      </c>
      <c r="B4889" s="89" t="str">
        <v xml:space="preserve">Ergonomia //  / Levantamiento &amp; Seguridad en la Espalda </v>
      </c>
      <c r="C4889" s="90" t="str">
        <v/>
      </c>
      <c r="D4889" s="89" t="str">
        <v>Periódica</v>
      </c>
      <c r="E4889" s="89">
        <v>365</v>
      </c>
      <c r="F4889" s="89" t="str">
        <v/>
      </c>
      <c r="G4889" s="89" t="str">
        <f ca="1"/>
        <v/>
      </c>
    </row>
    <row r="4890" spans="1:7" x14ac:dyDescent="0.3">
      <c r="A4890" s="89" t="str">
        <v/>
      </c>
      <c r="B4890" s="89" t="str">
        <v>Superficies Elevadas (Todos)</v>
      </c>
      <c r="C4890" s="90" t="str">
        <v/>
      </c>
      <c r="D4890" s="89" t="str">
        <v>Periódica</v>
      </c>
      <c r="E4890" s="89">
        <v>365</v>
      </c>
      <c r="F4890" s="89" t="str">
        <v/>
      </c>
      <c r="G4890" s="89" t="str">
        <f ca="1"/>
        <v/>
      </c>
    </row>
    <row r="4891" spans="1:7" x14ac:dyDescent="0.3">
      <c r="A4891" s="89" t="str">
        <v/>
      </c>
      <c r="B4891" s="89" t="str">
        <v>Superficies Elevadas (Personal Habilitado)</v>
      </c>
      <c r="C4891" s="90" t="str">
        <v/>
      </c>
      <c r="D4891" s="89" t="str">
        <v>Periódica</v>
      </c>
      <c r="E4891" s="89">
        <v>365</v>
      </c>
      <c r="F4891" s="89" t="str">
        <v/>
      </c>
      <c r="G4891" s="89" t="str">
        <f ca="1"/>
        <v/>
      </c>
    </row>
    <row r="4892" spans="1:7" x14ac:dyDescent="0.3">
      <c r="A4892" s="89" t="str">
        <v/>
      </c>
      <c r="B4892" s="89" t="str">
        <v>Seguridad Quimica (Todos)</v>
      </c>
      <c r="C4892" s="90" t="str">
        <v/>
      </c>
      <c r="D4892" s="89" t="str">
        <v>Periódica</v>
      </c>
      <c r="E4892" s="89">
        <v>730</v>
      </c>
      <c r="F4892" s="89" t="str">
        <v/>
      </c>
      <c r="G4892" s="89" t="str">
        <f ca="1"/>
        <v/>
      </c>
    </row>
    <row r="4893" spans="1:7" x14ac:dyDescent="0.3">
      <c r="A4893" s="89" t="str">
        <v/>
      </c>
      <c r="B4893" s="89" t="str">
        <v>Seguridad Quimica (Mantenimiento)</v>
      </c>
      <c r="C4893" s="90" t="str">
        <v/>
      </c>
      <c r="D4893" s="89" t="str">
        <v>Periódica</v>
      </c>
      <c r="E4893" s="89">
        <v>365</v>
      </c>
      <c r="F4893" s="89" t="str">
        <v/>
      </c>
      <c r="G4893" s="89" t="str">
        <f ca="1"/>
        <v/>
      </c>
    </row>
    <row r="4894" spans="1:7" x14ac:dyDescent="0.3">
      <c r="A4894" s="89" t="str">
        <v/>
      </c>
      <c r="B4894" s="89" t="str">
        <v>Seguridad Quimica (Contratistas)</v>
      </c>
      <c r="C4894" s="90" t="str">
        <v/>
      </c>
      <c r="D4894" s="89" t="str">
        <v>Periódica</v>
      </c>
      <c r="E4894" s="89">
        <v>365</v>
      </c>
      <c r="F4894" s="89" t="str">
        <v/>
      </c>
      <c r="G4894" s="89" t="str">
        <f ca="1"/>
        <v/>
      </c>
    </row>
    <row r="4895" spans="1:7" x14ac:dyDescent="0.3">
      <c r="A4895" s="89" t="str">
        <v/>
      </c>
      <c r="B4895" s="89" t="str">
        <v>Seguridad para Trabajos en Caliente</v>
      </c>
      <c r="C4895" s="90" t="str">
        <v/>
      </c>
      <c r="D4895" s="89" t="str">
        <v>Periódica</v>
      </c>
      <c r="E4895" s="89">
        <v>365</v>
      </c>
      <c r="F4895" s="89" t="str">
        <v/>
      </c>
      <c r="G4895" s="89" t="str">
        <f ca="1"/>
        <v/>
      </c>
    </row>
    <row r="4896" spans="1:7" x14ac:dyDescent="0.3">
      <c r="A4896" s="89" t="str">
        <v/>
      </c>
      <c r="B4896" s="89" t="str">
        <v>Seguridad con la Radiacion</v>
      </c>
      <c r="C4896" s="90" t="str">
        <v/>
      </c>
      <c r="D4896" s="89" t="str">
        <v>Periódica</v>
      </c>
      <c r="E4896" s="89">
        <v>365</v>
      </c>
      <c r="F4896" s="89" t="str">
        <v/>
      </c>
      <c r="G4896" s="89" t="str">
        <f ca="1"/>
        <v/>
      </c>
    </row>
    <row r="4897" spans="1:7" x14ac:dyDescent="0.3">
      <c r="A4897" s="89" t="str">
        <v/>
      </c>
      <c r="B4897" s="89" t="str">
        <v>Equipo de Proteccion Personal (PPE)</v>
      </c>
      <c r="C4897" s="90" t="str">
        <v/>
      </c>
      <c r="D4897" s="89" t="str">
        <v>Periódica</v>
      </c>
      <c r="E4897" s="89">
        <v>365</v>
      </c>
      <c r="F4897" s="89" t="str">
        <v/>
      </c>
      <c r="G4897" s="89" t="str">
        <f ca="1"/>
        <v/>
      </c>
    </row>
    <row r="4898" spans="1:7" x14ac:dyDescent="0.3">
      <c r="A4898" s="89" t="str">
        <v/>
      </c>
      <c r="B4898" s="89" t="str">
        <v>Proteccion Respiratoria</v>
      </c>
      <c r="C4898" s="90" t="str">
        <v/>
      </c>
      <c r="D4898" s="89" t="str">
        <v>Periódica</v>
      </c>
      <c r="E4898" s="89">
        <v>365</v>
      </c>
      <c r="F4898" s="89" t="str">
        <v/>
      </c>
      <c r="G4898" s="89" t="str">
        <f ca="1"/>
        <v/>
      </c>
    </row>
    <row r="4899" spans="1:7" x14ac:dyDescent="0.3">
      <c r="A4899" s="89" t="str">
        <v/>
      </c>
      <c r="B4899" s="89" t="str">
        <v xml:space="preserve">Seguridad con Escaleras </v>
      </c>
      <c r="C4899" s="90" t="str">
        <v/>
      </c>
      <c r="D4899" s="89" t="str">
        <v>Periódica</v>
      </c>
      <c r="E4899" s="89">
        <v>365</v>
      </c>
      <c r="F4899" s="89" t="str">
        <v/>
      </c>
      <c r="G4899" s="89" t="str">
        <f ca="1"/>
        <v/>
      </c>
    </row>
    <row r="4900" spans="1:7" x14ac:dyDescent="0.3">
      <c r="A4900" s="89" t="str">
        <v/>
      </c>
      <c r="B4900" s="89" t="str">
        <v>Seguridad con Escaleras // Estantes de Almacenamiento</v>
      </c>
      <c r="C4900" s="90" t="str">
        <v/>
      </c>
      <c r="D4900" s="89" t="str">
        <v>Periódica</v>
      </c>
      <c r="E4900" s="89">
        <v>365</v>
      </c>
      <c r="F4900" s="89" t="str">
        <v/>
      </c>
      <c r="G4900" s="89" t="str">
        <f ca="1"/>
        <v/>
      </c>
    </row>
    <row r="4901" spans="1:7" x14ac:dyDescent="0.3">
      <c r="A4901" s="89" t="str">
        <v/>
      </c>
      <c r="B4901" s="89" t="str">
        <v>Responsabilidades del Supervisor</v>
      </c>
      <c r="C4901" s="90" t="str">
        <v/>
      </c>
      <c r="D4901" s="89" t="str">
        <v>Periódica</v>
      </c>
      <c r="E4901" s="89">
        <v>365</v>
      </c>
      <c r="F4901" s="89" t="str">
        <v/>
      </c>
      <c r="G4901" s="89" t="str">
        <f ca="1"/>
        <v/>
      </c>
    </row>
    <row r="4902" spans="1:7" x14ac:dyDescent="0.3">
      <c r="A4902" s="89" t="str">
        <v/>
      </c>
      <c r="B4902" s="89" t="str">
        <v>Espacios Confinados (Todos)</v>
      </c>
      <c r="C4902" s="90" t="str">
        <v/>
      </c>
      <c r="D4902" s="89" t="str">
        <v>Periódica</v>
      </c>
      <c r="E4902" s="89">
        <v>365</v>
      </c>
      <c r="F4902" s="89" t="str">
        <v/>
      </c>
      <c r="G4902" s="89" t="str">
        <f ca="1"/>
        <v/>
      </c>
    </row>
    <row r="4903" spans="1:7" x14ac:dyDescent="0.3">
      <c r="A4903" s="89" t="str">
        <v/>
      </c>
      <c r="B4903" s="89" t="str">
        <v>HSMS.017 / Espacios Confinados (Entrantes)</v>
      </c>
      <c r="C4903" s="90" t="str">
        <v/>
      </c>
      <c r="D4903" s="89" t="str">
        <v>Evento</v>
      </c>
      <c r="E4903" s="89">
        <v>0</v>
      </c>
      <c r="F4903" s="89" t="str">
        <v/>
      </c>
      <c r="G4903" s="89" t="str">
        <f ca="1"/>
        <v/>
      </c>
    </row>
    <row r="4904" spans="1:7" x14ac:dyDescent="0.3">
      <c r="A4904" s="89" t="str">
        <v/>
      </c>
      <c r="B4904" s="89" t="str">
        <v>Programa de Agua (Todos)</v>
      </c>
      <c r="C4904" s="90" t="str">
        <v/>
      </c>
      <c r="D4904" s="89" t="str">
        <v>Evento</v>
      </c>
      <c r="E4904" s="89">
        <v>0</v>
      </c>
      <c r="F4904" s="89" t="str">
        <v/>
      </c>
      <c r="G4904" s="89" t="str">
        <f ca="1"/>
        <v/>
      </c>
    </row>
    <row r="4905" spans="1:7" x14ac:dyDescent="0.3">
      <c r="A4905" s="89" t="str">
        <v/>
      </c>
      <c r="B4905" s="89" t="str">
        <v>Programa de Agua (HSE)</v>
      </c>
      <c r="C4905" s="90" t="str">
        <v/>
      </c>
      <c r="D4905" s="89" t="str">
        <v>Evento</v>
      </c>
      <c r="E4905" s="89">
        <v>0</v>
      </c>
      <c r="F4905" s="89" t="str">
        <v/>
      </c>
      <c r="G4905" s="89" t="str">
        <f ca="1"/>
        <v/>
      </c>
    </row>
    <row r="4906" spans="1:7" x14ac:dyDescent="0.3">
      <c r="A4906" s="89" t="str">
        <v/>
      </c>
      <c r="B4906" s="89" t="str">
        <v>HIV/SIDA y otras enfermedades de transmisión sexual (ETS)</v>
      </c>
      <c r="C4906" s="90" t="str">
        <v/>
      </c>
      <c r="D4906" s="89" t="str">
        <v>Periódica</v>
      </c>
      <c r="E4906" s="89">
        <v>365</v>
      </c>
      <c r="F4906" s="89" t="str">
        <v/>
      </c>
      <c r="G4906" s="89" t="str">
        <f ca="1"/>
        <v/>
      </c>
    </row>
    <row r="4907" spans="1:7" x14ac:dyDescent="0.3">
      <c r="A4907" s="89" t="str">
        <v/>
      </c>
      <c r="B4907" s="89" t="str">
        <v>Drogas de abuso (concientización y prevención)</v>
      </c>
      <c r="C4907" s="90" t="str">
        <v/>
      </c>
      <c r="D4907" s="89" t="str">
        <v>Periódica</v>
      </c>
      <c r="E4907" s="89">
        <v>365</v>
      </c>
      <c r="F4907" s="89" t="str">
        <v/>
      </c>
      <c r="G4907" s="89" t="str">
        <f ca="1"/>
        <v/>
      </c>
    </row>
    <row r="4908" spans="1:7" x14ac:dyDescent="0.3">
      <c r="A4908" s="89" t="str">
        <v/>
      </c>
      <c r="B4908" s="89" t="str">
        <v>Vida saludable (hábitos, autocuidado y bienestar)</v>
      </c>
      <c r="C4908" s="90" t="str">
        <v/>
      </c>
      <c r="D4908" s="89" t="str">
        <v>Periódica</v>
      </c>
      <c r="E4908" s="89">
        <v>365</v>
      </c>
      <c r="F4908" s="89" t="str">
        <v/>
      </c>
      <c r="G4908" s="89" t="str">
        <f ca="1"/>
        <v/>
      </c>
    </row>
    <row r="4909" spans="1:7" x14ac:dyDescent="0.3">
      <c r="A4909" s="89" t="str">
        <v/>
      </c>
      <c r="B4909" s="89" t="str">
        <v>Primeros auxilios y Reanimación Cardio Pulmonar (RCP)</v>
      </c>
      <c r="C4909" s="90" t="str">
        <v/>
      </c>
      <c r="D4909" s="89" t="str">
        <v>Periódica</v>
      </c>
      <c r="E4909" s="89">
        <v>365</v>
      </c>
      <c r="F4909" s="89" t="str">
        <v/>
      </c>
      <c r="G4909" s="89" t="str">
        <f ca="1"/>
        <v/>
      </c>
    </row>
    <row r="4910" spans="1:7" x14ac:dyDescent="0.3">
      <c r="A4910" s="89" t="str">
        <v/>
      </c>
      <c r="B4910" s="89" t="str">
        <v>Prevención cardiovascular (factores de riesgo y señales de alarma)</v>
      </c>
      <c r="C4910" s="90" t="str">
        <v/>
      </c>
      <c r="D4910" s="89" t="str">
        <v>Periódica</v>
      </c>
      <c r="E4910" s="89">
        <v>365</v>
      </c>
      <c r="F4910" s="89" t="str">
        <v/>
      </c>
      <c r="G4910" s="89" t="str">
        <f ca="1"/>
        <v/>
      </c>
    </row>
    <row r="4911" spans="1:7" x14ac:dyDescent="0.3">
      <c r="A4911" s="89" t="str">
        <v/>
      </c>
      <c r="B4911" s="89" t="str">
        <v>Efectos del tabaco sobre la salud</v>
      </c>
      <c r="C4911" s="90" t="str">
        <v/>
      </c>
      <c r="D4911" s="89" t="str">
        <v>Periódica</v>
      </c>
      <c r="E4911" s="89">
        <v>365</v>
      </c>
      <c r="F4911" s="89" t="str">
        <v/>
      </c>
      <c r="G4911" s="89" t="str">
        <f ca="1"/>
        <v/>
      </c>
    </row>
    <row r="4912" spans="1:7" x14ac:dyDescent="0.3">
      <c r="A4912" s="89" t="str">
        <v/>
      </c>
      <c r="B4912" s="89" t="str">
        <v>Cargadora (Op. Montacargas)</v>
      </c>
      <c r="C4912" s="90" t="str">
        <v/>
      </c>
      <c r="D4912" s="89" t="str">
        <v>Periódica</v>
      </c>
      <c r="E4912" s="89">
        <v>365</v>
      </c>
      <c r="F4912" s="89" t="str">
        <v/>
      </c>
      <c r="G4912" s="89" t="str">
        <f ca="1"/>
        <v/>
      </c>
    </row>
    <row r="4913" spans="1:7" x14ac:dyDescent="0.3">
      <c r="A4913" s="89" t="str">
        <v/>
      </c>
      <c r="B4913" s="89">
        <v>0</v>
      </c>
      <c r="C4913" s="90" t="str">
        <v/>
      </c>
      <c r="D4913" s="89" t="str">
        <v/>
      </c>
      <c r="E4913" s="89" t="str">
        <v/>
      </c>
      <c r="F4913" s="89" t="str">
        <v/>
      </c>
      <c r="G4913" s="89" t="str">
        <f ca="1"/>
        <v/>
      </c>
    </row>
    <row r="4914" spans="1:7" x14ac:dyDescent="0.3">
      <c r="A4914" s="89" t="str">
        <v/>
      </c>
      <c r="B4914" s="89">
        <v>0</v>
      </c>
      <c r="C4914" s="90" t="str">
        <v/>
      </c>
      <c r="D4914" s="89" t="str">
        <v/>
      </c>
      <c r="E4914" s="89" t="str">
        <v/>
      </c>
      <c r="F4914" s="89" t="str">
        <v/>
      </c>
      <c r="G4914" s="89" t="str">
        <f ca="1"/>
        <v/>
      </c>
    </row>
    <row r="4915" spans="1:7" x14ac:dyDescent="0.3">
      <c r="A4915" s="89" t="str">
        <v/>
      </c>
      <c r="B4915" s="89">
        <v>0</v>
      </c>
      <c r="C4915" s="90" t="str">
        <v/>
      </c>
      <c r="D4915" s="89" t="str">
        <v/>
      </c>
      <c r="E4915" s="89" t="str">
        <v/>
      </c>
      <c r="F4915" s="89" t="str">
        <v/>
      </c>
      <c r="G4915" s="89" t="str">
        <f ca="1"/>
        <v/>
      </c>
    </row>
    <row r="4916" spans="1:7" x14ac:dyDescent="0.3">
      <c r="A4916" s="89" t="str">
        <v/>
      </c>
      <c r="B4916" s="89">
        <v>0</v>
      </c>
      <c r="C4916" s="90" t="str">
        <v/>
      </c>
      <c r="D4916" s="89" t="str">
        <v/>
      </c>
      <c r="E4916" s="89" t="str">
        <v/>
      </c>
      <c r="F4916" s="89" t="str">
        <v/>
      </c>
      <c r="G4916" s="89" t="str">
        <f ca="1"/>
        <v/>
      </c>
    </row>
    <row r="4917" spans="1:7" x14ac:dyDescent="0.3">
      <c r="A4917" s="89" t="str">
        <v/>
      </c>
      <c r="B4917" s="89">
        <v>0</v>
      </c>
      <c r="C4917" s="90" t="str">
        <v/>
      </c>
      <c r="D4917" s="89" t="str">
        <v/>
      </c>
      <c r="E4917" s="89" t="str">
        <v/>
      </c>
      <c r="F4917" s="89" t="str">
        <v/>
      </c>
      <c r="G4917" s="89" t="str">
        <f ca="1"/>
        <v/>
      </c>
    </row>
    <row r="4918" spans="1:7" x14ac:dyDescent="0.3">
      <c r="A4918" s="89" t="str">
        <v/>
      </c>
      <c r="B4918" s="89">
        <v>0</v>
      </c>
      <c r="C4918" s="90" t="str">
        <v/>
      </c>
      <c r="D4918" s="89" t="str">
        <v/>
      </c>
      <c r="E4918" s="89" t="str">
        <v/>
      </c>
      <c r="F4918" s="89" t="str">
        <v/>
      </c>
      <c r="G4918" s="89" t="str">
        <f ca="1"/>
        <v/>
      </c>
    </row>
    <row r="4919" spans="1:7" x14ac:dyDescent="0.3">
      <c r="A4919" s="89" t="str">
        <v/>
      </c>
      <c r="B4919" s="89">
        <v>0</v>
      </c>
      <c r="C4919" s="90" t="str">
        <v/>
      </c>
      <c r="D4919" s="89" t="str">
        <v/>
      </c>
      <c r="E4919" s="89" t="str">
        <v/>
      </c>
      <c r="F4919" s="89" t="str">
        <v/>
      </c>
      <c r="G4919" s="89" t="str">
        <f ca="1"/>
        <v/>
      </c>
    </row>
    <row r="4920" spans="1:7" x14ac:dyDescent="0.3">
      <c r="A4920" s="89" t="str">
        <v/>
      </c>
      <c r="B4920" s="89">
        <v>0</v>
      </c>
      <c r="C4920" s="90" t="str">
        <v/>
      </c>
      <c r="D4920" s="89" t="str">
        <v/>
      </c>
      <c r="E4920" s="89" t="str">
        <v/>
      </c>
      <c r="F4920" s="89" t="str">
        <v/>
      </c>
      <c r="G4920" s="89" t="str">
        <f ca="1"/>
        <v/>
      </c>
    </row>
    <row r="4921" spans="1:7" x14ac:dyDescent="0.3">
      <c r="A4921" s="89" t="str">
        <v/>
      </c>
      <c r="B4921" s="89">
        <v>0</v>
      </c>
      <c r="C4921" s="90" t="str">
        <v/>
      </c>
      <c r="D4921" s="89" t="str">
        <v/>
      </c>
      <c r="E4921" s="89" t="str">
        <v/>
      </c>
      <c r="F4921" s="89" t="str">
        <v/>
      </c>
      <c r="G4921" s="89" t="str">
        <f ca="1"/>
        <v/>
      </c>
    </row>
    <row r="4922" spans="1:7" x14ac:dyDescent="0.3">
      <c r="A4922" s="89" t="str">
        <v/>
      </c>
      <c r="B4922" s="89" t="str">
        <v>Programa de Aire</v>
      </c>
      <c r="C4922" s="90" t="str">
        <v/>
      </c>
      <c r="D4922" s="89" t="str">
        <v>Evento</v>
      </c>
      <c r="E4922" s="89">
        <v>0</v>
      </c>
      <c r="F4922" s="89" t="str">
        <v/>
      </c>
      <c r="G4922" s="89" t="str">
        <f ca="1"/>
        <v/>
      </c>
    </row>
    <row r="4923" spans="1:7" x14ac:dyDescent="0.3">
      <c r="A4923" s="89" t="str">
        <v/>
      </c>
      <c r="B4923" s="89" t="str">
        <v>Conciencia Ambiental</v>
      </c>
      <c r="C4923" s="90" t="str">
        <v/>
      </c>
      <c r="D4923" s="89" t="str">
        <v>Periódica</v>
      </c>
      <c r="E4923" s="89">
        <v>365</v>
      </c>
      <c r="F4923" s="89" t="str">
        <v/>
      </c>
      <c r="G4923" s="89" t="str">
        <f ca="1"/>
        <v/>
      </c>
    </row>
    <row r="4924" spans="1:7" x14ac:dyDescent="0.3">
      <c r="A4924" s="89" t="str">
        <v/>
      </c>
      <c r="B4924" s="89" t="str">
        <v xml:space="preserve">Control de Documentos e Informacion de HSE </v>
      </c>
      <c r="C4924" s="90" t="str">
        <v/>
      </c>
      <c r="D4924" s="89" t="str">
        <v>Evento</v>
      </c>
      <c r="E4924" s="89">
        <v>0</v>
      </c>
      <c r="F4924" s="89" t="str">
        <v/>
      </c>
      <c r="G4924" s="89" t="str">
        <f ca="1"/>
        <v/>
      </c>
    </row>
    <row r="4925" spans="1:7" x14ac:dyDescent="0.3">
      <c r="A4925" s="89" t="str">
        <v/>
      </c>
      <c r="B4925" s="89" t="str">
        <v xml:space="preserve"> Acciones Correctivas y Preventivas (CAPA)</v>
      </c>
      <c r="C4925" s="90" t="str">
        <v/>
      </c>
      <c r="D4925" s="89" t="str">
        <v>Evento</v>
      </c>
      <c r="E4925" s="89">
        <v>0</v>
      </c>
      <c r="F4925" s="89" t="str">
        <v/>
      </c>
      <c r="G4925" s="89" t="str">
        <f ca="1"/>
        <v/>
      </c>
    </row>
    <row r="4926" spans="1:7" x14ac:dyDescent="0.3">
      <c r="A4926" s="89" t="str">
        <v/>
      </c>
      <c r="B4926" s="89" t="str">
        <v>Seguridad Basada en el Comportamiento (Observation Program) // HSMS.043 / Autoridad de Detener el Trabajo</v>
      </c>
      <c r="C4926" s="90" t="str">
        <v/>
      </c>
      <c r="D4926" s="89" t="str">
        <v>Periódica</v>
      </c>
      <c r="E4926" s="89">
        <v>365</v>
      </c>
      <c r="F4926" s="89" t="str">
        <v/>
      </c>
      <c r="G4926" s="89" t="str">
        <f ca="1"/>
        <v/>
      </c>
    </row>
    <row r="4927" spans="1:7" x14ac:dyDescent="0.3">
      <c r="A4927" s="89" t="str">
        <v/>
      </c>
      <c r="B4927" s="89" t="str">
        <v>Identificacion de Peligros y Evaluacion de Riesgos</v>
      </c>
      <c r="C4927" s="90" t="str">
        <v/>
      </c>
      <c r="D4927" s="89" t="str">
        <v>Evento</v>
      </c>
      <c r="E4927" s="89">
        <v>0</v>
      </c>
      <c r="F4927" s="89" t="str">
        <v/>
      </c>
      <c r="G4927" s="89" t="str">
        <f ca="1"/>
        <v/>
      </c>
    </row>
    <row r="4928" spans="1:7" x14ac:dyDescent="0.3">
      <c r="A4928" s="89" t="str">
        <v/>
      </c>
      <c r="B4928" s="89" t="str">
        <v xml:space="preserve"> Plan de Respuesta ante Eemergencias / HSMS.010 /Primeros Axulios &amp; RCP/DEA / HSMSWT-002 / Patogenos Trasnmitidos por la Sangre</v>
      </c>
      <c r="C4928" s="90" t="str">
        <v/>
      </c>
      <c r="D4928" s="89" t="str">
        <v>Periódica</v>
      </c>
      <c r="E4928" s="89">
        <v>365</v>
      </c>
      <c r="F4928" s="89" t="str">
        <v/>
      </c>
      <c r="G4928" s="89" t="str">
        <f ca="1"/>
        <v/>
      </c>
    </row>
    <row r="4929" spans="1:7" x14ac:dyDescent="0.3">
      <c r="A4929" s="89" t="str">
        <v/>
      </c>
      <c r="B4929" s="89" t="str">
        <v>Reporte y Gestion de Incidentes HSE (Todos)</v>
      </c>
      <c r="C4929" s="90" t="str">
        <v/>
      </c>
      <c r="D4929" s="89" t="str">
        <v>Periódica</v>
      </c>
      <c r="E4929" s="89">
        <v>365</v>
      </c>
      <c r="F4929" s="89" t="str">
        <v/>
      </c>
      <c r="G4929" s="89" t="str">
        <f ca="1"/>
        <v/>
      </c>
    </row>
    <row r="4930" spans="1:7" x14ac:dyDescent="0.3">
      <c r="A4930" s="89" t="str">
        <v/>
      </c>
      <c r="B4930" s="89" t="str">
        <v>Reporte, Gestion e Investigacion de Incidentes HSE (supervisores / investigadores (rol))</v>
      </c>
      <c r="C4930" s="90" t="str">
        <v/>
      </c>
      <c r="D4930" s="89" t="str">
        <v>Periódica</v>
      </c>
      <c r="E4930" s="89">
        <v>1095</v>
      </c>
      <c r="F4930" s="89" t="str">
        <v/>
      </c>
      <c r="G4930" s="89" t="str">
        <f ca="1"/>
        <v/>
      </c>
    </row>
    <row r="4931" spans="1:7" x14ac:dyDescent="0.3">
      <c r="A4931" s="89" t="str">
        <v/>
      </c>
      <c r="B4931" s="89" t="str">
        <v>Gruas y Equipos de Izaje (Todos)</v>
      </c>
      <c r="C4931" s="90" t="str">
        <v/>
      </c>
      <c r="D4931" s="89" t="str">
        <v>Periódica</v>
      </c>
      <c r="E4931" s="89">
        <v>365</v>
      </c>
      <c r="F4931" s="89" t="str">
        <v/>
      </c>
      <c r="G4931" s="89" t="str">
        <f ca="1"/>
        <v/>
      </c>
    </row>
    <row r="4932" spans="1:7" x14ac:dyDescent="0.3">
      <c r="A4932" s="89" t="str">
        <v/>
      </c>
      <c r="B4932" s="89" t="str">
        <v>HSMS.007 / Gruas y Equipos de Izaje (Operadores)</v>
      </c>
      <c r="C4932" s="90" t="str">
        <v/>
      </c>
      <c r="D4932" s="89" t="str">
        <v>Periódica</v>
      </c>
      <c r="E4932" s="89">
        <v>365</v>
      </c>
      <c r="F4932" s="89" t="str">
        <v/>
      </c>
      <c r="G4932" s="89" t="str">
        <f ca="1"/>
        <v/>
      </c>
    </row>
    <row r="4933" spans="1:7" x14ac:dyDescent="0.3">
      <c r="A4933" s="89" t="str">
        <v/>
      </c>
      <c r="B4933" s="89" t="str">
        <v>Proteccion Contra Incendios (Todos)</v>
      </c>
      <c r="C4933" s="90" t="str">
        <v/>
      </c>
      <c r="D4933" s="89" t="str">
        <v>Periódica</v>
      </c>
      <c r="E4933" s="89">
        <v>365</v>
      </c>
      <c r="F4933" s="89" t="str">
        <v/>
      </c>
      <c r="G4933" s="89" t="str">
        <f ca="1"/>
        <v/>
      </c>
    </row>
    <row r="4934" spans="1:7" x14ac:dyDescent="0.3">
      <c r="A4934" s="89" t="str">
        <v/>
      </c>
      <c r="B4934" s="89" t="str">
        <v>Proteccion Contra Incendios (Brigadistas)</v>
      </c>
      <c r="C4934" s="90" t="str">
        <v/>
      </c>
      <c r="D4934" s="89" t="str">
        <v>Periódica</v>
      </c>
      <c r="E4934" s="89">
        <v>365</v>
      </c>
      <c r="F4934" s="89" t="str">
        <v/>
      </c>
      <c r="G4934" s="89" t="str">
        <f ca="1"/>
        <v/>
      </c>
    </row>
    <row r="4935" spans="1:7" x14ac:dyDescent="0.3">
      <c r="A4935" s="89" t="str">
        <v/>
      </c>
      <c r="B4935" s="89" t="str">
        <v>Primeros Auxilios (Brigadistas)</v>
      </c>
      <c r="C4935" s="90" t="str">
        <v/>
      </c>
      <c r="D4935" s="89" t="str">
        <v>Periódica</v>
      </c>
      <c r="E4935" s="89">
        <v>365</v>
      </c>
      <c r="F4935" s="89" t="str">
        <v/>
      </c>
      <c r="G4935" s="89" t="str">
        <f ca="1"/>
        <v/>
      </c>
    </row>
    <row r="4936" spans="1:7" x14ac:dyDescent="0.3">
      <c r="A4936" s="89" t="str">
        <v/>
      </c>
      <c r="B4936" s="89" t="str">
        <v>Seguridad Electrica (Todos)</v>
      </c>
      <c r="C4936" s="90" t="str">
        <v/>
      </c>
      <c r="D4936" s="89" t="str">
        <v>Periódica</v>
      </c>
      <c r="E4936" s="89">
        <v>365</v>
      </c>
      <c r="F4936" s="89" t="str">
        <v/>
      </c>
      <c r="G4936" s="89" t="str">
        <f ca="1"/>
        <v/>
      </c>
    </row>
    <row r="4937" spans="1:7" x14ac:dyDescent="0.3">
      <c r="A4937" s="89" t="str">
        <v/>
      </c>
      <c r="B4937" s="89" t="str">
        <v>Seguridad Electrica (Personal Autorizado)</v>
      </c>
      <c r="C4937" s="90" t="str">
        <v/>
      </c>
      <c r="D4937" s="89" t="str">
        <v>Periódica</v>
      </c>
      <c r="E4937" s="89">
        <v>1095</v>
      </c>
      <c r="F4937" s="89" t="str">
        <v/>
      </c>
      <c r="G4937" s="89" t="str">
        <f ca="1"/>
        <v/>
      </c>
    </row>
    <row r="4938" spans="1:7" x14ac:dyDescent="0.3">
      <c r="A4938" s="89" t="str">
        <v/>
      </c>
      <c r="B4938" s="89" t="str">
        <v>Camiones Industriales Motorizados (PIT) (Todos)</v>
      </c>
      <c r="C4938" s="90" t="str">
        <v/>
      </c>
      <c r="D4938" s="89" t="str">
        <v>Periódica</v>
      </c>
      <c r="E4938" s="89">
        <v>365</v>
      </c>
      <c r="F4938" s="89" t="str">
        <v/>
      </c>
      <c r="G4938" s="89" t="str">
        <f ca="1"/>
        <v/>
      </c>
    </row>
    <row r="4939" spans="1:7" x14ac:dyDescent="0.3">
      <c r="A4939" s="89" t="str">
        <v/>
      </c>
      <c r="B4939" s="89" t="str">
        <v>Camiones Industriales Motorizados (PIT) (Op. Montacargas)</v>
      </c>
      <c r="C4939" s="90" t="str">
        <v/>
      </c>
      <c r="D4939" s="89" t="str">
        <v>Periódica</v>
      </c>
      <c r="E4939" s="89">
        <v>365</v>
      </c>
      <c r="F4939" s="89" t="str">
        <v/>
      </c>
      <c r="G4939" s="89" t="str">
        <f ca="1"/>
        <v/>
      </c>
    </row>
    <row r="4940" spans="1:7" x14ac:dyDescent="0.3">
      <c r="A4940" s="89" t="str">
        <v/>
      </c>
      <c r="B4940" s="89" t="str">
        <v>Control de Energias Peligrosas (LOTO) (Todos)</v>
      </c>
      <c r="C4940" s="90" t="str">
        <v/>
      </c>
      <c r="D4940" s="89" t="str">
        <v>Evento</v>
      </c>
      <c r="E4940" s="89">
        <v>0</v>
      </c>
      <c r="F4940" s="89" t="str">
        <v/>
      </c>
      <c r="G4940" s="89" t="str">
        <f ca="1"/>
        <v/>
      </c>
    </row>
    <row r="4941" spans="1:7" x14ac:dyDescent="0.3">
      <c r="A4941" s="89" t="str">
        <v/>
      </c>
      <c r="B4941" s="89" t="str">
        <v>Control de Energias Peligrosas (LOTO) (Empleados Autorizados)</v>
      </c>
      <c r="C4941" s="90" t="str">
        <v/>
      </c>
      <c r="D4941" s="89" t="str">
        <v>Periódica</v>
      </c>
      <c r="E4941" s="89">
        <v>365</v>
      </c>
      <c r="F4941" s="89" t="str">
        <v/>
      </c>
      <c r="G4941" s="89" t="str">
        <f ca="1"/>
        <v/>
      </c>
    </row>
    <row r="4942" spans="1:7" x14ac:dyDescent="0.3">
      <c r="A4942" s="89" t="str">
        <v/>
      </c>
      <c r="B4942" s="89" t="str">
        <v>Seguridad aplicada al Pozo &amp; Yacimiento</v>
      </c>
      <c r="C4942" s="90" t="str">
        <v/>
      </c>
      <c r="D4942" s="89" t="str">
        <v>Periódica</v>
      </c>
      <c r="E4942" s="89">
        <v>365</v>
      </c>
      <c r="F4942" s="89" t="str">
        <v/>
      </c>
      <c r="G4942" s="89" t="str">
        <f ca="1"/>
        <v/>
      </c>
    </row>
    <row r="4943" spans="1:7" x14ac:dyDescent="0.3">
      <c r="A4943" s="89" t="str">
        <v/>
      </c>
      <c r="B4943" s="89" t="str">
        <v>Las Reglas que Salvan Vidas</v>
      </c>
      <c r="C4943" s="90" t="str">
        <v/>
      </c>
      <c r="D4943" s="89" t="str">
        <v>Periódica</v>
      </c>
      <c r="E4943" s="89">
        <v>365</v>
      </c>
      <c r="F4943" s="89" t="str">
        <v/>
      </c>
      <c r="G4943" s="89" t="str">
        <f ca="1"/>
        <v/>
      </c>
    </row>
    <row r="4944" spans="1:7" x14ac:dyDescent="0.3">
      <c r="A4944" s="89" t="str">
        <v/>
      </c>
      <c r="B4944" s="89" t="str">
        <v xml:space="preserve">Resguardo de Maquinas &amp; Equipos </v>
      </c>
      <c r="C4944" s="90" t="str">
        <v/>
      </c>
      <c r="D4944" s="89" t="str">
        <v>Periódica</v>
      </c>
      <c r="E4944" s="89">
        <v>365</v>
      </c>
      <c r="F4944" s="89" t="str">
        <v/>
      </c>
      <c r="G4944" s="89" t="str">
        <f ca="1"/>
        <v/>
      </c>
    </row>
    <row r="4945" spans="1:7" x14ac:dyDescent="0.3">
      <c r="A4945" s="89" t="str">
        <v/>
      </c>
      <c r="B4945" s="89" t="str">
        <v>Conduccion y Gestion de Viajes (Todos)</v>
      </c>
      <c r="C4945" s="90" t="str">
        <v/>
      </c>
      <c r="D4945" s="89" t="str">
        <v>Periódica</v>
      </c>
      <c r="E4945" s="89">
        <v>730</v>
      </c>
      <c r="F4945" s="89" t="str">
        <v/>
      </c>
      <c r="G4945" s="89" t="str">
        <f ca="1"/>
        <v/>
      </c>
    </row>
    <row r="4946" spans="1:7" x14ac:dyDescent="0.3">
      <c r="A4946" s="89" t="str">
        <v/>
      </c>
      <c r="B4946" s="89" t="str">
        <v>Conduccion y Gestion de Viajes (Conductores)</v>
      </c>
      <c r="C4946" s="90" t="str">
        <v/>
      </c>
      <c r="D4946" s="89" t="str">
        <v>Periódica</v>
      </c>
      <c r="E4946" s="89">
        <v>1095</v>
      </c>
      <c r="F4946" s="89" t="str">
        <v/>
      </c>
      <c r="G4946" s="89" t="str">
        <f ca="1"/>
        <v/>
      </c>
    </row>
    <row r="4947" spans="1:7" x14ac:dyDescent="0.3">
      <c r="A4947" s="89" t="str">
        <v/>
      </c>
      <c r="B4947" s="89" t="str">
        <v>Patogenos Transmitidos por la Sangre</v>
      </c>
      <c r="C4947" s="90" t="str">
        <v/>
      </c>
      <c r="D4947" s="89" t="str">
        <v>Periódica</v>
      </c>
      <c r="E4947" s="89">
        <v>365</v>
      </c>
      <c r="F4947" s="89" t="str">
        <v/>
      </c>
      <c r="G4947" s="89" t="str">
        <f ca="1"/>
        <v/>
      </c>
    </row>
    <row r="4948" spans="1:7" x14ac:dyDescent="0.3">
      <c r="A4948" s="89" t="str">
        <v/>
      </c>
      <c r="B4948" s="89" t="str">
        <v>Conservacion Auditiva</v>
      </c>
      <c r="C4948" s="90" t="str">
        <v/>
      </c>
      <c r="D4948" s="89" t="str">
        <v>Periódica</v>
      </c>
      <c r="E4948" s="89">
        <v>365</v>
      </c>
      <c r="F4948" s="89" t="str">
        <v/>
      </c>
      <c r="G4948" s="89" t="str">
        <f ca="1"/>
        <v/>
      </c>
    </row>
    <row r="4949" spans="1:7" x14ac:dyDescent="0.3">
      <c r="A4949" s="89" t="str">
        <v/>
      </c>
      <c r="B4949" s="89" t="str">
        <v xml:space="preserve">Ergonomia //  / Levantamiento &amp; Seguridad en la Espalda </v>
      </c>
      <c r="C4949" s="90" t="str">
        <v/>
      </c>
      <c r="D4949" s="89" t="str">
        <v>Periódica</v>
      </c>
      <c r="E4949" s="89">
        <v>365</v>
      </c>
      <c r="F4949" s="89" t="str">
        <v/>
      </c>
      <c r="G4949" s="89" t="str">
        <f ca="1"/>
        <v/>
      </c>
    </row>
    <row r="4950" spans="1:7" x14ac:dyDescent="0.3">
      <c r="A4950" s="89" t="str">
        <v/>
      </c>
      <c r="B4950" s="89" t="str">
        <v>Superficies Elevadas (Todos)</v>
      </c>
      <c r="C4950" s="90" t="str">
        <v/>
      </c>
      <c r="D4950" s="89" t="str">
        <v>Periódica</v>
      </c>
      <c r="E4950" s="89">
        <v>365</v>
      </c>
      <c r="F4950" s="89" t="str">
        <v/>
      </c>
      <c r="G4950" s="89" t="str">
        <f ca="1"/>
        <v/>
      </c>
    </row>
    <row r="4951" spans="1:7" x14ac:dyDescent="0.3">
      <c r="A4951" s="89" t="str">
        <v/>
      </c>
      <c r="B4951" s="89" t="str">
        <v>Superficies Elevadas (Personal Habilitado)</v>
      </c>
      <c r="C4951" s="90" t="str">
        <v/>
      </c>
      <c r="D4951" s="89" t="str">
        <v>Periódica</v>
      </c>
      <c r="E4951" s="89">
        <v>365</v>
      </c>
      <c r="F4951" s="89" t="str">
        <v/>
      </c>
      <c r="G4951" s="89" t="str">
        <f ca="1"/>
        <v/>
      </c>
    </row>
    <row r="4952" spans="1:7" x14ac:dyDescent="0.3">
      <c r="A4952" s="89" t="str">
        <v/>
      </c>
      <c r="B4952" s="89" t="str">
        <v>Seguridad Quimica (Todos)</v>
      </c>
      <c r="C4952" s="90" t="str">
        <v/>
      </c>
      <c r="D4952" s="89" t="str">
        <v>Periódica</v>
      </c>
      <c r="E4952" s="89">
        <v>730</v>
      </c>
      <c r="F4952" s="89" t="str">
        <v/>
      </c>
      <c r="G4952" s="89" t="str">
        <f ca="1"/>
        <v/>
      </c>
    </row>
    <row r="4953" spans="1:7" x14ac:dyDescent="0.3">
      <c r="A4953" s="89" t="str">
        <v/>
      </c>
      <c r="B4953" s="89" t="str">
        <v>Seguridad Quimica (Mantenimiento)</v>
      </c>
      <c r="C4953" s="90" t="str">
        <v/>
      </c>
      <c r="D4953" s="89" t="str">
        <v>Periódica</v>
      </c>
      <c r="E4953" s="89">
        <v>365</v>
      </c>
      <c r="F4953" s="89" t="str">
        <v/>
      </c>
      <c r="G4953" s="89" t="str">
        <f ca="1"/>
        <v/>
      </c>
    </row>
    <row r="4954" spans="1:7" x14ac:dyDescent="0.3">
      <c r="A4954" s="89" t="str">
        <v/>
      </c>
      <c r="B4954" s="89" t="str">
        <v>Seguridad Quimica (Contratistas)</v>
      </c>
      <c r="C4954" s="90" t="str">
        <v/>
      </c>
      <c r="D4954" s="89" t="str">
        <v>Periódica</v>
      </c>
      <c r="E4954" s="89">
        <v>365</v>
      </c>
      <c r="F4954" s="89" t="str">
        <v/>
      </c>
      <c r="G4954" s="89" t="str">
        <f ca="1"/>
        <v/>
      </c>
    </row>
    <row r="4955" spans="1:7" x14ac:dyDescent="0.3">
      <c r="A4955" s="89" t="str">
        <v/>
      </c>
      <c r="B4955" s="89" t="str">
        <v>Seguridad para Trabajos en Caliente</v>
      </c>
      <c r="C4955" s="90" t="str">
        <v/>
      </c>
      <c r="D4955" s="89" t="str">
        <v>Periódica</v>
      </c>
      <c r="E4955" s="89">
        <v>365</v>
      </c>
      <c r="F4955" s="89" t="str">
        <v/>
      </c>
      <c r="G4955" s="89" t="str">
        <f ca="1"/>
        <v/>
      </c>
    </row>
    <row r="4956" spans="1:7" x14ac:dyDescent="0.3">
      <c r="A4956" s="89" t="str">
        <v/>
      </c>
      <c r="B4956" s="89" t="str">
        <v>Seguridad con la Radiacion</v>
      </c>
      <c r="C4956" s="90" t="str">
        <v/>
      </c>
      <c r="D4956" s="89" t="str">
        <v>Periódica</v>
      </c>
      <c r="E4956" s="89">
        <v>365</v>
      </c>
      <c r="F4956" s="89" t="str">
        <v/>
      </c>
      <c r="G4956" s="89" t="str">
        <f ca="1"/>
        <v/>
      </c>
    </row>
    <row r="4957" spans="1:7" x14ac:dyDescent="0.3">
      <c r="A4957" s="89" t="str">
        <v/>
      </c>
      <c r="B4957" s="89" t="str">
        <v>Equipo de Proteccion Personal (PPE)</v>
      </c>
      <c r="C4957" s="90" t="str">
        <v/>
      </c>
      <c r="D4957" s="89" t="str">
        <v>Periódica</v>
      </c>
      <c r="E4957" s="89">
        <v>365</v>
      </c>
      <c r="F4957" s="89" t="str">
        <v/>
      </c>
      <c r="G4957" s="89" t="str">
        <f ca="1"/>
        <v/>
      </c>
    </row>
    <row r="4958" spans="1:7" x14ac:dyDescent="0.3">
      <c r="A4958" s="89" t="str">
        <v/>
      </c>
      <c r="B4958" s="89" t="str">
        <v>Proteccion Respiratoria</v>
      </c>
      <c r="C4958" s="90" t="str">
        <v/>
      </c>
      <c r="D4958" s="89" t="str">
        <v>Periódica</v>
      </c>
      <c r="E4958" s="89">
        <v>365</v>
      </c>
      <c r="F4958" s="89" t="str">
        <v/>
      </c>
      <c r="G4958" s="89" t="str">
        <f ca="1"/>
        <v/>
      </c>
    </row>
    <row r="4959" spans="1:7" x14ac:dyDescent="0.3">
      <c r="A4959" s="89" t="str">
        <v/>
      </c>
      <c r="B4959" s="89" t="str">
        <v xml:space="preserve">Seguridad con Escaleras </v>
      </c>
      <c r="C4959" s="90" t="str">
        <v/>
      </c>
      <c r="D4959" s="89" t="str">
        <v>Periódica</v>
      </c>
      <c r="E4959" s="89">
        <v>365</v>
      </c>
      <c r="F4959" s="89" t="str">
        <v/>
      </c>
      <c r="G4959" s="89" t="str">
        <f ca="1"/>
        <v/>
      </c>
    </row>
    <row r="4960" spans="1:7" x14ac:dyDescent="0.3">
      <c r="A4960" s="89" t="str">
        <v/>
      </c>
      <c r="B4960" s="89" t="str">
        <v>Seguridad con Escaleras // Estantes de Almacenamiento</v>
      </c>
      <c r="C4960" s="90" t="str">
        <v/>
      </c>
      <c r="D4960" s="89" t="str">
        <v>Periódica</v>
      </c>
      <c r="E4960" s="89">
        <v>365</v>
      </c>
      <c r="F4960" s="89" t="str">
        <v/>
      </c>
      <c r="G4960" s="89" t="str">
        <f ca="1"/>
        <v/>
      </c>
    </row>
    <row r="4961" spans="1:7" x14ac:dyDescent="0.3">
      <c r="A4961" s="89" t="str">
        <v/>
      </c>
      <c r="B4961" s="89" t="str">
        <v>Responsabilidades del Supervisor</v>
      </c>
      <c r="C4961" s="90" t="str">
        <v/>
      </c>
      <c r="D4961" s="89" t="str">
        <v>Periódica</v>
      </c>
      <c r="E4961" s="89">
        <v>365</v>
      </c>
      <c r="F4961" s="89" t="str">
        <v/>
      </c>
      <c r="G4961" s="89" t="str">
        <f ca="1"/>
        <v/>
      </c>
    </row>
    <row r="4962" spans="1:7" x14ac:dyDescent="0.3">
      <c r="A4962" s="89" t="str">
        <v/>
      </c>
      <c r="B4962" s="89" t="str">
        <v>Espacios Confinados (Todos)</v>
      </c>
      <c r="C4962" s="90" t="str">
        <v/>
      </c>
      <c r="D4962" s="89" t="str">
        <v>Periódica</v>
      </c>
      <c r="E4962" s="89">
        <v>365</v>
      </c>
      <c r="F4962" s="89" t="str">
        <v/>
      </c>
      <c r="G4962" s="89" t="str">
        <f ca="1"/>
        <v/>
      </c>
    </row>
    <row r="4963" spans="1:7" x14ac:dyDescent="0.3">
      <c r="A4963" s="89" t="str">
        <v/>
      </c>
      <c r="B4963" s="89" t="str">
        <v>HSMS.017 / Espacios Confinados (Entrantes)</v>
      </c>
      <c r="C4963" s="90" t="str">
        <v/>
      </c>
      <c r="D4963" s="89" t="str">
        <v>Evento</v>
      </c>
      <c r="E4963" s="89">
        <v>0</v>
      </c>
      <c r="F4963" s="89" t="str">
        <v/>
      </c>
      <c r="G4963" s="89" t="str">
        <f ca="1"/>
        <v/>
      </c>
    </row>
    <row r="4964" spans="1:7" x14ac:dyDescent="0.3">
      <c r="A4964" s="89" t="str">
        <v/>
      </c>
      <c r="B4964" s="89" t="str">
        <v>Programa de Agua (Todos)</v>
      </c>
      <c r="C4964" s="90" t="str">
        <v/>
      </c>
      <c r="D4964" s="89" t="str">
        <v>Evento</v>
      </c>
      <c r="E4964" s="89">
        <v>0</v>
      </c>
      <c r="F4964" s="89" t="str">
        <v/>
      </c>
      <c r="G4964" s="89" t="str">
        <f ca="1"/>
        <v/>
      </c>
    </row>
    <row r="4965" spans="1:7" x14ac:dyDescent="0.3">
      <c r="A4965" s="89" t="str">
        <v/>
      </c>
      <c r="B4965" s="89" t="str">
        <v>Programa de Agua (HSE)</v>
      </c>
      <c r="C4965" s="90" t="str">
        <v/>
      </c>
      <c r="D4965" s="89" t="str">
        <v>Evento</v>
      </c>
      <c r="E4965" s="89">
        <v>0</v>
      </c>
      <c r="F4965" s="89" t="str">
        <v/>
      </c>
      <c r="G4965" s="89" t="str">
        <f ca="1"/>
        <v/>
      </c>
    </row>
    <row r="4966" spans="1:7" x14ac:dyDescent="0.3">
      <c r="A4966" s="89" t="str">
        <v/>
      </c>
      <c r="B4966" s="89" t="str">
        <v>HIV/SIDA y otras enfermedades de transmisión sexual (ETS)</v>
      </c>
      <c r="C4966" s="90" t="str">
        <v/>
      </c>
      <c r="D4966" s="89" t="str">
        <v>Periódica</v>
      </c>
      <c r="E4966" s="89">
        <v>365</v>
      </c>
      <c r="F4966" s="89" t="str">
        <v/>
      </c>
      <c r="G4966" s="89" t="str">
        <f ca="1"/>
        <v/>
      </c>
    </row>
    <row r="4967" spans="1:7" x14ac:dyDescent="0.3">
      <c r="A4967" s="89" t="str">
        <v/>
      </c>
      <c r="B4967" s="89" t="str">
        <v>Drogas de abuso (concientización y prevención)</v>
      </c>
      <c r="C4967" s="90" t="str">
        <v/>
      </c>
      <c r="D4967" s="89" t="str">
        <v>Periódica</v>
      </c>
      <c r="E4967" s="89">
        <v>365</v>
      </c>
      <c r="F4967" s="89" t="str">
        <v/>
      </c>
      <c r="G4967" s="89" t="str">
        <f ca="1"/>
        <v/>
      </c>
    </row>
    <row r="4968" spans="1:7" x14ac:dyDescent="0.3">
      <c r="A4968" s="89" t="str">
        <v/>
      </c>
      <c r="B4968" s="89" t="str">
        <v>Vida saludable (hábitos, autocuidado y bienestar)</v>
      </c>
      <c r="C4968" s="90" t="str">
        <v/>
      </c>
      <c r="D4968" s="89" t="str">
        <v>Periódica</v>
      </c>
      <c r="E4968" s="89">
        <v>365</v>
      </c>
      <c r="F4968" s="89" t="str">
        <v/>
      </c>
      <c r="G4968" s="89" t="str">
        <f ca="1"/>
        <v/>
      </c>
    </row>
    <row r="4969" spans="1:7" x14ac:dyDescent="0.3">
      <c r="A4969" s="89" t="str">
        <v/>
      </c>
      <c r="B4969" s="89" t="str">
        <v>Primeros auxilios y Reanimación Cardio Pulmonar (RCP)</v>
      </c>
      <c r="C4969" s="90" t="str">
        <v/>
      </c>
      <c r="D4969" s="89" t="str">
        <v>Periódica</v>
      </c>
      <c r="E4969" s="89">
        <v>365</v>
      </c>
      <c r="F4969" s="89" t="str">
        <v/>
      </c>
      <c r="G4969" s="89" t="str">
        <f ca="1"/>
        <v/>
      </c>
    </row>
    <row r="4970" spans="1:7" x14ac:dyDescent="0.3">
      <c r="A4970" s="89" t="str">
        <v/>
      </c>
      <c r="B4970" s="89" t="str">
        <v>Prevención cardiovascular (factores de riesgo y señales de alarma)</v>
      </c>
      <c r="C4970" s="90" t="str">
        <v/>
      </c>
      <c r="D4970" s="89" t="str">
        <v>Periódica</v>
      </c>
      <c r="E4970" s="89">
        <v>365</v>
      </c>
      <c r="F4970" s="89" t="str">
        <v/>
      </c>
      <c r="G4970" s="89" t="str">
        <f ca="1"/>
        <v/>
      </c>
    </row>
    <row r="4971" spans="1:7" x14ac:dyDescent="0.3">
      <c r="A4971" s="89" t="str">
        <v/>
      </c>
      <c r="B4971" s="89" t="str">
        <v>Efectos del tabaco sobre la salud</v>
      </c>
      <c r="C4971" s="90" t="str">
        <v/>
      </c>
      <c r="D4971" s="89" t="str">
        <v>Periódica</v>
      </c>
      <c r="E4971" s="89">
        <v>365</v>
      </c>
      <c r="F4971" s="89" t="str">
        <v/>
      </c>
      <c r="G4971" s="89" t="str">
        <f ca="1"/>
        <v/>
      </c>
    </row>
    <row r="4972" spans="1:7" x14ac:dyDescent="0.3">
      <c r="A4972" s="89" t="str">
        <v/>
      </c>
      <c r="B4972" s="89" t="str">
        <v>Cargadora (Op. Montacargas)</v>
      </c>
      <c r="C4972" s="90" t="str">
        <v/>
      </c>
      <c r="D4972" s="89" t="str">
        <v>Periódica</v>
      </c>
      <c r="E4972" s="89">
        <v>365</v>
      </c>
      <c r="F4972" s="89" t="str">
        <v/>
      </c>
      <c r="G4972" s="89" t="str">
        <f ca="1"/>
        <v/>
      </c>
    </row>
    <row r="4973" spans="1:7" x14ac:dyDescent="0.3">
      <c r="A4973" s="89" t="str">
        <v/>
      </c>
      <c r="B4973" s="89">
        <v>0</v>
      </c>
      <c r="C4973" s="90" t="str">
        <v/>
      </c>
      <c r="D4973" s="89" t="str">
        <v/>
      </c>
      <c r="E4973" s="89" t="str">
        <v/>
      </c>
      <c r="F4973" s="89" t="str">
        <v/>
      </c>
      <c r="G4973" s="89" t="str">
        <f ca="1"/>
        <v/>
      </c>
    </row>
    <row r="4974" spans="1:7" x14ac:dyDescent="0.3">
      <c r="A4974" s="89" t="str">
        <v/>
      </c>
      <c r="B4974" s="89">
        <v>0</v>
      </c>
      <c r="C4974" s="90" t="str">
        <v/>
      </c>
      <c r="D4974" s="89" t="str">
        <v/>
      </c>
      <c r="E4974" s="89" t="str">
        <v/>
      </c>
      <c r="F4974" s="89" t="str">
        <v/>
      </c>
      <c r="G4974" s="89" t="str">
        <f ca="1"/>
        <v/>
      </c>
    </row>
    <row r="4975" spans="1:7" x14ac:dyDescent="0.3">
      <c r="A4975" s="89" t="str">
        <v/>
      </c>
      <c r="B4975" s="89">
        <v>0</v>
      </c>
      <c r="C4975" s="90" t="str">
        <v/>
      </c>
      <c r="D4975" s="89" t="str">
        <v/>
      </c>
      <c r="E4975" s="89" t="str">
        <v/>
      </c>
      <c r="F4975" s="89" t="str">
        <v/>
      </c>
      <c r="G4975" s="89" t="str">
        <f ca="1"/>
        <v/>
      </c>
    </row>
    <row r="4976" spans="1:7" x14ac:dyDescent="0.3">
      <c r="A4976" s="89" t="str">
        <v/>
      </c>
      <c r="B4976" s="89">
        <v>0</v>
      </c>
      <c r="C4976" s="90" t="str">
        <v/>
      </c>
      <c r="D4976" s="89" t="str">
        <v/>
      </c>
      <c r="E4976" s="89" t="str">
        <v/>
      </c>
      <c r="F4976" s="89" t="str">
        <v/>
      </c>
      <c r="G4976" s="89" t="str">
        <f ca="1"/>
        <v/>
      </c>
    </row>
    <row r="4977" spans="1:7" x14ac:dyDescent="0.3">
      <c r="A4977" s="89" t="str">
        <v/>
      </c>
      <c r="B4977" s="89">
        <v>0</v>
      </c>
      <c r="C4977" s="90" t="str">
        <v/>
      </c>
      <c r="D4977" s="89" t="str">
        <v/>
      </c>
      <c r="E4977" s="89" t="str">
        <v/>
      </c>
      <c r="F4977" s="89" t="str">
        <v/>
      </c>
      <c r="G4977" s="89" t="str">
        <f ca="1"/>
        <v/>
      </c>
    </row>
    <row r="4978" spans="1:7" x14ac:dyDescent="0.3">
      <c r="A4978" s="89" t="str">
        <v/>
      </c>
      <c r="B4978" s="89">
        <v>0</v>
      </c>
      <c r="C4978" s="90" t="str">
        <v/>
      </c>
      <c r="D4978" s="89" t="str">
        <v/>
      </c>
      <c r="E4978" s="89" t="str">
        <v/>
      </c>
      <c r="F4978" s="89" t="str">
        <v/>
      </c>
      <c r="G4978" s="89" t="str">
        <f ca="1"/>
        <v/>
      </c>
    </row>
    <row r="4979" spans="1:7" x14ac:dyDescent="0.3">
      <c r="A4979" s="89" t="str">
        <v/>
      </c>
      <c r="B4979" s="89">
        <v>0</v>
      </c>
      <c r="C4979" s="90" t="str">
        <v/>
      </c>
      <c r="D4979" s="89" t="str">
        <v/>
      </c>
      <c r="E4979" s="89" t="str">
        <v/>
      </c>
      <c r="F4979" s="89" t="str">
        <v/>
      </c>
      <c r="G4979" s="89" t="str">
        <f ca="1"/>
        <v/>
      </c>
    </row>
    <row r="4980" spans="1:7" x14ac:dyDescent="0.3">
      <c r="A4980" s="89" t="str">
        <v/>
      </c>
      <c r="B4980" s="89">
        <v>0</v>
      </c>
      <c r="C4980" s="90" t="str">
        <v/>
      </c>
      <c r="D4980" s="89" t="str">
        <v/>
      </c>
      <c r="E4980" s="89" t="str">
        <v/>
      </c>
      <c r="F4980" s="89" t="str">
        <v/>
      </c>
      <c r="G4980" s="89" t="str">
        <f ca="1"/>
        <v/>
      </c>
    </row>
    <row r="4981" spans="1:7" x14ac:dyDescent="0.3">
      <c r="A4981" s="89" t="str">
        <v/>
      </c>
      <c r="B4981" s="89">
        <v>0</v>
      </c>
      <c r="C4981" s="90" t="str">
        <v/>
      </c>
      <c r="D4981" s="89" t="str">
        <v/>
      </c>
      <c r="E4981" s="89" t="str">
        <v/>
      </c>
      <c r="F4981" s="89" t="str">
        <v/>
      </c>
      <c r="G4981" s="89" t="str">
        <f ca="1"/>
        <v/>
      </c>
    </row>
    <row r="4982" spans="1:7" x14ac:dyDescent="0.3">
      <c r="A4982" s="89" t="str">
        <v/>
      </c>
      <c r="B4982" s="89" t="str">
        <v>Programa de Aire</v>
      </c>
      <c r="C4982" s="90" t="str">
        <v/>
      </c>
      <c r="D4982" s="89" t="str">
        <v>Evento</v>
      </c>
      <c r="E4982" s="89">
        <v>0</v>
      </c>
      <c r="F4982" s="89" t="str">
        <v/>
      </c>
      <c r="G4982" s="89" t="str">
        <f ca="1"/>
        <v/>
      </c>
    </row>
    <row r="4983" spans="1:7" x14ac:dyDescent="0.3">
      <c r="A4983" s="89" t="str">
        <v/>
      </c>
      <c r="B4983" s="89" t="str">
        <v>Conciencia Ambiental</v>
      </c>
      <c r="C4983" s="90" t="str">
        <v/>
      </c>
      <c r="D4983" s="89" t="str">
        <v>Periódica</v>
      </c>
      <c r="E4983" s="89">
        <v>365</v>
      </c>
      <c r="F4983" s="89" t="str">
        <v/>
      </c>
      <c r="G4983" s="89" t="str">
        <f ca="1"/>
        <v/>
      </c>
    </row>
    <row r="4984" spans="1:7" x14ac:dyDescent="0.3">
      <c r="A4984" s="89" t="str">
        <v/>
      </c>
      <c r="B4984" s="89" t="str">
        <v xml:space="preserve">Control de Documentos e Informacion de HSE </v>
      </c>
      <c r="C4984" s="90" t="str">
        <v/>
      </c>
      <c r="D4984" s="89" t="str">
        <v>Evento</v>
      </c>
      <c r="E4984" s="89">
        <v>0</v>
      </c>
      <c r="F4984" s="89" t="str">
        <v/>
      </c>
      <c r="G4984" s="89" t="str">
        <f ca="1"/>
        <v/>
      </c>
    </row>
    <row r="4985" spans="1:7" x14ac:dyDescent="0.3">
      <c r="A4985" s="89" t="str">
        <v/>
      </c>
      <c r="B4985" s="89" t="str">
        <v xml:space="preserve"> Acciones Correctivas y Preventivas (CAPA)</v>
      </c>
      <c r="C4985" s="90" t="str">
        <v/>
      </c>
      <c r="D4985" s="89" t="str">
        <v>Evento</v>
      </c>
      <c r="E4985" s="89">
        <v>0</v>
      </c>
      <c r="F4985" s="89" t="str">
        <v/>
      </c>
      <c r="G4985" s="89" t="str">
        <f ca="1"/>
        <v/>
      </c>
    </row>
    <row r="4986" spans="1:7" x14ac:dyDescent="0.3">
      <c r="A4986" s="89" t="str">
        <v/>
      </c>
      <c r="B4986" s="89" t="str">
        <v>Seguridad Basada en el Comportamiento (Observation Program) // HSMS.043 / Autoridad de Detener el Trabajo</v>
      </c>
      <c r="C4986" s="90" t="str">
        <v/>
      </c>
      <c r="D4986" s="89" t="str">
        <v>Periódica</v>
      </c>
      <c r="E4986" s="89">
        <v>365</v>
      </c>
      <c r="F4986" s="89" t="str">
        <v/>
      </c>
      <c r="G4986" s="89" t="str">
        <f ca="1"/>
        <v/>
      </c>
    </row>
    <row r="4987" spans="1:7" x14ac:dyDescent="0.3">
      <c r="A4987" s="89" t="str">
        <v/>
      </c>
      <c r="B4987" s="89" t="str">
        <v>Identificacion de Peligros y Evaluacion de Riesgos</v>
      </c>
      <c r="C4987" s="90" t="str">
        <v/>
      </c>
      <c r="D4987" s="89" t="str">
        <v>Evento</v>
      </c>
      <c r="E4987" s="89">
        <v>0</v>
      </c>
      <c r="F4987" s="89" t="str">
        <v/>
      </c>
      <c r="G4987" s="89" t="str">
        <f ca="1"/>
        <v/>
      </c>
    </row>
    <row r="4988" spans="1:7" x14ac:dyDescent="0.3">
      <c r="A4988" s="89" t="str">
        <v/>
      </c>
      <c r="B4988" s="89" t="str">
        <v xml:space="preserve"> Plan de Respuesta ante Eemergencias / HSMS.010 /Primeros Axulios &amp; RCP/DEA / HSMSWT-002 / Patogenos Trasnmitidos por la Sangre</v>
      </c>
      <c r="C4988" s="90" t="str">
        <v/>
      </c>
      <c r="D4988" s="89" t="str">
        <v>Periódica</v>
      </c>
      <c r="E4988" s="89">
        <v>365</v>
      </c>
      <c r="F4988" s="89" t="str">
        <v/>
      </c>
      <c r="G4988" s="89" t="str">
        <f ca="1"/>
        <v/>
      </c>
    </row>
    <row r="4989" spans="1:7" x14ac:dyDescent="0.3">
      <c r="A4989" s="89" t="str">
        <v/>
      </c>
      <c r="B4989" s="89" t="str">
        <v>Reporte y Gestion de Incidentes HSE (Todos)</v>
      </c>
      <c r="C4989" s="90" t="str">
        <v/>
      </c>
      <c r="D4989" s="89" t="str">
        <v>Periódica</v>
      </c>
      <c r="E4989" s="89">
        <v>365</v>
      </c>
      <c r="F4989" s="89" t="str">
        <v/>
      </c>
      <c r="G4989" s="89" t="str">
        <f ca="1"/>
        <v/>
      </c>
    </row>
    <row r="4990" spans="1:7" x14ac:dyDescent="0.3">
      <c r="A4990" s="89" t="str">
        <v/>
      </c>
      <c r="B4990" s="89" t="str">
        <v>Reporte, Gestion e Investigacion de Incidentes HSE (supervisores / investigadores (rol))</v>
      </c>
      <c r="C4990" s="90" t="str">
        <v/>
      </c>
      <c r="D4990" s="89" t="str">
        <v>Periódica</v>
      </c>
      <c r="E4990" s="89">
        <v>1095</v>
      </c>
      <c r="F4990" s="89" t="str">
        <v/>
      </c>
      <c r="G4990" s="89" t="str">
        <f ca="1"/>
        <v/>
      </c>
    </row>
    <row r="4991" spans="1:7" x14ac:dyDescent="0.3">
      <c r="A4991" s="89" t="str">
        <v/>
      </c>
      <c r="B4991" s="89" t="str">
        <v>Gruas y Equipos de Izaje (Todos)</v>
      </c>
      <c r="C4991" s="90" t="str">
        <v/>
      </c>
      <c r="D4991" s="89" t="str">
        <v>Periódica</v>
      </c>
      <c r="E4991" s="89">
        <v>365</v>
      </c>
      <c r="F4991" s="89" t="str">
        <v/>
      </c>
      <c r="G4991" s="89" t="str">
        <f ca="1"/>
        <v/>
      </c>
    </row>
    <row r="4992" spans="1:7" x14ac:dyDescent="0.3">
      <c r="A4992" s="89" t="str">
        <v/>
      </c>
      <c r="B4992" s="89" t="str">
        <v>HSMS.007 / Gruas y Equipos de Izaje (Operadores)</v>
      </c>
      <c r="C4992" s="90" t="str">
        <v/>
      </c>
      <c r="D4992" s="89" t="str">
        <v>Periódica</v>
      </c>
      <c r="E4992" s="89">
        <v>365</v>
      </c>
      <c r="F4992" s="89" t="str">
        <v/>
      </c>
      <c r="G4992" s="89" t="str">
        <f ca="1"/>
        <v/>
      </c>
    </row>
    <row r="4993" spans="1:7" x14ac:dyDescent="0.3">
      <c r="A4993" s="89" t="str">
        <v/>
      </c>
      <c r="B4993" s="89" t="str">
        <v>Proteccion Contra Incendios (Todos)</v>
      </c>
      <c r="C4993" s="90" t="str">
        <v/>
      </c>
      <c r="D4993" s="89" t="str">
        <v>Periódica</v>
      </c>
      <c r="E4993" s="89">
        <v>365</v>
      </c>
      <c r="F4993" s="89" t="str">
        <v/>
      </c>
      <c r="G4993" s="89" t="str">
        <f ca="1"/>
        <v/>
      </c>
    </row>
    <row r="4994" spans="1:7" x14ac:dyDescent="0.3">
      <c r="A4994" s="89" t="str">
        <v/>
      </c>
      <c r="B4994" s="89" t="str">
        <v>Proteccion Contra Incendios (Brigadistas)</v>
      </c>
      <c r="C4994" s="90" t="str">
        <v/>
      </c>
      <c r="D4994" s="89" t="str">
        <v>Periódica</v>
      </c>
      <c r="E4994" s="89">
        <v>365</v>
      </c>
      <c r="F4994" s="89" t="str">
        <v/>
      </c>
      <c r="G4994" s="89" t="str">
        <f ca="1"/>
        <v/>
      </c>
    </row>
    <row r="4995" spans="1:7" x14ac:dyDescent="0.3">
      <c r="A4995" s="89" t="str">
        <v/>
      </c>
      <c r="B4995" s="89" t="str">
        <v>Primeros Auxilios (Brigadistas)</v>
      </c>
      <c r="C4995" s="90" t="str">
        <v/>
      </c>
      <c r="D4995" s="89" t="str">
        <v>Periódica</v>
      </c>
      <c r="E4995" s="89">
        <v>365</v>
      </c>
      <c r="F4995" s="89" t="str">
        <v/>
      </c>
      <c r="G4995" s="89" t="str">
        <f ca="1"/>
        <v/>
      </c>
    </row>
    <row r="4996" spans="1:7" x14ac:dyDescent="0.3">
      <c r="A4996" s="89" t="str">
        <v/>
      </c>
      <c r="B4996" s="89" t="str">
        <v>Seguridad Electrica (Todos)</v>
      </c>
      <c r="C4996" s="90" t="str">
        <v/>
      </c>
      <c r="D4996" s="89" t="str">
        <v>Periódica</v>
      </c>
      <c r="E4996" s="89">
        <v>365</v>
      </c>
      <c r="F4996" s="89" t="str">
        <v/>
      </c>
      <c r="G4996" s="89" t="str">
        <f ca="1"/>
        <v/>
      </c>
    </row>
    <row r="4997" spans="1:7" x14ac:dyDescent="0.3">
      <c r="A4997" s="89" t="str">
        <v/>
      </c>
      <c r="B4997" s="89" t="str">
        <v>Seguridad Electrica (Personal Autorizado)</v>
      </c>
      <c r="C4997" s="90" t="str">
        <v/>
      </c>
      <c r="D4997" s="89" t="str">
        <v>Periódica</v>
      </c>
      <c r="E4997" s="89">
        <v>1095</v>
      </c>
      <c r="F4997" s="89" t="str">
        <v/>
      </c>
      <c r="G4997" s="89" t="str">
        <f ca="1"/>
        <v/>
      </c>
    </row>
    <row r="4998" spans="1:7" x14ac:dyDescent="0.3">
      <c r="A4998" s="89" t="str">
        <v/>
      </c>
      <c r="B4998" s="89" t="str">
        <v>Camiones Industriales Motorizados (PIT) (Todos)</v>
      </c>
      <c r="C4998" s="90" t="str">
        <v/>
      </c>
      <c r="D4998" s="89" t="str">
        <v>Periódica</v>
      </c>
      <c r="E4998" s="89">
        <v>365</v>
      </c>
      <c r="F4998" s="89" t="str">
        <v/>
      </c>
      <c r="G4998" s="89" t="str">
        <f ca="1"/>
        <v/>
      </c>
    </row>
    <row r="4999" spans="1:7" x14ac:dyDescent="0.3">
      <c r="A4999" s="89" t="str">
        <v/>
      </c>
      <c r="B4999" s="89" t="str">
        <v>Camiones Industriales Motorizados (PIT) (Op. Montacargas)</v>
      </c>
      <c r="C4999" s="90" t="str">
        <v/>
      </c>
      <c r="D4999" s="89" t="str">
        <v>Periódica</v>
      </c>
      <c r="E4999" s="89">
        <v>365</v>
      </c>
      <c r="F4999" s="89" t="str">
        <v/>
      </c>
      <c r="G4999" s="89" t="str">
        <f ca="1"/>
        <v/>
      </c>
    </row>
    <row r="5000" spans="1:7" x14ac:dyDescent="0.3">
      <c r="A5000" s="89" t="str">
        <v/>
      </c>
      <c r="B5000" s="89" t="str">
        <v>Control de Energias Peligrosas (LOTO) (Todos)</v>
      </c>
      <c r="C5000" s="90" t="str">
        <v/>
      </c>
      <c r="D5000" s="89" t="str">
        <v>Evento</v>
      </c>
      <c r="E5000" s="89">
        <v>0</v>
      </c>
      <c r="F5000" s="89" t="str">
        <v/>
      </c>
      <c r="G5000" s="89" t="str">
        <f ca="1"/>
        <v/>
      </c>
    </row>
    <row r="5001" spans="1:7" x14ac:dyDescent="0.3">
      <c r="A5001" s="89" t="str">
        <v/>
      </c>
      <c r="B5001" s="89" t="str">
        <v>Control de Energias Peligrosas (LOTO) (Empleados Autorizados)</v>
      </c>
      <c r="C5001" s="90" t="str">
        <v/>
      </c>
      <c r="D5001" s="89" t="str">
        <v>Periódica</v>
      </c>
      <c r="E5001" s="89">
        <v>365</v>
      </c>
      <c r="F5001" s="89" t="str">
        <v/>
      </c>
      <c r="G5001" s="89" t="str">
        <f ca="1"/>
        <v/>
      </c>
    </row>
    <row r="5002" spans="1:7" x14ac:dyDescent="0.3">
      <c r="A5002" s="89" t="str">
        <v/>
      </c>
      <c r="B5002" s="89" t="str">
        <v>Seguridad aplicada al Pozo &amp; Yacimiento</v>
      </c>
      <c r="C5002" s="90" t="str">
        <v/>
      </c>
      <c r="D5002" s="89" t="str">
        <v>Periódica</v>
      </c>
      <c r="E5002" s="89">
        <v>365</v>
      </c>
      <c r="F5002" s="89" t="str">
        <v/>
      </c>
      <c r="G5002" s="89" t="str">
        <f ca="1"/>
        <v/>
      </c>
    </row>
    <row r="5003" spans="1:7" x14ac:dyDescent="0.3">
      <c r="A5003" s="89" t="str">
        <v/>
      </c>
      <c r="B5003" s="89" t="str">
        <v>Las Reglas que Salvan Vidas</v>
      </c>
      <c r="C5003" s="90" t="str">
        <v/>
      </c>
      <c r="D5003" s="89" t="str">
        <v>Periódica</v>
      </c>
      <c r="E5003" s="89">
        <v>365</v>
      </c>
      <c r="F5003" s="89" t="str">
        <v/>
      </c>
      <c r="G5003" s="89" t="str">
        <f ca="1"/>
        <v/>
      </c>
    </row>
    <row r="5004" spans="1:7" x14ac:dyDescent="0.3">
      <c r="A5004" s="89" t="str">
        <v/>
      </c>
      <c r="B5004" s="89" t="str">
        <v xml:space="preserve">Resguardo de Maquinas &amp; Equipos </v>
      </c>
      <c r="C5004" s="90" t="str">
        <v/>
      </c>
      <c r="D5004" s="89" t="str">
        <v>Periódica</v>
      </c>
      <c r="E5004" s="89">
        <v>365</v>
      </c>
      <c r="F5004" s="89" t="str">
        <v/>
      </c>
      <c r="G5004" s="89" t="str">
        <f ca="1"/>
        <v/>
      </c>
    </row>
    <row r="5005" spans="1:7" x14ac:dyDescent="0.3">
      <c r="A5005" s="89" t="str">
        <v/>
      </c>
      <c r="B5005" s="89" t="str">
        <v>Conduccion y Gestion de Viajes (Todos)</v>
      </c>
      <c r="C5005" s="90" t="str">
        <v/>
      </c>
      <c r="D5005" s="89" t="str">
        <v>Periódica</v>
      </c>
      <c r="E5005" s="89">
        <v>730</v>
      </c>
      <c r="F5005" s="89" t="str">
        <v/>
      </c>
      <c r="G5005" s="89" t="str">
        <f ca="1"/>
        <v/>
      </c>
    </row>
    <row r="5006" spans="1:7" x14ac:dyDescent="0.3">
      <c r="A5006" s="89" t="str">
        <v/>
      </c>
      <c r="B5006" s="89" t="str">
        <v>Conduccion y Gestion de Viajes (Conductores)</v>
      </c>
      <c r="C5006" s="90" t="str">
        <v/>
      </c>
      <c r="D5006" s="89" t="str">
        <v>Periódica</v>
      </c>
      <c r="E5006" s="89">
        <v>1095</v>
      </c>
      <c r="F5006" s="89" t="str">
        <v/>
      </c>
      <c r="G5006" s="89" t="str">
        <f ca="1"/>
        <v/>
      </c>
    </row>
    <row r="5007" spans="1:7" x14ac:dyDescent="0.3">
      <c r="A5007" s="89" t="str">
        <v/>
      </c>
      <c r="B5007" s="89" t="str">
        <v>Patogenos Transmitidos por la Sangre</v>
      </c>
      <c r="C5007" s="90" t="str">
        <v/>
      </c>
      <c r="D5007" s="89" t="str">
        <v>Periódica</v>
      </c>
      <c r="E5007" s="89">
        <v>365</v>
      </c>
      <c r="F5007" s="89" t="str">
        <v/>
      </c>
      <c r="G5007" s="89" t="str">
        <f ca="1"/>
        <v/>
      </c>
    </row>
    <row r="5008" spans="1:7" x14ac:dyDescent="0.3">
      <c r="A5008" s="89" t="str">
        <v/>
      </c>
      <c r="B5008" s="89" t="str">
        <v>Conservacion Auditiva</v>
      </c>
      <c r="C5008" s="90" t="str">
        <v/>
      </c>
      <c r="D5008" s="89" t="str">
        <v>Periódica</v>
      </c>
      <c r="E5008" s="89">
        <v>365</v>
      </c>
      <c r="F5008" s="89" t="str">
        <v/>
      </c>
      <c r="G5008" s="89" t="str">
        <f ca="1"/>
        <v/>
      </c>
    </row>
    <row r="5009" spans="1:7" x14ac:dyDescent="0.3">
      <c r="A5009" s="89" t="str">
        <v/>
      </c>
      <c r="B5009" s="89" t="str">
        <v xml:space="preserve">Ergonomia //  / Levantamiento &amp; Seguridad en la Espalda </v>
      </c>
      <c r="C5009" s="90" t="str">
        <v/>
      </c>
      <c r="D5009" s="89" t="str">
        <v>Periódica</v>
      </c>
      <c r="E5009" s="89">
        <v>365</v>
      </c>
      <c r="F5009" s="89" t="str">
        <v/>
      </c>
      <c r="G5009" s="89" t="str">
        <f ca="1"/>
        <v/>
      </c>
    </row>
    <row r="5010" spans="1:7" x14ac:dyDescent="0.3">
      <c r="A5010" s="89" t="str">
        <v/>
      </c>
      <c r="B5010" s="89" t="str">
        <v>Superficies Elevadas (Todos)</v>
      </c>
      <c r="C5010" s="90" t="str">
        <v/>
      </c>
      <c r="D5010" s="89" t="str">
        <v>Periódica</v>
      </c>
      <c r="E5010" s="89">
        <v>365</v>
      </c>
      <c r="F5010" s="89" t="str">
        <v/>
      </c>
      <c r="G5010" s="89" t="str">
        <f ca="1"/>
        <v/>
      </c>
    </row>
    <row r="5011" spans="1:7" x14ac:dyDescent="0.3">
      <c r="A5011" s="89" t="str">
        <v/>
      </c>
      <c r="B5011" s="89" t="str">
        <v>Superficies Elevadas (Personal Habilitado)</v>
      </c>
      <c r="C5011" s="90" t="str">
        <v/>
      </c>
      <c r="D5011" s="89" t="str">
        <v>Periódica</v>
      </c>
      <c r="E5011" s="89">
        <v>365</v>
      </c>
      <c r="F5011" s="89" t="str">
        <v/>
      </c>
      <c r="G5011" s="89" t="str">
        <f ca="1"/>
        <v/>
      </c>
    </row>
    <row r="5012" spans="1:7" x14ac:dyDescent="0.3">
      <c r="A5012" s="89" t="str">
        <v/>
      </c>
      <c r="B5012" s="89" t="str">
        <v>Seguridad Quimica (Todos)</v>
      </c>
      <c r="C5012" s="90" t="str">
        <v/>
      </c>
      <c r="D5012" s="89" t="str">
        <v>Periódica</v>
      </c>
      <c r="E5012" s="89">
        <v>730</v>
      </c>
      <c r="F5012" s="89" t="str">
        <v/>
      </c>
      <c r="G5012" s="89" t="str">
        <f ca="1"/>
        <v/>
      </c>
    </row>
    <row r="5013" spans="1:7" x14ac:dyDescent="0.3">
      <c r="A5013" s="89" t="str">
        <v/>
      </c>
      <c r="B5013" s="89" t="str">
        <v>Seguridad Quimica (Mantenimiento)</v>
      </c>
      <c r="C5013" s="90" t="str">
        <v/>
      </c>
      <c r="D5013" s="89" t="str">
        <v>Periódica</v>
      </c>
      <c r="E5013" s="89">
        <v>365</v>
      </c>
      <c r="F5013" s="89" t="str">
        <v/>
      </c>
      <c r="G5013" s="89" t="str">
        <f ca="1"/>
        <v/>
      </c>
    </row>
    <row r="5014" spans="1:7" x14ac:dyDescent="0.3">
      <c r="A5014" s="89" t="str">
        <v/>
      </c>
      <c r="B5014" s="89" t="str">
        <v>Seguridad Quimica (Contratistas)</v>
      </c>
      <c r="C5014" s="90" t="str">
        <v/>
      </c>
      <c r="D5014" s="89" t="str">
        <v>Periódica</v>
      </c>
      <c r="E5014" s="89">
        <v>365</v>
      </c>
      <c r="F5014" s="89" t="str">
        <v/>
      </c>
      <c r="G5014" s="89" t="str">
        <f ca="1"/>
        <v/>
      </c>
    </row>
    <row r="5015" spans="1:7" x14ac:dyDescent="0.3">
      <c r="A5015" s="89" t="str">
        <v/>
      </c>
      <c r="B5015" s="89" t="str">
        <v>Seguridad para Trabajos en Caliente</v>
      </c>
      <c r="C5015" s="90" t="str">
        <v/>
      </c>
      <c r="D5015" s="89" t="str">
        <v>Periódica</v>
      </c>
      <c r="E5015" s="89">
        <v>365</v>
      </c>
      <c r="F5015" s="89" t="str">
        <v/>
      </c>
      <c r="G5015" s="89" t="str">
        <f ca="1"/>
        <v/>
      </c>
    </row>
    <row r="5016" spans="1:7" x14ac:dyDescent="0.3">
      <c r="A5016" s="89" t="str">
        <v/>
      </c>
      <c r="B5016" s="89" t="str">
        <v>Seguridad con la Radiacion</v>
      </c>
      <c r="C5016" s="90" t="str">
        <v/>
      </c>
      <c r="D5016" s="89" t="str">
        <v>Periódica</v>
      </c>
      <c r="E5016" s="89">
        <v>365</v>
      </c>
      <c r="F5016" s="89" t="str">
        <v/>
      </c>
      <c r="G5016" s="89" t="str">
        <f ca="1"/>
        <v/>
      </c>
    </row>
    <row r="5017" spans="1:7" x14ac:dyDescent="0.3">
      <c r="A5017" s="89" t="str">
        <v/>
      </c>
      <c r="B5017" s="89" t="str">
        <v>Equipo de Proteccion Personal (PPE)</v>
      </c>
      <c r="C5017" s="90" t="str">
        <v/>
      </c>
      <c r="D5017" s="89" t="str">
        <v>Periódica</v>
      </c>
      <c r="E5017" s="89">
        <v>365</v>
      </c>
      <c r="F5017" s="89" t="str">
        <v/>
      </c>
      <c r="G5017" s="89" t="str">
        <f ca="1"/>
        <v/>
      </c>
    </row>
    <row r="5018" spans="1:7" x14ac:dyDescent="0.3">
      <c r="A5018" s="89" t="str">
        <v/>
      </c>
      <c r="B5018" s="89" t="str">
        <v>Proteccion Respiratoria</v>
      </c>
      <c r="C5018" s="90" t="str">
        <v/>
      </c>
      <c r="D5018" s="89" t="str">
        <v>Periódica</v>
      </c>
      <c r="E5018" s="89">
        <v>365</v>
      </c>
      <c r="F5018" s="89" t="str">
        <v/>
      </c>
      <c r="G5018" s="89" t="str">
        <f ca="1"/>
        <v/>
      </c>
    </row>
    <row r="5019" spans="1:7" x14ac:dyDescent="0.3">
      <c r="A5019" s="89" t="str">
        <v/>
      </c>
      <c r="B5019" s="89" t="str">
        <v xml:space="preserve">Seguridad con Escaleras </v>
      </c>
      <c r="C5019" s="90" t="str">
        <v/>
      </c>
      <c r="D5019" s="89" t="str">
        <v>Periódica</v>
      </c>
      <c r="E5019" s="89">
        <v>365</v>
      </c>
      <c r="F5019" s="89" t="str">
        <v/>
      </c>
      <c r="G5019" s="89" t="str">
        <f ca="1"/>
        <v/>
      </c>
    </row>
    <row r="5020" spans="1:7" x14ac:dyDescent="0.3">
      <c r="A5020" s="89" t="str">
        <v/>
      </c>
      <c r="B5020" s="89" t="str">
        <v>Seguridad con Escaleras // Estantes de Almacenamiento</v>
      </c>
      <c r="C5020" s="90" t="str">
        <v/>
      </c>
      <c r="D5020" s="89" t="str">
        <v>Periódica</v>
      </c>
      <c r="E5020" s="89">
        <v>365</v>
      </c>
      <c r="F5020" s="89" t="str">
        <v/>
      </c>
      <c r="G5020" s="89" t="str">
        <f ca="1"/>
        <v/>
      </c>
    </row>
    <row r="5021" spans="1:7" x14ac:dyDescent="0.3">
      <c r="A5021" s="89" t="str">
        <v/>
      </c>
      <c r="B5021" s="89" t="str">
        <v>Responsabilidades del Supervisor</v>
      </c>
      <c r="C5021" s="90" t="str">
        <v/>
      </c>
      <c r="D5021" s="89" t="str">
        <v>Periódica</v>
      </c>
      <c r="E5021" s="89">
        <v>365</v>
      </c>
      <c r="F5021" s="89" t="str">
        <v/>
      </c>
      <c r="G5021" s="89" t="str">
        <f ca="1"/>
        <v/>
      </c>
    </row>
    <row r="5022" spans="1:7" x14ac:dyDescent="0.3">
      <c r="A5022" s="89" t="str">
        <v/>
      </c>
      <c r="B5022" s="89" t="str">
        <v>Espacios Confinados (Todos)</v>
      </c>
      <c r="C5022" s="90" t="str">
        <v/>
      </c>
      <c r="D5022" s="89" t="str">
        <v>Periódica</v>
      </c>
      <c r="E5022" s="89">
        <v>365</v>
      </c>
      <c r="F5022" s="89" t="str">
        <v/>
      </c>
      <c r="G5022" s="89" t="str">
        <f ca="1"/>
        <v/>
      </c>
    </row>
    <row r="5023" spans="1:7" x14ac:dyDescent="0.3">
      <c r="A5023" s="89" t="str">
        <v/>
      </c>
      <c r="B5023" s="89" t="str">
        <v>HSMS.017 / Espacios Confinados (Entrantes)</v>
      </c>
      <c r="C5023" s="90" t="str">
        <v/>
      </c>
      <c r="D5023" s="89" t="str">
        <v>Evento</v>
      </c>
      <c r="E5023" s="89">
        <v>0</v>
      </c>
      <c r="F5023" s="89" t="str">
        <v/>
      </c>
      <c r="G5023" s="89" t="str">
        <f ca="1"/>
        <v/>
      </c>
    </row>
    <row r="5024" spans="1:7" x14ac:dyDescent="0.3">
      <c r="A5024" s="89" t="str">
        <v/>
      </c>
      <c r="B5024" s="89" t="str">
        <v>Programa de Agua (Todos)</v>
      </c>
      <c r="C5024" s="90" t="str">
        <v/>
      </c>
      <c r="D5024" s="89" t="str">
        <v>Evento</v>
      </c>
      <c r="E5024" s="89">
        <v>0</v>
      </c>
      <c r="F5024" s="89" t="str">
        <v/>
      </c>
      <c r="G5024" s="89" t="str">
        <f ca="1"/>
        <v/>
      </c>
    </row>
    <row r="5025" spans="1:7" x14ac:dyDescent="0.3">
      <c r="A5025" s="89" t="str">
        <v/>
      </c>
      <c r="B5025" s="89" t="str">
        <v>Programa de Agua (HSE)</v>
      </c>
      <c r="C5025" s="90" t="str">
        <v/>
      </c>
      <c r="D5025" s="89" t="str">
        <v>Evento</v>
      </c>
      <c r="E5025" s="89">
        <v>0</v>
      </c>
      <c r="F5025" s="89" t="str">
        <v/>
      </c>
      <c r="G5025" s="89" t="str">
        <f ca="1"/>
        <v/>
      </c>
    </row>
    <row r="5026" spans="1:7" x14ac:dyDescent="0.3">
      <c r="A5026" s="89" t="str">
        <v/>
      </c>
      <c r="B5026" s="89" t="str">
        <v>HIV/SIDA y otras enfermedades de transmisión sexual (ETS)</v>
      </c>
      <c r="C5026" s="90" t="str">
        <v/>
      </c>
      <c r="D5026" s="89" t="str">
        <v>Periódica</v>
      </c>
      <c r="E5026" s="89">
        <v>365</v>
      </c>
      <c r="F5026" s="89" t="str">
        <v/>
      </c>
      <c r="G5026" s="89" t="str">
        <f ca="1"/>
        <v/>
      </c>
    </row>
    <row r="5027" spans="1:7" x14ac:dyDescent="0.3">
      <c r="A5027" s="89" t="str">
        <v/>
      </c>
      <c r="B5027" s="89" t="str">
        <v>Drogas de abuso (concientización y prevención)</v>
      </c>
      <c r="C5027" s="90" t="str">
        <v/>
      </c>
      <c r="D5027" s="89" t="str">
        <v>Periódica</v>
      </c>
      <c r="E5027" s="89">
        <v>365</v>
      </c>
      <c r="F5027" s="89" t="str">
        <v/>
      </c>
      <c r="G5027" s="89" t="str">
        <f ca="1"/>
        <v/>
      </c>
    </row>
    <row r="5028" spans="1:7" x14ac:dyDescent="0.3">
      <c r="A5028" s="89" t="str">
        <v/>
      </c>
      <c r="B5028" s="89" t="str">
        <v>Vida saludable (hábitos, autocuidado y bienestar)</v>
      </c>
      <c r="C5028" s="90" t="str">
        <v/>
      </c>
      <c r="D5028" s="89" t="str">
        <v>Periódica</v>
      </c>
      <c r="E5028" s="89">
        <v>365</v>
      </c>
      <c r="F5028" s="89" t="str">
        <v/>
      </c>
      <c r="G5028" s="89" t="str">
        <f ca="1"/>
        <v/>
      </c>
    </row>
    <row r="5029" spans="1:7" x14ac:dyDescent="0.3">
      <c r="A5029" s="89" t="str">
        <v/>
      </c>
      <c r="B5029" s="89" t="str">
        <v>Primeros auxilios y Reanimación Cardio Pulmonar (RCP)</v>
      </c>
      <c r="C5029" s="90" t="str">
        <v/>
      </c>
      <c r="D5029" s="89" t="str">
        <v>Periódica</v>
      </c>
      <c r="E5029" s="89">
        <v>365</v>
      </c>
      <c r="F5029" s="89" t="str">
        <v/>
      </c>
      <c r="G5029" s="89" t="str">
        <f ca="1"/>
        <v/>
      </c>
    </row>
    <row r="5030" spans="1:7" x14ac:dyDescent="0.3">
      <c r="A5030" s="89" t="str">
        <v/>
      </c>
      <c r="B5030" s="89" t="str">
        <v>Prevención cardiovascular (factores de riesgo y señales de alarma)</v>
      </c>
      <c r="C5030" s="90" t="str">
        <v/>
      </c>
      <c r="D5030" s="89" t="str">
        <v>Periódica</v>
      </c>
      <c r="E5030" s="89">
        <v>365</v>
      </c>
      <c r="F5030" s="89" t="str">
        <v/>
      </c>
      <c r="G5030" s="89" t="str">
        <f ca="1"/>
        <v/>
      </c>
    </row>
    <row r="5031" spans="1:7" x14ac:dyDescent="0.3">
      <c r="A5031" s="89" t="str">
        <v/>
      </c>
      <c r="B5031" s="89" t="str">
        <v>Efectos del tabaco sobre la salud</v>
      </c>
      <c r="C5031" s="90" t="str">
        <v/>
      </c>
      <c r="D5031" s="89" t="str">
        <v>Periódica</v>
      </c>
      <c r="E5031" s="89">
        <v>365</v>
      </c>
      <c r="F5031" s="89" t="str">
        <v/>
      </c>
      <c r="G5031" s="89" t="str">
        <f ca="1"/>
        <v/>
      </c>
    </row>
    <row r="5032" spans="1:7" x14ac:dyDescent="0.3">
      <c r="A5032" s="89" t="str">
        <v/>
      </c>
      <c r="B5032" s="89" t="str">
        <v>Cargadora (Op. Montacargas)</v>
      </c>
      <c r="C5032" s="90" t="str">
        <v/>
      </c>
      <c r="D5032" s="89" t="str">
        <v>Periódica</v>
      </c>
      <c r="E5032" s="89">
        <v>365</v>
      </c>
      <c r="F5032" s="89" t="str">
        <v/>
      </c>
      <c r="G5032" s="89" t="str">
        <f ca="1"/>
        <v/>
      </c>
    </row>
    <row r="5033" spans="1:7" x14ac:dyDescent="0.3">
      <c r="A5033" s="89" t="str">
        <v/>
      </c>
      <c r="B5033" s="89">
        <v>0</v>
      </c>
      <c r="C5033" s="90" t="str">
        <v/>
      </c>
      <c r="D5033" s="89" t="str">
        <v/>
      </c>
      <c r="E5033" s="89" t="str">
        <v/>
      </c>
      <c r="F5033" s="89" t="str">
        <v/>
      </c>
      <c r="G5033" s="89" t="str">
        <f ca="1"/>
        <v/>
      </c>
    </row>
    <row r="5034" spans="1:7" x14ac:dyDescent="0.3">
      <c r="A5034" s="89" t="str">
        <v/>
      </c>
      <c r="B5034" s="89">
        <v>0</v>
      </c>
      <c r="C5034" s="90" t="str">
        <v/>
      </c>
      <c r="D5034" s="89" t="str">
        <v/>
      </c>
      <c r="E5034" s="89" t="str">
        <v/>
      </c>
      <c r="F5034" s="89" t="str">
        <v/>
      </c>
      <c r="G5034" s="89" t="str">
        <f ca="1"/>
        <v/>
      </c>
    </row>
    <row r="5035" spans="1:7" x14ac:dyDescent="0.3">
      <c r="A5035" s="89" t="str">
        <v/>
      </c>
      <c r="B5035" s="89">
        <v>0</v>
      </c>
      <c r="C5035" s="90" t="str">
        <v/>
      </c>
      <c r="D5035" s="89" t="str">
        <v/>
      </c>
      <c r="E5035" s="89" t="str">
        <v/>
      </c>
      <c r="F5035" s="89" t="str">
        <v/>
      </c>
      <c r="G5035" s="89" t="str">
        <f ca="1"/>
        <v/>
      </c>
    </row>
    <row r="5036" spans="1:7" x14ac:dyDescent="0.3">
      <c r="A5036" s="89" t="str">
        <v/>
      </c>
      <c r="B5036" s="89">
        <v>0</v>
      </c>
      <c r="C5036" s="90" t="str">
        <v/>
      </c>
      <c r="D5036" s="89" t="str">
        <v/>
      </c>
      <c r="E5036" s="89" t="str">
        <v/>
      </c>
      <c r="F5036" s="89" t="str">
        <v/>
      </c>
      <c r="G5036" s="89" t="str">
        <f ca="1"/>
        <v/>
      </c>
    </row>
    <row r="5037" spans="1:7" x14ac:dyDescent="0.3">
      <c r="A5037" s="89" t="str">
        <v/>
      </c>
      <c r="B5037" s="89">
        <v>0</v>
      </c>
      <c r="C5037" s="90" t="str">
        <v/>
      </c>
      <c r="D5037" s="89" t="str">
        <v/>
      </c>
      <c r="E5037" s="89" t="str">
        <v/>
      </c>
      <c r="F5037" s="89" t="str">
        <v/>
      </c>
      <c r="G5037" s="89" t="str">
        <f ca="1"/>
        <v/>
      </c>
    </row>
    <row r="5038" spans="1:7" x14ac:dyDescent="0.3">
      <c r="A5038" s="89" t="str">
        <v/>
      </c>
      <c r="B5038" s="89">
        <v>0</v>
      </c>
      <c r="C5038" s="90" t="str">
        <v/>
      </c>
      <c r="D5038" s="89" t="str">
        <v/>
      </c>
      <c r="E5038" s="89" t="str">
        <v/>
      </c>
      <c r="F5038" s="89" t="str">
        <v/>
      </c>
      <c r="G5038" s="89" t="str">
        <f ca="1"/>
        <v/>
      </c>
    </row>
    <row r="5039" spans="1:7" x14ac:dyDescent="0.3">
      <c r="A5039" s="89" t="str">
        <v/>
      </c>
      <c r="B5039" s="89">
        <v>0</v>
      </c>
      <c r="C5039" s="90" t="str">
        <v/>
      </c>
      <c r="D5039" s="89" t="str">
        <v/>
      </c>
      <c r="E5039" s="89" t="str">
        <v/>
      </c>
      <c r="F5039" s="89" t="str">
        <v/>
      </c>
      <c r="G5039" s="89" t="str">
        <f ca="1"/>
        <v/>
      </c>
    </row>
    <row r="5040" spans="1:7" x14ac:dyDescent="0.3">
      <c r="A5040" s="89" t="str">
        <v/>
      </c>
      <c r="B5040" s="89">
        <v>0</v>
      </c>
      <c r="C5040" s="90" t="str">
        <v/>
      </c>
      <c r="D5040" s="89" t="str">
        <v/>
      </c>
      <c r="E5040" s="89" t="str">
        <v/>
      </c>
      <c r="F5040" s="89" t="str">
        <v/>
      </c>
      <c r="G5040" s="89" t="str">
        <f ca="1"/>
        <v/>
      </c>
    </row>
    <row r="5041" spans="1:7" x14ac:dyDescent="0.3">
      <c r="A5041" s="89" t="str">
        <v/>
      </c>
      <c r="B5041" s="89">
        <v>0</v>
      </c>
      <c r="C5041" s="90" t="str">
        <v/>
      </c>
      <c r="D5041" s="89" t="str">
        <v/>
      </c>
      <c r="E5041" s="89" t="str">
        <v/>
      </c>
      <c r="F5041" s="89" t="str">
        <v/>
      </c>
      <c r="G5041" s="89" t="str">
        <f ca="1"/>
        <v/>
      </c>
    </row>
    <row r="5042" spans="1:7" x14ac:dyDescent="0.3">
      <c r="A5042" s="89" t="str">
        <v/>
      </c>
      <c r="B5042" s="89" t="str">
        <v>Programa de Aire</v>
      </c>
      <c r="C5042" s="90" t="str">
        <v/>
      </c>
      <c r="D5042" s="89" t="str">
        <v>Evento</v>
      </c>
      <c r="E5042" s="89">
        <v>0</v>
      </c>
      <c r="F5042" s="89" t="str">
        <v/>
      </c>
      <c r="G5042" s="89" t="str">
        <f ca="1"/>
        <v/>
      </c>
    </row>
    <row r="5043" spans="1:7" x14ac:dyDescent="0.3">
      <c r="A5043" s="89" t="str">
        <v/>
      </c>
      <c r="B5043" s="89" t="str">
        <v>Conciencia Ambiental</v>
      </c>
      <c r="C5043" s="90" t="str">
        <v/>
      </c>
      <c r="D5043" s="89" t="str">
        <v>Periódica</v>
      </c>
      <c r="E5043" s="89">
        <v>365</v>
      </c>
      <c r="F5043" s="89" t="str">
        <v/>
      </c>
      <c r="G5043" s="89" t="str">
        <f ca="1"/>
        <v/>
      </c>
    </row>
    <row r="5044" spans="1:7" x14ac:dyDescent="0.3">
      <c r="A5044" s="89" t="str">
        <v/>
      </c>
      <c r="B5044" s="89" t="str">
        <v xml:space="preserve">Control de Documentos e Informacion de HSE </v>
      </c>
      <c r="C5044" s="90" t="str">
        <v/>
      </c>
      <c r="D5044" s="89" t="str">
        <v>Evento</v>
      </c>
      <c r="E5044" s="89">
        <v>0</v>
      </c>
      <c r="F5044" s="89" t="str">
        <v/>
      </c>
      <c r="G5044" s="89" t="str">
        <f ca="1"/>
        <v/>
      </c>
    </row>
    <row r="5045" spans="1:7" x14ac:dyDescent="0.3">
      <c r="A5045" s="89" t="str">
        <v/>
      </c>
      <c r="B5045" s="89" t="str">
        <v xml:space="preserve"> Acciones Correctivas y Preventivas (CAPA)</v>
      </c>
      <c r="C5045" s="90" t="str">
        <v/>
      </c>
      <c r="D5045" s="89" t="str">
        <v>Evento</v>
      </c>
      <c r="E5045" s="89">
        <v>0</v>
      </c>
      <c r="F5045" s="89" t="str">
        <v/>
      </c>
      <c r="G5045" s="89" t="str">
        <f ca="1"/>
        <v/>
      </c>
    </row>
    <row r="5046" spans="1:7" x14ac:dyDescent="0.3">
      <c r="A5046" s="89" t="str">
        <v/>
      </c>
      <c r="B5046" s="89" t="str">
        <v>Seguridad Basada en el Comportamiento (Observation Program) // HSMS.043 / Autoridad de Detener el Trabajo</v>
      </c>
      <c r="C5046" s="90" t="str">
        <v/>
      </c>
      <c r="D5046" s="89" t="str">
        <v>Periódica</v>
      </c>
      <c r="E5046" s="89">
        <v>365</v>
      </c>
      <c r="F5046" s="89" t="str">
        <v/>
      </c>
      <c r="G5046" s="89" t="str">
        <f ca="1"/>
        <v/>
      </c>
    </row>
    <row r="5047" spans="1:7" x14ac:dyDescent="0.3">
      <c r="A5047" s="89" t="str">
        <v/>
      </c>
      <c r="B5047" s="89" t="str">
        <v>Identificacion de Peligros y Evaluacion de Riesgos</v>
      </c>
      <c r="C5047" s="90" t="str">
        <v/>
      </c>
      <c r="D5047" s="89" t="str">
        <v>Evento</v>
      </c>
      <c r="E5047" s="89">
        <v>0</v>
      </c>
      <c r="F5047" s="89" t="str">
        <v/>
      </c>
      <c r="G5047" s="89" t="str">
        <f ca="1"/>
        <v/>
      </c>
    </row>
    <row r="5048" spans="1:7" x14ac:dyDescent="0.3">
      <c r="A5048" s="89" t="str">
        <v/>
      </c>
      <c r="B5048" s="89" t="str">
        <v xml:space="preserve"> Plan de Respuesta ante Eemergencias / HSMS.010 /Primeros Axulios &amp; RCP/DEA / HSMSWT-002 / Patogenos Trasnmitidos por la Sangre</v>
      </c>
      <c r="C5048" s="90" t="str">
        <v/>
      </c>
      <c r="D5048" s="89" t="str">
        <v>Periódica</v>
      </c>
      <c r="E5048" s="89">
        <v>365</v>
      </c>
      <c r="F5048" s="89" t="str">
        <v/>
      </c>
      <c r="G5048" s="89" t="str">
        <f ca="1"/>
        <v/>
      </c>
    </row>
    <row r="5049" spans="1:7" x14ac:dyDescent="0.3">
      <c r="A5049" s="89" t="str">
        <v/>
      </c>
      <c r="B5049" s="89" t="str">
        <v>Reporte y Gestion de Incidentes HSE (Todos)</v>
      </c>
      <c r="C5049" s="90" t="str">
        <v/>
      </c>
      <c r="D5049" s="89" t="str">
        <v>Periódica</v>
      </c>
      <c r="E5049" s="89">
        <v>365</v>
      </c>
      <c r="F5049" s="89" t="str">
        <v/>
      </c>
      <c r="G5049" s="89" t="str">
        <f ca="1"/>
        <v/>
      </c>
    </row>
    <row r="5050" spans="1:7" x14ac:dyDescent="0.3">
      <c r="A5050" s="89" t="str">
        <v/>
      </c>
      <c r="B5050" s="89" t="str">
        <v>Reporte, Gestion e Investigacion de Incidentes HSE (supervisores / investigadores (rol))</v>
      </c>
      <c r="C5050" s="90" t="str">
        <v/>
      </c>
      <c r="D5050" s="89" t="str">
        <v>Periódica</v>
      </c>
      <c r="E5050" s="89">
        <v>1095</v>
      </c>
      <c r="F5050" s="89" t="str">
        <v/>
      </c>
      <c r="G5050" s="89" t="str">
        <f ca="1"/>
        <v/>
      </c>
    </row>
    <row r="5051" spans="1:7" x14ac:dyDescent="0.3">
      <c r="A5051" s="89" t="str">
        <v/>
      </c>
      <c r="B5051" s="89" t="str">
        <v>Gruas y Equipos de Izaje (Todos)</v>
      </c>
      <c r="C5051" s="90" t="str">
        <v/>
      </c>
      <c r="D5051" s="89" t="str">
        <v>Periódica</v>
      </c>
      <c r="E5051" s="89">
        <v>365</v>
      </c>
      <c r="F5051" s="89" t="str">
        <v/>
      </c>
      <c r="G5051" s="89" t="str">
        <f ca="1"/>
        <v/>
      </c>
    </row>
    <row r="5052" spans="1:7" x14ac:dyDescent="0.3">
      <c r="A5052" s="89" t="str">
        <v/>
      </c>
      <c r="B5052" s="89" t="str">
        <v>HSMS.007 / Gruas y Equipos de Izaje (Operadores)</v>
      </c>
      <c r="C5052" s="90" t="str">
        <v/>
      </c>
      <c r="D5052" s="89" t="str">
        <v>Periódica</v>
      </c>
      <c r="E5052" s="89">
        <v>365</v>
      </c>
      <c r="F5052" s="89" t="str">
        <v/>
      </c>
      <c r="G5052" s="89" t="str">
        <f ca="1"/>
        <v/>
      </c>
    </row>
    <row r="5053" spans="1:7" x14ac:dyDescent="0.3">
      <c r="A5053" s="89" t="str">
        <v/>
      </c>
      <c r="B5053" s="89" t="str">
        <v>Proteccion Contra Incendios (Todos)</v>
      </c>
      <c r="C5053" s="90" t="str">
        <v/>
      </c>
      <c r="D5053" s="89" t="str">
        <v>Periódica</v>
      </c>
      <c r="E5053" s="89">
        <v>365</v>
      </c>
      <c r="F5053" s="89" t="str">
        <v/>
      </c>
      <c r="G5053" s="89" t="str">
        <f ca="1"/>
        <v/>
      </c>
    </row>
    <row r="5054" spans="1:7" x14ac:dyDescent="0.3">
      <c r="A5054" s="89" t="str">
        <v/>
      </c>
      <c r="B5054" s="89" t="str">
        <v>Proteccion Contra Incendios (Brigadistas)</v>
      </c>
      <c r="C5054" s="90" t="str">
        <v/>
      </c>
      <c r="D5054" s="89" t="str">
        <v>Periódica</v>
      </c>
      <c r="E5054" s="89">
        <v>365</v>
      </c>
      <c r="F5054" s="89" t="str">
        <v/>
      </c>
      <c r="G5054" s="89" t="str">
        <f ca="1"/>
        <v/>
      </c>
    </row>
    <row r="5055" spans="1:7" x14ac:dyDescent="0.3">
      <c r="A5055" s="89" t="str">
        <v/>
      </c>
      <c r="B5055" s="89" t="str">
        <v>Primeros Auxilios (Brigadistas)</v>
      </c>
      <c r="C5055" s="90" t="str">
        <v/>
      </c>
      <c r="D5055" s="89" t="str">
        <v>Periódica</v>
      </c>
      <c r="E5055" s="89">
        <v>365</v>
      </c>
      <c r="F5055" s="89" t="str">
        <v/>
      </c>
      <c r="G5055" s="89" t="str">
        <f ca="1"/>
        <v/>
      </c>
    </row>
    <row r="5056" spans="1:7" x14ac:dyDescent="0.3">
      <c r="A5056" s="89" t="str">
        <v/>
      </c>
      <c r="B5056" s="89" t="str">
        <v>Seguridad Electrica (Todos)</v>
      </c>
      <c r="C5056" s="90" t="str">
        <v/>
      </c>
      <c r="D5056" s="89" t="str">
        <v>Periódica</v>
      </c>
      <c r="E5056" s="89">
        <v>365</v>
      </c>
      <c r="F5056" s="89" t="str">
        <v/>
      </c>
      <c r="G5056" s="89" t="str">
        <f ca="1"/>
        <v/>
      </c>
    </row>
    <row r="5057" spans="1:7" x14ac:dyDescent="0.3">
      <c r="A5057" s="89" t="str">
        <v/>
      </c>
      <c r="B5057" s="89" t="str">
        <v>Seguridad Electrica (Personal Autorizado)</v>
      </c>
      <c r="C5057" s="90" t="str">
        <v/>
      </c>
      <c r="D5057" s="89" t="str">
        <v>Periódica</v>
      </c>
      <c r="E5057" s="89">
        <v>1095</v>
      </c>
      <c r="F5057" s="89" t="str">
        <v/>
      </c>
      <c r="G5057" s="89" t="str">
        <f ca="1"/>
        <v/>
      </c>
    </row>
    <row r="5058" spans="1:7" x14ac:dyDescent="0.3">
      <c r="A5058" s="89" t="str">
        <v/>
      </c>
      <c r="B5058" s="89" t="str">
        <v>Camiones Industriales Motorizados (PIT) (Todos)</v>
      </c>
      <c r="C5058" s="90" t="str">
        <v/>
      </c>
      <c r="D5058" s="89" t="str">
        <v>Periódica</v>
      </c>
      <c r="E5058" s="89">
        <v>365</v>
      </c>
      <c r="F5058" s="89" t="str">
        <v/>
      </c>
      <c r="G5058" s="89" t="str">
        <f ca="1"/>
        <v/>
      </c>
    </row>
    <row r="5059" spans="1:7" x14ac:dyDescent="0.3">
      <c r="A5059" s="89" t="str">
        <v/>
      </c>
      <c r="B5059" s="89" t="str">
        <v>Camiones Industriales Motorizados (PIT) (Op. Montacargas)</v>
      </c>
      <c r="C5059" s="90" t="str">
        <v/>
      </c>
      <c r="D5059" s="89" t="str">
        <v>Periódica</v>
      </c>
      <c r="E5059" s="89">
        <v>365</v>
      </c>
      <c r="F5059" s="89" t="str">
        <v/>
      </c>
      <c r="G5059" s="89" t="str">
        <f ca="1"/>
        <v/>
      </c>
    </row>
    <row r="5060" spans="1:7" x14ac:dyDescent="0.3">
      <c r="A5060" s="89" t="str">
        <v/>
      </c>
      <c r="B5060" s="89" t="str">
        <v>Control de Energias Peligrosas (LOTO) (Todos)</v>
      </c>
      <c r="C5060" s="90" t="str">
        <v/>
      </c>
      <c r="D5060" s="89" t="str">
        <v>Evento</v>
      </c>
      <c r="E5060" s="89">
        <v>0</v>
      </c>
      <c r="F5060" s="89" t="str">
        <v/>
      </c>
      <c r="G5060" s="89" t="str">
        <f ca="1"/>
        <v/>
      </c>
    </row>
    <row r="5061" spans="1:7" x14ac:dyDescent="0.3">
      <c r="A5061" s="89" t="str">
        <v/>
      </c>
      <c r="B5061" s="89" t="str">
        <v>Control de Energias Peligrosas (LOTO) (Empleados Autorizados)</v>
      </c>
      <c r="C5061" s="90" t="str">
        <v/>
      </c>
      <c r="D5061" s="89" t="str">
        <v>Periódica</v>
      </c>
      <c r="E5061" s="89">
        <v>365</v>
      </c>
      <c r="F5061" s="89" t="str">
        <v/>
      </c>
      <c r="G5061" s="89" t="str">
        <f ca="1"/>
        <v/>
      </c>
    </row>
    <row r="5062" spans="1:7" x14ac:dyDescent="0.3">
      <c r="A5062" s="89" t="str">
        <v/>
      </c>
      <c r="B5062" s="89" t="str">
        <v>Seguridad aplicada al Pozo &amp; Yacimiento</v>
      </c>
      <c r="C5062" s="90" t="str">
        <v/>
      </c>
      <c r="D5062" s="89" t="str">
        <v>Periódica</v>
      </c>
      <c r="E5062" s="89">
        <v>365</v>
      </c>
      <c r="F5062" s="89" t="str">
        <v/>
      </c>
      <c r="G5062" s="89" t="str">
        <f ca="1"/>
        <v/>
      </c>
    </row>
    <row r="5063" spans="1:7" x14ac:dyDescent="0.3">
      <c r="A5063" s="89" t="str">
        <v/>
      </c>
      <c r="B5063" s="89" t="str">
        <v>Las Reglas que Salvan Vidas</v>
      </c>
      <c r="C5063" s="90" t="str">
        <v/>
      </c>
      <c r="D5063" s="89" t="str">
        <v>Periódica</v>
      </c>
      <c r="E5063" s="89">
        <v>365</v>
      </c>
      <c r="F5063" s="89" t="str">
        <v/>
      </c>
      <c r="G5063" s="89" t="str">
        <f ca="1"/>
        <v/>
      </c>
    </row>
    <row r="5064" spans="1:7" x14ac:dyDescent="0.3">
      <c r="A5064" s="89" t="str">
        <v/>
      </c>
      <c r="B5064" s="89" t="str">
        <v xml:space="preserve">Resguardo de Maquinas &amp; Equipos </v>
      </c>
      <c r="C5064" s="90" t="str">
        <v/>
      </c>
      <c r="D5064" s="89" t="str">
        <v>Periódica</v>
      </c>
      <c r="E5064" s="89">
        <v>365</v>
      </c>
      <c r="F5064" s="89" t="str">
        <v/>
      </c>
      <c r="G5064" s="89" t="str">
        <f ca="1"/>
        <v/>
      </c>
    </row>
    <row r="5065" spans="1:7" x14ac:dyDescent="0.3">
      <c r="A5065" s="89" t="str">
        <v/>
      </c>
      <c r="B5065" s="89" t="str">
        <v>Conduccion y Gestion de Viajes (Todos)</v>
      </c>
      <c r="C5065" s="90" t="str">
        <v/>
      </c>
      <c r="D5065" s="89" t="str">
        <v>Periódica</v>
      </c>
      <c r="E5065" s="89">
        <v>730</v>
      </c>
      <c r="F5065" s="89" t="str">
        <v/>
      </c>
      <c r="G5065" s="89" t="str">
        <f ca="1"/>
        <v/>
      </c>
    </row>
    <row r="5066" spans="1:7" x14ac:dyDescent="0.3">
      <c r="A5066" s="89" t="str">
        <v/>
      </c>
      <c r="B5066" s="89" t="str">
        <v>Conduccion y Gestion de Viajes (Conductores)</v>
      </c>
      <c r="C5066" s="90" t="str">
        <v/>
      </c>
      <c r="D5066" s="89" t="str">
        <v>Periódica</v>
      </c>
      <c r="E5066" s="89">
        <v>1095</v>
      </c>
      <c r="F5066" s="89" t="str">
        <v/>
      </c>
      <c r="G5066" s="89" t="str">
        <f ca="1"/>
        <v/>
      </c>
    </row>
    <row r="5067" spans="1:7" x14ac:dyDescent="0.3">
      <c r="A5067" s="89" t="str">
        <v/>
      </c>
      <c r="B5067" s="89" t="str">
        <v>Patogenos Transmitidos por la Sangre</v>
      </c>
      <c r="C5067" s="90" t="str">
        <v/>
      </c>
      <c r="D5067" s="89" t="str">
        <v>Periódica</v>
      </c>
      <c r="E5067" s="89">
        <v>365</v>
      </c>
      <c r="F5067" s="89" t="str">
        <v/>
      </c>
      <c r="G5067" s="89" t="str">
        <f ca="1"/>
        <v/>
      </c>
    </row>
    <row r="5068" spans="1:7" x14ac:dyDescent="0.3">
      <c r="A5068" s="89" t="str">
        <v/>
      </c>
      <c r="B5068" s="89" t="str">
        <v>Conservacion Auditiva</v>
      </c>
      <c r="C5068" s="90" t="str">
        <v/>
      </c>
      <c r="D5068" s="89" t="str">
        <v>Periódica</v>
      </c>
      <c r="E5068" s="89">
        <v>365</v>
      </c>
      <c r="F5068" s="89" t="str">
        <v/>
      </c>
      <c r="G5068" s="89" t="str">
        <f ca="1"/>
        <v/>
      </c>
    </row>
    <row r="5069" spans="1:7" x14ac:dyDescent="0.3">
      <c r="A5069" s="89" t="str">
        <v/>
      </c>
      <c r="B5069" s="89" t="str">
        <v xml:space="preserve">Ergonomia //  / Levantamiento &amp; Seguridad en la Espalda </v>
      </c>
      <c r="C5069" s="90" t="str">
        <v/>
      </c>
      <c r="D5069" s="89" t="str">
        <v>Periódica</v>
      </c>
      <c r="E5069" s="89">
        <v>365</v>
      </c>
      <c r="F5069" s="89" t="str">
        <v/>
      </c>
      <c r="G5069" s="89" t="str">
        <f ca="1"/>
        <v/>
      </c>
    </row>
    <row r="5070" spans="1:7" x14ac:dyDescent="0.3">
      <c r="A5070" s="89" t="str">
        <v/>
      </c>
      <c r="B5070" s="89" t="str">
        <v>Superficies Elevadas (Todos)</v>
      </c>
      <c r="C5070" s="90" t="str">
        <v/>
      </c>
      <c r="D5070" s="89" t="str">
        <v>Periódica</v>
      </c>
      <c r="E5070" s="89">
        <v>365</v>
      </c>
      <c r="F5070" s="89" t="str">
        <v/>
      </c>
      <c r="G5070" s="89" t="str">
        <f ca="1"/>
        <v/>
      </c>
    </row>
    <row r="5071" spans="1:7" x14ac:dyDescent="0.3">
      <c r="A5071" s="89" t="str">
        <v/>
      </c>
      <c r="B5071" s="89" t="str">
        <v>Superficies Elevadas (Personal Habilitado)</v>
      </c>
      <c r="C5071" s="90" t="str">
        <v/>
      </c>
      <c r="D5071" s="89" t="str">
        <v>Periódica</v>
      </c>
      <c r="E5071" s="89">
        <v>365</v>
      </c>
      <c r="F5071" s="89" t="str">
        <v/>
      </c>
      <c r="G5071" s="89" t="str">
        <f ca="1"/>
        <v/>
      </c>
    </row>
    <row r="5072" spans="1:7" x14ac:dyDescent="0.3">
      <c r="A5072" s="89" t="str">
        <v/>
      </c>
      <c r="B5072" s="89" t="str">
        <v>Seguridad Quimica (Todos)</v>
      </c>
      <c r="C5072" s="90" t="str">
        <v/>
      </c>
      <c r="D5072" s="89" t="str">
        <v>Periódica</v>
      </c>
      <c r="E5072" s="89">
        <v>730</v>
      </c>
      <c r="F5072" s="89" t="str">
        <v/>
      </c>
      <c r="G5072" s="89" t="str">
        <f ca="1"/>
        <v/>
      </c>
    </row>
    <row r="5073" spans="1:7" x14ac:dyDescent="0.3">
      <c r="A5073" s="89" t="str">
        <v/>
      </c>
      <c r="B5073" s="89" t="str">
        <v>Seguridad Quimica (Mantenimiento)</v>
      </c>
      <c r="C5073" s="90" t="str">
        <v/>
      </c>
      <c r="D5073" s="89" t="str">
        <v>Periódica</v>
      </c>
      <c r="E5073" s="89">
        <v>365</v>
      </c>
      <c r="F5073" s="89" t="str">
        <v/>
      </c>
      <c r="G5073" s="89" t="str">
        <f ca="1"/>
        <v/>
      </c>
    </row>
    <row r="5074" spans="1:7" x14ac:dyDescent="0.3">
      <c r="A5074" s="89" t="str">
        <v/>
      </c>
      <c r="B5074" s="89" t="str">
        <v>Seguridad Quimica (Contratistas)</v>
      </c>
      <c r="C5074" s="90" t="str">
        <v/>
      </c>
      <c r="D5074" s="89" t="str">
        <v>Periódica</v>
      </c>
      <c r="E5074" s="89">
        <v>365</v>
      </c>
      <c r="F5074" s="89" t="str">
        <v/>
      </c>
      <c r="G5074" s="89" t="str">
        <f ca="1"/>
        <v/>
      </c>
    </row>
    <row r="5075" spans="1:7" x14ac:dyDescent="0.3">
      <c r="A5075" s="89" t="str">
        <v/>
      </c>
      <c r="B5075" s="89" t="str">
        <v>Seguridad para Trabajos en Caliente</v>
      </c>
      <c r="C5075" s="90" t="str">
        <v/>
      </c>
      <c r="D5075" s="89" t="str">
        <v>Periódica</v>
      </c>
      <c r="E5075" s="89">
        <v>365</v>
      </c>
      <c r="F5075" s="89" t="str">
        <v/>
      </c>
      <c r="G5075" s="89" t="str">
        <f ca="1"/>
        <v/>
      </c>
    </row>
    <row r="5076" spans="1:7" x14ac:dyDescent="0.3">
      <c r="A5076" s="89" t="str">
        <v/>
      </c>
      <c r="B5076" s="89" t="str">
        <v>Seguridad con la Radiacion</v>
      </c>
      <c r="C5076" s="90" t="str">
        <v/>
      </c>
      <c r="D5076" s="89" t="str">
        <v>Periódica</v>
      </c>
      <c r="E5076" s="89">
        <v>365</v>
      </c>
      <c r="F5076" s="89" t="str">
        <v/>
      </c>
      <c r="G5076" s="89" t="str">
        <f ca="1"/>
        <v/>
      </c>
    </row>
    <row r="5077" spans="1:7" x14ac:dyDescent="0.3">
      <c r="A5077" s="89" t="str">
        <v/>
      </c>
      <c r="B5077" s="89" t="str">
        <v>Equipo de Proteccion Personal (PPE)</v>
      </c>
      <c r="C5077" s="90" t="str">
        <v/>
      </c>
      <c r="D5077" s="89" t="str">
        <v>Periódica</v>
      </c>
      <c r="E5077" s="89">
        <v>365</v>
      </c>
      <c r="F5077" s="89" t="str">
        <v/>
      </c>
      <c r="G5077" s="89" t="str">
        <f ca="1"/>
        <v/>
      </c>
    </row>
    <row r="5078" spans="1:7" x14ac:dyDescent="0.3">
      <c r="A5078" s="89" t="str">
        <v/>
      </c>
      <c r="B5078" s="89" t="str">
        <v>Proteccion Respiratoria</v>
      </c>
      <c r="C5078" s="90" t="str">
        <v/>
      </c>
      <c r="D5078" s="89" t="str">
        <v>Periódica</v>
      </c>
      <c r="E5078" s="89">
        <v>365</v>
      </c>
      <c r="F5078" s="89" t="str">
        <v/>
      </c>
      <c r="G5078" s="89" t="str">
        <f ca="1"/>
        <v/>
      </c>
    </row>
    <row r="5079" spans="1:7" x14ac:dyDescent="0.3">
      <c r="A5079" s="89" t="str">
        <v/>
      </c>
      <c r="B5079" s="89" t="str">
        <v xml:space="preserve">Seguridad con Escaleras </v>
      </c>
      <c r="C5079" s="90" t="str">
        <v/>
      </c>
      <c r="D5079" s="89" t="str">
        <v>Periódica</v>
      </c>
      <c r="E5079" s="89">
        <v>365</v>
      </c>
      <c r="F5079" s="89" t="str">
        <v/>
      </c>
      <c r="G5079" s="89" t="str">
        <f ca="1"/>
        <v/>
      </c>
    </row>
    <row r="5080" spans="1:7" x14ac:dyDescent="0.3">
      <c r="A5080" s="89" t="str">
        <v/>
      </c>
      <c r="B5080" s="89" t="str">
        <v>Seguridad con Escaleras // Estantes de Almacenamiento</v>
      </c>
      <c r="C5080" s="90" t="str">
        <v/>
      </c>
      <c r="D5080" s="89" t="str">
        <v>Periódica</v>
      </c>
      <c r="E5080" s="89">
        <v>365</v>
      </c>
      <c r="F5080" s="89" t="str">
        <v/>
      </c>
      <c r="G5080" s="89" t="str">
        <f ca="1"/>
        <v/>
      </c>
    </row>
    <row r="5081" spans="1:7" x14ac:dyDescent="0.3">
      <c r="A5081" s="89" t="str">
        <v/>
      </c>
      <c r="B5081" s="89" t="str">
        <v>Responsabilidades del Supervisor</v>
      </c>
      <c r="C5081" s="90" t="str">
        <v/>
      </c>
      <c r="D5081" s="89" t="str">
        <v>Periódica</v>
      </c>
      <c r="E5081" s="89">
        <v>365</v>
      </c>
      <c r="F5081" s="89" t="str">
        <v/>
      </c>
      <c r="G5081" s="89" t="str">
        <f ca="1"/>
        <v/>
      </c>
    </row>
    <row r="5082" spans="1:7" x14ac:dyDescent="0.3">
      <c r="A5082" s="89" t="str">
        <v/>
      </c>
      <c r="B5082" s="89" t="str">
        <v>Espacios Confinados (Todos)</v>
      </c>
      <c r="C5082" s="90" t="str">
        <v/>
      </c>
      <c r="D5082" s="89" t="str">
        <v>Periódica</v>
      </c>
      <c r="E5082" s="89">
        <v>365</v>
      </c>
      <c r="F5082" s="89" t="str">
        <v/>
      </c>
      <c r="G5082" s="89" t="str">
        <f ca="1"/>
        <v/>
      </c>
    </row>
    <row r="5083" spans="1:7" x14ac:dyDescent="0.3">
      <c r="A5083" s="89" t="str">
        <v/>
      </c>
      <c r="B5083" s="89" t="str">
        <v>HSMS.017 / Espacios Confinados (Entrantes)</v>
      </c>
      <c r="C5083" s="90" t="str">
        <v/>
      </c>
      <c r="D5083" s="89" t="str">
        <v>Evento</v>
      </c>
      <c r="E5083" s="89">
        <v>0</v>
      </c>
      <c r="F5083" s="89" t="str">
        <v/>
      </c>
      <c r="G5083" s="89" t="str">
        <f ca="1"/>
        <v/>
      </c>
    </row>
    <row r="5084" spans="1:7" x14ac:dyDescent="0.3">
      <c r="A5084" s="89" t="str">
        <v/>
      </c>
      <c r="B5084" s="89" t="str">
        <v>Programa de Agua (Todos)</v>
      </c>
      <c r="C5084" s="90" t="str">
        <v/>
      </c>
      <c r="D5084" s="89" t="str">
        <v>Evento</v>
      </c>
      <c r="E5084" s="89">
        <v>0</v>
      </c>
      <c r="F5084" s="89" t="str">
        <v/>
      </c>
      <c r="G5084" s="89" t="str">
        <f ca="1"/>
        <v/>
      </c>
    </row>
    <row r="5085" spans="1:7" x14ac:dyDescent="0.3">
      <c r="A5085" s="89" t="str">
        <v/>
      </c>
      <c r="B5085" s="89" t="str">
        <v>Programa de Agua (HSE)</v>
      </c>
      <c r="C5085" s="90" t="str">
        <v/>
      </c>
      <c r="D5085" s="89" t="str">
        <v>Evento</v>
      </c>
      <c r="E5085" s="89">
        <v>0</v>
      </c>
      <c r="F5085" s="89" t="str">
        <v/>
      </c>
      <c r="G5085" s="89" t="str">
        <f ca="1"/>
        <v/>
      </c>
    </row>
    <row r="5086" spans="1:7" x14ac:dyDescent="0.3">
      <c r="A5086" s="89" t="str">
        <v/>
      </c>
      <c r="B5086" s="89" t="str">
        <v>HIV/SIDA y otras enfermedades de transmisión sexual (ETS)</v>
      </c>
      <c r="C5086" s="90" t="str">
        <v/>
      </c>
      <c r="D5086" s="89" t="str">
        <v>Periódica</v>
      </c>
      <c r="E5086" s="89">
        <v>365</v>
      </c>
      <c r="F5086" s="89" t="str">
        <v/>
      </c>
      <c r="G5086" s="89" t="str">
        <f ca="1"/>
        <v/>
      </c>
    </row>
    <row r="5087" spans="1:7" x14ac:dyDescent="0.3">
      <c r="A5087" s="89" t="str">
        <v/>
      </c>
      <c r="B5087" s="89" t="str">
        <v>Drogas de abuso (concientización y prevención)</v>
      </c>
      <c r="C5087" s="90" t="str">
        <v/>
      </c>
      <c r="D5087" s="89" t="str">
        <v>Periódica</v>
      </c>
      <c r="E5087" s="89">
        <v>365</v>
      </c>
      <c r="F5087" s="89" t="str">
        <v/>
      </c>
      <c r="G5087" s="89" t="str">
        <f ca="1"/>
        <v/>
      </c>
    </row>
    <row r="5088" spans="1:7" x14ac:dyDescent="0.3">
      <c r="A5088" s="89" t="str">
        <v/>
      </c>
      <c r="B5088" s="89" t="str">
        <v>Vida saludable (hábitos, autocuidado y bienestar)</v>
      </c>
      <c r="C5088" s="90" t="str">
        <v/>
      </c>
      <c r="D5088" s="89" t="str">
        <v>Periódica</v>
      </c>
      <c r="E5088" s="89">
        <v>365</v>
      </c>
      <c r="F5088" s="89" t="str">
        <v/>
      </c>
      <c r="G5088" s="89" t="str">
        <f ca="1"/>
        <v/>
      </c>
    </row>
    <row r="5089" spans="1:7" x14ac:dyDescent="0.3">
      <c r="A5089" s="89" t="str">
        <v/>
      </c>
      <c r="B5089" s="89" t="str">
        <v>Primeros auxilios y Reanimación Cardio Pulmonar (RCP)</v>
      </c>
      <c r="C5089" s="90" t="str">
        <v/>
      </c>
      <c r="D5089" s="89" t="str">
        <v>Periódica</v>
      </c>
      <c r="E5089" s="89">
        <v>365</v>
      </c>
      <c r="F5089" s="89" t="str">
        <v/>
      </c>
      <c r="G5089" s="89" t="str">
        <f ca="1"/>
        <v/>
      </c>
    </row>
    <row r="5090" spans="1:7" x14ac:dyDescent="0.3">
      <c r="A5090" s="89" t="str">
        <v/>
      </c>
      <c r="B5090" s="89" t="str">
        <v>Prevención cardiovascular (factores de riesgo y señales de alarma)</v>
      </c>
      <c r="C5090" s="90" t="str">
        <v/>
      </c>
      <c r="D5090" s="89" t="str">
        <v>Periódica</v>
      </c>
      <c r="E5090" s="89">
        <v>365</v>
      </c>
      <c r="F5090" s="89" t="str">
        <v/>
      </c>
      <c r="G5090" s="89" t="str">
        <f ca="1"/>
        <v/>
      </c>
    </row>
    <row r="5091" spans="1:7" x14ac:dyDescent="0.3">
      <c r="A5091" s="89" t="str">
        <v/>
      </c>
      <c r="B5091" s="89" t="str">
        <v>Efectos del tabaco sobre la salud</v>
      </c>
      <c r="C5091" s="90" t="str">
        <v/>
      </c>
      <c r="D5091" s="89" t="str">
        <v>Periódica</v>
      </c>
      <c r="E5091" s="89">
        <v>365</v>
      </c>
      <c r="F5091" s="89" t="str">
        <v/>
      </c>
      <c r="G5091" s="89" t="str">
        <f ca="1"/>
        <v/>
      </c>
    </row>
    <row r="5092" spans="1:7" x14ac:dyDescent="0.3">
      <c r="A5092" s="89" t="str">
        <v/>
      </c>
      <c r="B5092" s="89" t="str">
        <v>Cargadora (Op. Montacargas)</v>
      </c>
      <c r="C5092" s="90" t="str">
        <v/>
      </c>
      <c r="D5092" s="89" t="str">
        <v>Periódica</v>
      </c>
      <c r="E5092" s="89">
        <v>365</v>
      </c>
      <c r="F5092" s="89" t="str">
        <v/>
      </c>
      <c r="G5092" s="89" t="str">
        <f ca="1"/>
        <v/>
      </c>
    </row>
    <row r="5093" spans="1:7" x14ac:dyDescent="0.3">
      <c r="A5093" s="89" t="str">
        <v/>
      </c>
      <c r="B5093" s="89">
        <v>0</v>
      </c>
      <c r="C5093" s="90" t="str">
        <v/>
      </c>
      <c r="D5093" s="89" t="str">
        <v/>
      </c>
      <c r="E5093" s="89" t="str">
        <v/>
      </c>
      <c r="F5093" s="89" t="str">
        <v/>
      </c>
      <c r="G5093" s="89" t="str">
        <f ca="1"/>
        <v/>
      </c>
    </row>
    <row r="5094" spans="1:7" x14ac:dyDescent="0.3">
      <c r="A5094" s="89" t="str">
        <v/>
      </c>
      <c r="B5094" s="89">
        <v>0</v>
      </c>
      <c r="C5094" s="90" t="str">
        <v/>
      </c>
      <c r="D5094" s="89" t="str">
        <v/>
      </c>
      <c r="E5094" s="89" t="str">
        <v/>
      </c>
      <c r="F5094" s="89" t="str">
        <v/>
      </c>
      <c r="G5094" s="89" t="str">
        <f ca="1"/>
        <v/>
      </c>
    </row>
    <row r="5095" spans="1:7" x14ac:dyDescent="0.3">
      <c r="A5095" s="89" t="str">
        <v/>
      </c>
      <c r="B5095" s="89">
        <v>0</v>
      </c>
      <c r="C5095" s="90" t="str">
        <v/>
      </c>
      <c r="D5095" s="89" t="str">
        <v/>
      </c>
      <c r="E5095" s="89" t="str">
        <v/>
      </c>
      <c r="F5095" s="89" t="str">
        <v/>
      </c>
      <c r="G5095" s="89" t="str">
        <f ca="1"/>
        <v/>
      </c>
    </row>
    <row r="5096" spans="1:7" x14ac:dyDescent="0.3">
      <c r="A5096" s="89" t="str">
        <v/>
      </c>
      <c r="B5096" s="89">
        <v>0</v>
      </c>
      <c r="C5096" s="90" t="str">
        <v/>
      </c>
      <c r="D5096" s="89" t="str">
        <v/>
      </c>
      <c r="E5096" s="89" t="str">
        <v/>
      </c>
      <c r="F5096" s="89" t="str">
        <v/>
      </c>
      <c r="G5096" s="89" t="str">
        <f ca="1"/>
        <v/>
      </c>
    </row>
    <row r="5097" spans="1:7" x14ac:dyDescent="0.3">
      <c r="A5097" s="89" t="str">
        <v/>
      </c>
      <c r="B5097" s="89">
        <v>0</v>
      </c>
      <c r="C5097" s="90" t="str">
        <v/>
      </c>
      <c r="D5097" s="89" t="str">
        <v/>
      </c>
      <c r="E5097" s="89" t="str">
        <v/>
      </c>
      <c r="F5097" s="89" t="str">
        <v/>
      </c>
      <c r="G5097" s="89" t="str">
        <f ca="1"/>
        <v/>
      </c>
    </row>
    <row r="5098" spans="1:7" x14ac:dyDescent="0.3">
      <c r="A5098" s="89" t="str">
        <v/>
      </c>
      <c r="B5098" s="89">
        <v>0</v>
      </c>
      <c r="C5098" s="90" t="str">
        <v/>
      </c>
      <c r="D5098" s="89" t="str">
        <v/>
      </c>
      <c r="E5098" s="89" t="str">
        <v/>
      </c>
      <c r="F5098" s="89" t="str">
        <v/>
      </c>
      <c r="G5098" s="89" t="str">
        <f ca="1"/>
        <v/>
      </c>
    </row>
    <row r="5099" spans="1:7" x14ac:dyDescent="0.3">
      <c r="A5099" s="89" t="str">
        <v/>
      </c>
      <c r="B5099" s="89">
        <v>0</v>
      </c>
      <c r="C5099" s="90" t="str">
        <v/>
      </c>
      <c r="D5099" s="89" t="str">
        <v/>
      </c>
      <c r="E5099" s="89" t="str">
        <v/>
      </c>
      <c r="F5099" s="89" t="str">
        <v/>
      </c>
      <c r="G5099" s="89" t="str">
        <f ca="1"/>
        <v/>
      </c>
    </row>
    <row r="5100" spans="1:7" x14ac:dyDescent="0.3">
      <c r="A5100" s="89" t="str">
        <v/>
      </c>
      <c r="B5100" s="89">
        <v>0</v>
      </c>
      <c r="C5100" s="90" t="str">
        <v/>
      </c>
      <c r="D5100" s="89" t="str">
        <v/>
      </c>
      <c r="E5100" s="89" t="str">
        <v/>
      </c>
      <c r="F5100" s="89" t="str">
        <v/>
      </c>
      <c r="G5100" s="89" t="str">
        <f ca="1"/>
        <v/>
      </c>
    </row>
    <row r="5101" spans="1:7" x14ac:dyDescent="0.3">
      <c r="A5101" s="89" t="str">
        <v/>
      </c>
      <c r="B5101" s="89">
        <v>0</v>
      </c>
      <c r="C5101" s="90" t="str">
        <v/>
      </c>
      <c r="D5101" s="89" t="str">
        <v/>
      </c>
      <c r="E5101" s="89" t="str">
        <v/>
      </c>
      <c r="F5101" s="89" t="str">
        <v/>
      </c>
      <c r="G5101" s="89" t="str">
        <f ca="1"/>
        <v/>
      </c>
    </row>
    <row r="5102" spans="1:7" x14ac:dyDescent="0.3">
      <c r="A5102" s="89" t="str">
        <v/>
      </c>
      <c r="B5102" s="89" t="str">
        <v>Programa de Aire</v>
      </c>
      <c r="C5102" s="90" t="str">
        <v/>
      </c>
      <c r="D5102" s="89" t="str">
        <v>Evento</v>
      </c>
      <c r="E5102" s="89">
        <v>0</v>
      </c>
      <c r="F5102" s="89" t="str">
        <v/>
      </c>
      <c r="G5102" s="89" t="str">
        <f ca="1"/>
        <v/>
      </c>
    </row>
    <row r="5103" spans="1:7" x14ac:dyDescent="0.3">
      <c r="A5103" s="89" t="str">
        <v/>
      </c>
      <c r="B5103" s="89" t="str">
        <v>Conciencia Ambiental</v>
      </c>
      <c r="C5103" s="90" t="str">
        <v/>
      </c>
      <c r="D5103" s="89" t="str">
        <v>Periódica</v>
      </c>
      <c r="E5103" s="89">
        <v>365</v>
      </c>
      <c r="F5103" s="89" t="str">
        <v/>
      </c>
      <c r="G5103" s="89" t="str">
        <f ca="1"/>
        <v/>
      </c>
    </row>
    <row r="5104" spans="1:7" x14ac:dyDescent="0.3">
      <c r="A5104" s="89" t="str">
        <v/>
      </c>
      <c r="B5104" s="89" t="str">
        <v xml:space="preserve">Control de Documentos e Informacion de HSE </v>
      </c>
      <c r="C5104" s="90" t="str">
        <v/>
      </c>
      <c r="D5104" s="89" t="str">
        <v>Evento</v>
      </c>
      <c r="E5104" s="89">
        <v>0</v>
      </c>
      <c r="F5104" s="89" t="str">
        <v/>
      </c>
      <c r="G5104" s="89" t="str">
        <f ca="1"/>
        <v/>
      </c>
    </row>
    <row r="5105" spans="1:7" x14ac:dyDescent="0.3">
      <c r="A5105" s="89" t="str">
        <v/>
      </c>
      <c r="B5105" s="89" t="str">
        <v xml:space="preserve"> Acciones Correctivas y Preventivas (CAPA)</v>
      </c>
      <c r="C5105" s="90" t="str">
        <v/>
      </c>
      <c r="D5105" s="89" t="str">
        <v>Evento</v>
      </c>
      <c r="E5105" s="89">
        <v>0</v>
      </c>
      <c r="F5105" s="89" t="str">
        <v/>
      </c>
      <c r="G5105" s="89" t="str">
        <f ca="1"/>
        <v/>
      </c>
    </row>
    <row r="5106" spans="1:7" x14ac:dyDescent="0.3">
      <c r="A5106" s="89" t="str">
        <v/>
      </c>
      <c r="B5106" s="89" t="str">
        <v>Seguridad Basada en el Comportamiento (Observation Program) // HSMS.043 / Autoridad de Detener el Trabajo</v>
      </c>
      <c r="C5106" s="90" t="str">
        <v/>
      </c>
      <c r="D5106" s="89" t="str">
        <v>Periódica</v>
      </c>
      <c r="E5106" s="89">
        <v>365</v>
      </c>
      <c r="F5106" s="89" t="str">
        <v/>
      </c>
      <c r="G5106" s="89" t="str">
        <f ca="1"/>
        <v/>
      </c>
    </row>
    <row r="5107" spans="1:7" x14ac:dyDescent="0.3">
      <c r="A5107" s="89" t="str">
        <v/>
      </c>
      <c r="B5107" s="89" t="str">
        <v>Identificacion de Peligros y Evaluacion de Riesgos</v>
      </c>
      <c r="C5107" s="90" t="str">
        <v/>
      </c>
      <c r="D5107" s="89" t="str">
        <v>Evento</v>
      </c>
      <c r="E5107" s="89">
        <v>0</v>
      </c>
      <c r="F5107" s="89" t="str">
        <v/>
      </c>
      <c r="G5107" s="89" t="str">
        <f ca="1"/>
        <v/>
      </c>
    </row>
    <row r="5108" spans="1:7" x14ac:dyDescent="0.3">
      <c r="A5108" s="89" t="str">
        <v/>
      </c>
      <c r="B5108" s="89" t="str">
        <v xml:space="preserve"> Plan de Respuesta ante Eemergencias / HSMS.010 /Primeros Axulios &amp; RCP/DEA / HSMSWT-002 / Patogenos Trasnmitidos por la Sangre</v>
      </c>
      <c r="C5108" s="90" t="str">
        <v/>
      </c>
      <c r="D5108" s="89" t="str">
        <v>Periódica</v>
      </c>
      <c r="E5108" s="89">
        <v>365</v>
      </c>
      <c r="F5108" s="89" t="str">
        <v/>
      </c>
      <c r="G5108" s="89" t="str">
        <f ca="1"/>
        <v/>
      </c>
    </row>
    <row r="5109" spans="1:7" x14ac:dyDescent="0.3">
      <c r="A5109" s="89" t="str">
        <v/>
      </c>
      <c r="B5109" s="89" t="str">
        <v>Reporte y Gestion de Incidentes HSE (Todos)</v>
      </c>
      <c r="C5109" s="90" t="str">
        <v/>
      </c>
      <c r="D5109" s="89" t="str">
        <v>Periódica</v>
      </c>
      <c r="E5109" s="89">
        <v>365</v>
      </c>
      <c r="F5109" s="89" t="str">
        <v/>
      </c>
      <c r="G5109" s="89" t="str">
        <f ca="1"/>
        <v/>
      </c>
    </row>
    <row r="5110" spans="1:7" x14ac:dyDescent="0.3">
      <c r="A5110" s="89" t="str">
        <v/>
      </c>
      <c r="B5110" s="89" t="str">
        <v>Reporte, Gestion e Investigacion de Incidentes HSE (supervisores / investigadores (rol))</v>
      </c>
      <c r="C5110" s="90" t="str">
        <v/>
      </c>
      <c r="D5110" s="89" t="str">
        <v>Periódica</v>
      </c>
      <c r="E5110" s="89">
        <v>1095</v>
      </c>
      <c r="F5110" s="89" t="str">
        <v/>
      </c>
      <c r="G5110" s="89" t="str">
        <f ca="1"/>
        <v/>
      </c>
    </row>
    <row r="5111" spans="1:7" x14ac:dyDescent="0.3">
      <c r="A5111" s="89" t="str">
        <v/>
      </c>
      <c r="B5111" s="89" t="str">
        <v>Gruas y Equipos de Izaje (Todos)</v>
      </c>
      <c r="C5111" s="90" t="str">
        <v/>
      </c>
      <c r="D5111" s="89" t="str">
        <v>Periódica</v>
      </c>
      <c r="E5111" s="89">
        <v>365</v>
      </c>
      <c r="F5111" s="89" t="str">
        <v/>
      </c>
      <c r="G5111" s="89" t="str">
        <f ca="1"/>
        <v/>
      </c>
    </row>
    <row r="5112" spans="1:7" x14ac:dyDescent="0.3">
      <c r="A5112" s="89" t="str">
        <v/>
      </c>
      <c r="B5112" s="89" t="str">
        <v>HSMS.007 / Gruas y Equipos de Izaje (Operadores)</v>
      </c>
      <c r="C5112" s="90" t="str">
        <v/>
      </c>
      <c r="D5112" s="89" t="str">
        <v>Periódica</v>
      </c>
      <c r="E5112" s="89">
        <v>365</v>
      </c>
      <c r="F5112" s="89" t="str">
        <v/>
      </c>
      <c r="G5112" s="89" t="str">
        <f ca="1"/>
        <v/>
      </c>
    </row>
    <row r="5113" spans="1:7" x14ac:dyDescent="0.3">
      <c r="A5113" s="89" t="str">
        <v/>
      </c>
      <c r="B5113" s="89" t="str">
        <v>Proteccion Contra Incendios (Todos)</v>
      </c>
      <c r="C5113" s="90" t="str">
        <v/>
      </c>
      <c r="D5113" s="89" t="str">
        <v>Periódica</v>
      </c>
      <c r="E5113" s="89">
        <v>365</v>
      </c>
      <c r="F5113" s="89" t="str">
        <v/>
      </c>
      <c r="G5113" s="89" t="str">
        <f ca="1"/>
        <v/>
      </c>
    </row>
    <row r="5114" spans="1:7" x14ac:dyDescent="0.3">
      <c r="A5114" s="89" t="str">
        <v/>
      </c>
      <c r="B5114" s="89" t="str">
        <v>Proteccion Contra Incendios (Brigadistas)</v>
      </c>
      <c r="C5114" s="90" t="str">
        <v/>
      </c>
      <c r="D5114" s="89" t="str">
        <v>Periódica</v>
      </c>
      <c r="E5114" s="89">
        <v>365</v>
      </c>
      <c r="F5114" s="89" t="str">
        <v/>
      </c>
      <c r="G5114" s="89" t="str">
        <f ca="1"/>
        <v/>
      </c>
    </row>
    <row r="5115" spans="1:7" x14ac:dyDescent="0.3">
      <c r="A5115" s="89" t="str">
        <v/>
      </c>
      <c r="B5115" s="89" t="str">
        <v>Primeros Auxilios (Brigadistas)</v>
      </c>
      <c r="C5115" s="90" t="str">
        <v/>
      </c>
      <c r="D5115" s="89" t="str">
        <v>Periódica</v>
      </c>
      <c r="E5115" s="89">
        <v>365</v>
      </c>
      <c r="F5115" s="89" t="str">
        <v/>
      </c>
      <c r="G5115" s="89" t="str">
        <f ca="1"/>
        <v/>
      </c>
    </row>
    <row r="5116" spans="1:7" x14ac:dyDescent="0.3">
      <c r="A5116" s="89" t="str">
        <v/>
      </c>
      <c r="B5116" s="89" t="str">
        <v>Seguridad Electrica (Todos)</v>
      </c>
      <c r="C5116" s="90" t="str">
        <v/>
      </c>
      <c r="D5116" s="89" t="str">
        <v>Periódica</v>
      </c>
      <c r="E5116" s="89">
        <v>365</v>
      </c>
      <c r="F5116" s="89" t="str">
        <v/>
      </c>
      <c r="G5116" s="89" t="str">
        <f ca="1"/>
        <v/>
      </c>
    </row>
    <row r="5117" spans="1:7" x14ac:dyDescent="0.3">
      <c r="A5117" s="89" t="str">
        <v/>
      </c>
      <c r="B5117" s="89" t="str">
        <v>Seguridad Electrica (Personal Autorizado)</v>
      </c>
      <c r="C5117" s="90" t="str">
        <v/>
      </c>
      <c r="D5117" s="89" t="str">
        <v>Periódica</v>
      </c>
      <c r="E5117" s="89">
        <v>1095</v>
      </c>
      <c r="F5117" s="89" t="str">
        <v/>
      </c>
      <c r="G5117" s="89" t="str">
        <f ca="1"/>
        <v/>
      </c>
    </row>
    <row r="5118" spans="1:7" x14ac:dyDescent="0.3">
      <c r="A5118" s="89" t="str">
        <v/>
      </c>
      <c r="B5118" s="89" t="str">
        <v>Camiones Industriales Motorizados (PIT) (Todos)</v>
      </c>
      <c r="C5118" s="90" t="str">
        <v/>
      </c>
      <c r="D5118" s="89" t="str">
        <v>Periódica</v>
      </c>
      <c r="E5118" s="89">
        <v>365</v>
      </c>
      <c r="F5118" s="89" t="str">
        <v/>
      </c>
      <c r="G5118" s="89" t="str">
        <f ca="1"/>
        <v/>
      </c>
    </row>
    <row r="5119" spans="1:7" x14ac:dyDescent="0.3">
      <c r="A5119" s="89" t="str">
        <v/>
      </c>
      <c r="B5119" s="89" t="str">
        <v>Camiones Industriales Motorizados (PIT) (Op. Montacargas)</v>
      </c>
      <c r="C5119" s="90" t="str">
        <v/>
      </c>
      <c r="D5119" s="89" t="str">
        <v>Periódica</v>
      </c>
      <c r="E5119" s="89">
        <v>365</v>
      </c>
      <c r="F5119" s="89" t="str">
        <v/>
      </c>
      <c r="G5119" s="89" t="str">
        <f ca="1"/>
        <v/>
      </c>
    </row>
    <row r="5120" spans="1:7" x14ac:dyDescent="0.3">
      <c r="A5120" s="89" t="str">
        <v/>
      </c>
      <c r="B5120" s="89" t="str">
        <v>Control de Energias Peligrosas (LOTO) (Todos)</v>
      </c>
      <c r="C5120" s="90" t="str">
        <v/>
      </c>
      <c r="D5120" s="89" t="str">
        <v>Evento</v>
      </c>
      <c r="E5120" s="89">
        <v>0</v>
      </c>
      <c r="F5120" s="89" t="str">
        <v/>
      </c>
      <c r="G5120" s="89" t="str">
        <f ca="1"/>
        <v/>
      </c>
    </row>
    <row r="5121" spans="1:7" x14ac:dyDescent="0.3">
      <c r="A5121" s="89" t="str">
        <v/>
      </c>
      <c r="B5121" s="89" t="str">
        <v>Control de Energias Peligrosas (LOTO) (Empleados Autorizados)</v>
      </c>
      <c r="C5121" s="90" t="str">
        <v/>
      </c>
      <c r="D5121" s="89" t="str">
        <v>Periódica</v>
      </c>
      <c r="E5121" s="89">
        <v>365</v>
      </c>
      <c r="F5121" s="89" t="str">
        <v/>
      </c>
      <c r="G5121" s="89" t="str">
        <f ca="1"/>
        <v/>
      </c>
    </row>
    <row r="5122" spans="1:7" x14ac:dyDescent="0.3">
      <c r="A5122" s="89" t="str">
        <v/>
      </c>
      <c r="B5122" s="89" t="str">
        <v>Seguridad aplicada al Pozo &amp; Yacimiento</v>
      </c>
      <c r="C5122" s="90" t="str">
        <v/>
      </c>
      <c r="D5122" s="89" t="str">
        <v>Periódica</v>
      </c>
      <c r="E5122" s="89">
        <v>365</v>
      </c>
      <c r="F5122" s="89" t="str">
        <v/>
      </c>
      <c r="G5122" s="89" t="str">
        <f ca="1"/>
        <v/>
      </c>
    </row>
    <row r="5123" spans="1:7" x14ac:dyDescent="0.3">
      <c r="A5123" s="89" t="str">
        <v/>
      </c>
      <c r="B5123" s="89" t="str">
        <v>Las Reglas que Salvan Vidas</v>
      </c>
      <c r="C5123" s="90" t="str">
        <v/>
      </c>
      <c r="D5123" s="89" t="str">
        <v>Periódica</v>
      </c>
      <c r="E5123" s="89">
        <v>365</v>
      </c>
      <c r="F5123" s="89" t="str">
        <v/>
      </c>
      <c r="G5123" s="89" t="str">
        <f ca="1"/>
        <v/>
      </c>
    </row>
    <row r="5124" spans="1:7" x14ac:dyDescent="0.3">
      <c r="A5124" s="89" t="str">
        <v/>
      </c>
      <c r="B5124" s="89" t="str">
        <v xml:space="preserve">Resguardo de Maquinas &amp; Equipos </v>
      </c>
      <c r="C5124" s="90" t="str">
        <v/>
      </c>
      <c r="D5124" s="89" t="str">
        <v>Periódica</v>
      </c>
      <c r="E5124" s="89">
        <v>365</v>
      </c>
      <c r="F5124" s="89" t="str">
        <v/>
      </c>
      <c r="G5124" s="89" t="str">
        <f ca="1"/>
        <v/>
      </c>
    </row>
    <row r="5125" spans="1:7" x14ac:dyDescent="0.3">
      <c r="A5125" s="89" t="str">
        <v/>
      </c>
      <c r="B5125" s="89" t="str">
        <v>Conduccion y Gestion de Viajes (Todos)</v>
      </c>
      <c r="C5125" s="90" t="str">
        <v/>
      </c>
      <c r="D5125" s="89" t="str">
        <v>Periódica</v>
      </c>
      <c r="E5125" s="89">
        <v>730</v>
      </c>
      <c r="F5125" s="89" t="str">
        <v/>
      </c>
      <c r="G5125" s="89" t="str">
        <f ca="1"/>
        <v/>
      </c>
    </row>
    <row r="5126" spans="1:7" x14ac:dyDescent="0.3">
      <c r="A5126" s="89" t="str">
        <v/>
      </c>
      <c r="B5126" s="89" t="str">
        <v>Conduccion y Gestion de Viajes (Conductores)</v>
      </c>
      <c r="C5126" s="90" t="str">
        <v/>
      </c>
      <c r="D5126" s="89" t="str">
        <v>Periódica</v>
      </c>
      <c r="E5126" s="89">
        <v>1095</v>
      </c>
      <c r="F5126" s="89" t="str">
        <v/>
      </c>
      <c r="G5126" s="89" t="str">
        <f ca="1"/>
        <v/>
      </c>
    </row>
    <row r="5127" spans="1:7" x14ac:dyDescent="0.3">
      <c r="A5127" s="89" t="str">
        <v/>
      </c>
      <c r="B5127" s="89" t="str">
        <v>Patogenos Transmitidos por la Sangre</v>
      </c>
      <c r="C5127" s="90" t="str">
        <v/>
      </c>
      <c r="D5127" s="89" t="str">
        <v>Periódica</v>
      </c>
      <c r="E5127" s="89">
        <v>365</v>
      </c>
      <c r="F5127" s="89" t="str">
        <v/>
      </c>
      <c r="G5127" s="89" t="str">
        <f ca="1"/>
        <v/>
      </c>
    </row>
    <row r="5128" spans="1:7" x14ac:dyDescent="0.3">
      <c r="A5128" s="89" t="str">
        <v/>
      </c>
      <c r="B5128" s="89" t="str">
        <v>Conservacion Auditiva</v>
      </c>
      <c r="C5128" s="90" t="str">
        <v/>
      </c>
      <c r="D5128" s="89" t="str">
        <v>Periódica</v>
      </c>
      <c r="E5128" s="89">
        <v>365</v>
      </c>
      <c r="F5128" s="89" t="str">
        <v/>
      </c>
      <c r="G5128" s="89" t="str">
        <f ca="1"/>
        <v/>
      </c>
    </row>
    <row r="5129" spans="1:7" x14ac:dyDescent="0.3">
      <c r="A5129" s="89" t="str">
        <v/>
      </c>
      <c r="B5129" s="89" t="str">
        <v xml:space="preserve">Ergonomia //  / Levantamiento &amp; Seguridad en la Espalda </v>
      </c>
      <c r="C5129" s="90" t="str">
        <v/>
      </c>
      <c r="D5129" s="89" t="str">
        <v>Periódica</v>
      </c>
      <c r="E5129" s="89">
        <v>365</v>
      </c>
      <c r="F5129" s="89" t="str">
        <v/>
      </c>
      <c r="G5129" s="89" t="str">
        <f ca="1"/>
        <v/>
      </c>
    </row>
    <row r="5130" spans="1:7" x14ac:dyDescent="0.3">
      <c r="A5130" s="89" t="str">
        <v/>
      </c>
      <c r="B5130" s="89" t="str">
        <v>Superficies Elevadas (Todos)</v>
      </c>
      <c r="C5130" s="90" t="str">
        <v/>
      </c>
      <c r="D5130" s="89" t="str">
        <v>Periódica</v>
      </c>
      <c r="E5130" s="89">
        <v>365</v>
      </c>
      <c r="F5130" s="89" t="str">
        <v/>
      </c>
      <c r="G5130" s="89" t="str">
        <f ca="1"/>
        <v/>
      </c>
    </row>
    <row r="5131" spans="1:7" x14ac:dyDescent="0.3">
      <c r="A5131" s="89" t="str">
        <v/>
      </c>
      <c r="B5131" s="89" t="str">
        <v>Superficies Elevadas (Personal Habilitado)</v>
      </c>
      <c r="C5131" s="90" t="str">
        <v/>
      </c>
      <c r="D5131" s="89" t="str">
        <v>Periódica</v>
      </c>
      <c r="E5131" s="89">
        <v>365</v>
      </c>
      <c r="F5131" s="89" t="str">
        <v/>
      </c>
      <c r="G5131" s="89" t="str">
        <f ca="1"/>
        <v/>
      </c>
    </row>
    <row r="5132" spans="1:7" x14ac:dyDescent="0.3">
      <c r="A5132" s="89" t="str">
        <v/>
      </c>
      <c r="B5132" s="89" t="str">
        <v>Seguridad Quimica (Todos)</v>
      </c>
      <c r="C5132" s="90" t="str">
        <v/>
      </c>
      <c r="D5132" s="89" t="str">
        <v>Periódica</v>
      </c>
      <c r="E5132" s="89">
        <v>730</v>
      </c>
      <c r="F5132" s="89" t="str">
        <v/>
      </c>
      <c r="G5132" s="89" t="str">
        <f ca="1"/>
        <v/>
      </c>
    </row>
    <row r="5133" spans="1:7" x14ac:dyDescent="0.3">
      <c r="A5133" s="89" t="str">
        <v/>
      </c>
      <c r="B5133" s="89" t="str">
        <v>Seguridad Quimica (Mantenimiento)</v>
      </c>
      <c r="C5133" s="90" t="str">
        <v/>
      </c>
      <c r="D5133" s="89" t="str">
        <v>Periódica</v>
      </c>
      <c r="E5133" s="89">
        <v>365</v>
      </c>
      <c r="F5133" s="89" t="str">
        <v/>
      </c>
      <c r="G5133" s="89" t="str">
        <f ca="1"/>
        <v/>
      </c>
    </row>
    <row r="5134" spans="1:7" x14ac:dyDescent="0.3">
      <c r="A5134" s="89" t="str">
        <v/>
      </c>
      <c r="B5134" s="89" t="str">
        <v>Seguridad Quimica (Contratistas)</v>
      </c>
      <c r="C5134" s="90" t="str">
        <v/>
      </c>
      <c r="D5134" s="89" t="str">
        <v>Periódica</v>
      </c>
      <c r="E5134" s="89">
        <v>365</v>
      </c>
      <c r="F5134" s="89" t="str">
        <v/>
      </c>
      <c r="G5134" s="89" t="str">
        <f ca="1"/>
        <v/>
      </c>
    </row>
    <row r="5135" spans="1:7" x14ac:dyDescent="0.3">
      <c r="A5135" s="89" t="str">
        <v/>
      </c>
      <c r="B5135" s="89" t="str">
        <v>Seguridad para Trabajos en Caliente</v>
      </c>
      <c r="C5135" s="90" t="str">
        <v/>
      </c>
      <c r="D5135" s="89" t="str">
        <v>Periódica</v>
      </c>
      <c r="E5135" s="89">
        <v>365</v>
      </c>
      <c r="F5135" s="89" t="str">
        <v/>
      </c>
      <c r="G5135" s="89" t="str">
        <f ca="1"/>
        <v/>
      </c>
    </row>
    <row r="5136" spans="1:7" x14ac:dyDescent="0.3">
      <c r="A5136" s="89" t="str">
        <v/>
      </c>
      <c r="B5136" s="89" t="str">
        <v>Seguridad con la Radiacion</v>
      </c>
      <c r="C5136" s="90" t="str">
        <v/>
      </c>
      <c r="D5136" s="89" t="str">
        <v>Periódica</v>
      </c>
      <c r="E5136" s="89">
        <v>365</v>
      </c>
      <c r="F5136" s="89" t="str">
        <v/>
      </c>
      <c r="G5136" s="89" t="str">
        <f ca="1"/>
        <v/>
      </c>
    </row>
    <row r="5137" spans="1:7" x14ac:dyDescent="0.3">
      <c r="A5137" s="89" t="str">
        <v/>
      </c>
      <c r="B5137" s="89" t="str">
        <v>Equipo de Proteccion Personal (PPE)</v>
      </c>
      <c r="C5137" s="90" t="str">
        <v/>
      </c>
      <c r="D5137" s="89" t="str">
        <v>Periódica</v>
      </c>
      <c r="E5137" s="89">
        <v>365</v>
      </c>
      <c r="F5137" s="89" t="str">
        <v/>
      </c>
      <c r="G5137" s="89" t="str">
        <f ca="1"/>
        <v/>
      </c>
    </row>
    <row r="5138" spans="1:7" x14ac:dyDescent="0.3">
      <c r="A5138" s="89" t="str">
        <v/>
      </c>
      <c r="B5138" s="89" t="str">
        <v>Proteccion Respiratoria</v>
      </c>
      <c r="C5138" s="90" t="str">
        <v/>
      </c>
      <c r="D5138" s="89" t="str">
        <v>Periódica</v>
      </c>
      <c r="E5138" s="89">
        <v>365</v>
      </c>
      <c r="F5138" s="89" t="str">
        <v/>
      </c>
      <c r="G5138" s="89" t="str">
        <f ca="1"/>
        <v/>
      </c>
    </row>
    <row r="5139" spans="1:7" x14ac:dyDescent="0.3">
      <c r="A5139" s="89" t="str">
        <v/>
      </c>
      <c r="B5139" s="89" t="str">
        <v xml:space="preserve">Seguridad con Escaleras </v>
      </c>
      <c r="C5139" s="90" t="str">
        <v/>
      </c>
      <c r="D5139" s="89" t="str">
        <v>Periódica</v>
      </c>
      <c r="E5139" s="89">
        <v>365</v>
      </c>
      <c r="F5139" s="89" t="str">
        <v/>
      </c>
      <c r="G5139" s="89" t="str">
        <f ca="1"/>
        <v/>
      </c>
    </row>
    <row r="5140" spans="1:7" x14ac:dyDescent="0.3">
      <c r="A5140" s="89" t="str">
        <v/>
      </c>
      <c r="B5140" s="89" t="str">
        <v>Seguridad con Escaleras // Estantes de Almacenamiento</v>
      </c>
      <c r="C5140" s="90" t="str">
        <v/>
      </c>
      <c r="D5140" s="89" t="str">
        <v>Periódica</v>
      </c>
      <c r="E5140" s="89">
        <v>365</v>
      </c>
      <c r="F5140" s="89" t="str">
        <v/>
      </c>
      <c r="G5140" s="89" t="str">
        <f ca="1"/>
        <v/>
      </c>
    </row>
    <row r="5141" spans="1:7" x14ac:dyDescent="0.3">
      <c r="A5141" s="89" t="str">
        <v/>
      </c>
      <c r="B5141" s="89" t="str">
        <v>Responsabilidades del Supervisor</v>
      </c>
      <c r="C5141" s="90" t="str">
        <v/>
      </c>
      <c r="D5141" s="89" t="str">
        <v>Periódica</v>
      </c>
      <c r="E5141" s="89">
        <v>365</v>
      </c>
      <c r="F5141" s="89" t="str">
        <v/>
      </c>
      <c r="G5141" s="89" t="str">
        <f ca="1"/>
        <v/>
      </c>
    </row>
    <row r="5142" spans="1:7" x14ac:dyDescent="0.3">
      <c r="A5142" s="89" t="str">
        <v/>
      </c>
      <c r="B5142" s="89" t="str">
        <v>Espacios Confinados (Todos)</v>
      </c>
      <c r="C5142" s="90" t="str">
        <v/>
      </c>
      <c r="D5142" s="89" t="str">
        <v>Periódica</v>
      </c>
      <c r="E5142" s="89">
        <v>365</v>
      </c>
      <c r="F5142" s="89" t="str">
        <v/>
      </c>
      <c r="G5142" s="89" t="str">
        <f ca="1"/>
        <v/>
      </c>
    </row>
    <row r="5143" spans="1:7" x14ac:dyDescent="0.3">
      <c r="A5143" s="89" t="str">
        <v/>
      </c>
      <c r="B5143" s="89" t="str">
        <v>HSMS.017 / Espacios Confinados (Entrantes)</v>
      </c>
      <c r="C5143" s="90" t="str">
        <v/>
      </c>
      <c r="D5143" s="89" t="str">
        <v>Evento</v>
      </c>
      <c r="E5143" s="89">
        <v>0</v>
      </c>
      <c r="F5143" s="89" t="str">
        <v/>
      </c>
      <c r="G5143" s="89" t="str">
        <f ca="1"/>
        <v/>
      </c>
    </row>
    <row r="5144" spans="1:7" x14ac:dyDescent="0.3">
      <c r="A5144" s="89" t="str">
        <v/>
      </c>
      <c r="B5144" s="89" t="str">
        <v>Programa de Agua (Todos)</v>
      </c>
      <c r="C5144" s="90" t="str">
        <v/>
      </c>
      <c r="D5144" s="89" t="str">
        <v>Evento</v>
      </c>
      <c r="E5144" s="89">
        <v>0</v>
      </c>
      <c r="F5144" s="89" t="str">
        <v/>
      </c>
      <c r="G5144" s="89" t="str">
        <f ca="1"/>
        <v/>
      </c>
    </row>
    <row r="5145" spans="1:7" x14ac:dyDescent="0.3">
      <c r="A5145" s="89" t="str">
        <v/>
      </c>
      <c r="B5145" s="89" t="str">
        <v>Programa de Agua (HSE)</v>
      </c>
      <c r="C5145" s="90" t="str">
        <v/>
      </c>
      <c r="D5145" s="89" t="str">
        <v>Evento</v>
      </c>
      <c r="E5145" s="89">
        <v>0</v>
      </c>
      <c r="F5145" s="89" t="str">
        <v/>
      </c>
      <c r="G5145" s="89" t="str">
        <f ca="1"/>
        <v/>
      </c>
    </row>
    <row r="5146" spans="1:7" x14ac:dyDescent="0.3">
      <c r="A5146" s="89" t="str">
        <v/>
      </c>
      <c r="B5146" s="89" t="str">
        <v>HIV/SIDA y otras enfermedades de transmisión sexual (ETS)</v>
      </c>
      <c r="C5146" s="90" t="str">
        <v/>
      </c>
      <c r="D5146" s="89" t="str">
        <v>Periódica</v>
      </c>
      <c r="E5146" s="89">
        <v>365</v>
      </c>
      <c r="F5146" s="89" t="str">
        <v/>
      </c>
      <c r="G5146" s="89" t="str">
        <f ca="1"/>
        <v/>
      </c>
    </row>
    <row r="5147" spans="1:7" x14ac:dyDescent="0.3">
      <c r="A5147" s="89" t="str">
        <v/>
      </c>
      <c r="B5147" s="89" t="str">
        <v>Drogas de abuso (concientización y prevención)</v>
      </c>
      <c r="C5147" s="90" t="str">
        <v/>
      </c>
      <c r="D5147" s="89" t="str">
        <v>Periódica</v>
      </c>
      <c r="E5147" s="89">
        <v>365</v>
      </c>
      <c r="F5147" s="89" t="str">
        <v/>
      </c>
      <c r="G5147" s="89" t="str">
        <f ca="1"/>
        <v/>
      </c>
    </row>
    <row r="5148" spans="1:7" x14ac:dyDescent="0.3">
      <c r="A5148" s="89" t="str">
        <v/>
      </c>
      <c r="B5148" s="89" t="str">
        <v>Vida saludable (hábitos, autocuidado y bienestar)</v>
      </c>
      <c r="C5148" s="90" t="str">
        <v/>
      </c>
      <c r="D5148" s="89" t="str">
        <v>Periódica</v>
      </c>
      <c r="E5148" s="89">
        <v>365</v>
      </c>
      <c r="F5148" s="89" t="str">
        <v/>
      </c>
      <c r="G5148" s="89" t="str">
        <f ca="1"/>
        <v/>
      </c>
    </row>
    <row r="5149" spans="1:7" x14ac:dyDescent="0.3">
      <c r="A5149" s="89" t="str">
        <v/>
      </c>
      <c r="B5149" s="89" t="str">
        <v>Primeros auxilios y Reanimación Cardio Pulmonar (RCP)</v>
      </c>
      <c r="C5149" s="90" t="str">
        <v/>
      </c>
      <c r="D5149" s="89" t="str">
        <v>Periódica</v>
      </c>
      <c r="E5149" s="89">
        <v>365</v>
      </c>
      <c r="F5149" s="89" t="str">
        <v/>
      </c>
      <c r="G5149" s="89" t="str">
        <f ca="1"/>
        <v/>
      </c>
    </row>
    <row r="5150" spans="1:7" x14ac:dyDescent="0.3">
      <c r="A5150" s="89" t="str">
        <v/>
      </c>
      <c r="B5150" s="89" t="str">
        <v>Prevención cardiovascular (factores de riesgo y señales de alarma)</v>
      </c>
      <c r="C5150" s="90" t="str">
        <v/>
      </c>
      <c r="D5150" s="89" t="str">
        <v>Periódica</v>
      </c>
      <c r="E5150" s="89">
        <v>365</v>
      </c>
      <c r="F5150" s="89" t="str">
        <v/>
      </c>
      <c r="G5150" s="89" t="str">
        <f ca="1"/>
        <v/>
      </c>
    </row>
    <row r="5151" spans="1:7" x14ac:dyDescent="0.3">
      <c r="A5151" s="89" t="str">
        <v/>
      </c>
      <c r="B5151" s="89" t="str">
        <v>Efectos del tabaco sobre la salud</v>
      </c>
      <c r="C5151" s="90" t="str">
        <v/>
      </c>
      <c r="D5151" s="89" t="str">
        <v>Periódica</v>
      </c>
      <c r="E5151" s="89">
        <v>365</v>
      </c>
      <c r="F5151" s="89" t="str">
        <v/>
      </c>
      <c r="G5151" s="89" t="str">
        <f ca="1"/>
        <v/>
      </c>
    </row>
    <row r="5152" spans="1:7" x14ac:dyDescent="0.3">
      <c r="A5152" s="89" t="str">
        <v/>
      </c>
      <c r="B5152" s="89" t="str">
        <v>Cargadora (Op. Montacargas)</v>
      </c>
      <c r="C5152" s="90" t="str">
        <v/>
      </c>
      <c r="D5152" s="89" t="str">
        <v>Periódica</v>
      </c>
      <c r="E5152" s="89">
        <v>365</v>
      </c>
      <c r="F5152" s="89" t="str">
        <v/>
      </c>
      <c r="G5152" s="89" t="str">
        <f ca="1"/>
        <v/>
      </c>
    </row>
    <row r="5153" spans="1:7" x14ac:dyDescent="0.3">
      <c r="A5153" s="89" t="str">
        <v/>
      </c>
      <c r="B5153" s="89">
        <v>0</v>
      </c>
      <c r="C5153" s="90" t="str">
        <v/>
      </c>
      <c r="D5153" s="89" t="str">
        <v/>
      </c>
      <c r="E5153" s="89" t="str">
        <v/>
      </c>
      <c r="F5153" s="89" t="str">
        <v/>
      </c>
      <c r="G5153" s="89" t="str">
        <f ca="1"/>
        <v/>
      </c>
    </row>
    <row r="5154" spans="1:7" x14ac:dyDescent="0.3">
      <c r="A5154" s="89" t="str">
        <v/>
      </c>
      <c r="B5154" s="89">
        <v>0</v>
      </c>
      <c r="C5154" s="90" t="str">
        <v/>
      </c>
      <c r="D5154" s="89" t="str">
        <v/>
      </c>
      <c r="E5154" s="89" t="str">
        <v/>
      </c>
      <c r="F5154" s="89" t="str">
        <v/>
      </c>
      <c r="G5154" s="89" t="str">
        <f ca="1"/>
        <v/>
      </c>
    </row>
    <row r="5155" spans="1:7" x14ac:dyDescent="0.3">
      <c r="A5155" s="89" t="str">
        <v/>
      </c>
      <c r="B5155" s="89">
        <v>0</v>
      </c>
      <c r="C5155" s="90" t="str">
        <v/>
      </c>
      <c r="D5155" s="89" t="str">
        <v/>
      </c>
      <c r="E5155" s="89" t="str">
        <v/>
      </c>
      <c r="F5155" s="89" t="str">
        <v/>
      </c>
      <c r="G5155" s="89" t="str">
        <f ca="1"/>
        <v/>
      </c>
    </row>
    <row r="5156" spans="1:7" x14ac:dyDescent="0.3">
      <c r="A5156" s="89" t="str">
        <v/>
      </c>
      <c r="B5156" s="89">
        <v>0</v>
      </c>
      <c r="C5156" s="90" t="str">
        <v/>
      </c>
      <c r="D5156" s="89" t="str">
        <v/>
      </c>
      <c r="E5156" s="89" t="str">
        <v/>
      </c>
      <c r="F5156" s="89" t="str">
        <v/>
      </c>
      <c r="G5156" s="89" t="str">
        <f ca="1"/>
        <v/>
      </c>
    </row>
    <row r="5157" spans="1:7" x14ac:dyDescent="0.3">
      <c r="A5157" s="89" t="str">
        <v/>
      </c>
      <c r="B5157" s="89">
        <v>0</v>
      </c>
      <c r="C5157" s="90" t="str">
        <v/>
      </c>
      <c r="D5157" s="89" t="str">
        <v/>
      </c>
      <c r="E5157" s="89" t="str">
        <v/>
      </c>
      <c r="F5157" s="89" t="str">
        <v/>
      </c>
      <c r="G5157" s="89" t="str">
        <f ca="1"/>
        <v/>
      </c>
    </row>
    <row r="5158" spans="1:7" x14ac:dyDescent="0.3">
      <c r="A5158" s="89" t="str">
        <v/>
      </c>
      <c r="B5158" s="89">
        <v>0</v>
      </c>
      <c r="C5158" s="90" t="str">
        <v/>
      </c>
      <c r="D5158" s="89" t="str">
        <v/>
      </c>
      <c r="E5158" s="89" t="str">
        <v/>
      </c>
      <c r="F5158" s="89" t="str">
        <v/>
      </c>
      <c r="G5158" s="89" t="str">
        <f ca="1"/>
        <v/>
      </c>
    </row>
    <row r="5159" spans="1:7" x14ac:dyDescent="0.3">
      <c r="A5159" s="89" t="str">
        <v/>
      </c>
      <c r="B5159" s="89">
        <v>0</v>
      </c>
      <c r="C5159" s="90" t="str">
        <v/>
      </c>
      <c r="D5159" s="89" t="str">
        <v/>
      </c>
      <c r="E5159" s="89" t="str">
        <v/>
      </c>
      <c r="F5159" s="89" t="str">
        <v/>
      </c>
      <c r="G5159" s="89" t="str">
        <f ca="1"/>
        <v/>
      </c>
    </row>
    <row r="5160" spans="1:7" x14ac:dyDescent="0.3">
      <c r="A5160" s="89" t="str">
        <v/>
      </c>
      <c r="B5160" s="89">
        <v>0</v>
      </c>
      <c r="C5160" s="90" t="str">
        <v/>
      </c>
      <c r="D5160" s="89" t="str">
        <v/>
      </c>
      <c r="E5160" s="89" t="str">
        <v/>
      </c>
      <c r="F5160" s="89" t="str">
        <v/>
      </c>
      <c r="G5160" s="89" t="str">
        <f ca="1"/>
        <v/>
      </c>
    </row>
    <row r="5161" spans="1:7" x14ac:dyDescent="0.3">
      <c r="A5161" s="89" t="str">
        <v/>
      </c>
      <c r="B5161" s="89">
        <v>0</v>
      </c>
      <c r="C5161" s="90" t="str">
        <v/>
      </c>
      <c r="D5161" s="89" t="str">
        <v/>
      </c>
      <c r="E5161" s="89" t="str">
        <v/>
      </c>
      <c r="F5161" s="89" t="str">
        <v/>
      </c>
      <c r="G5161" s="89" t="str">
        <f ca="1"/>
        <v/>
      </c>
    </row>
    <row r="5162" spans="1:7" x14ac:dyDescent="0.3">
      <c r="A5162" s="89" t="str">
        <v/>
      </c>
      <c r="B5162" s="89" t="str">
        <v>Programa de Aire</v>
      </c>
      <c r="C5162" s="90" t="str">
        <v/>
      </c>
      <c r="D5162" s="89" t="str">
        <v>Evento</v>
      </c>
      <c r="E5162" s="89">
        <v>0</v>
      </c>
      <c r="F5162" s="89" t="str">
        <v/>
      </c>
      <c r="G5162" s="89" t="str">
        <f ca="1"/>
        <v/>
      </c>
    </row>
    <row r="5163" spans="1:7" x14ac:dyDescent="0.3">
      <c r="A5163" s="89" t="str">
        <v/>
      </c>
      <c r="B5163" s="89" t="str">
        <v>Conciencia Ambiental</v>
      </c>
      <c r="C5163" s="90" t="str">
        <v/>
      </c>
      <c r="D5163" s="89" t="str">
        <v>Periódica</v>
      </c>
      <c r="E5163" s="89">
        <v>365</v>
      </c>
      <c r="F5163" s="89" t="str">
        <v/>
      </c>
      <c r="G5163" s="89" t="str">
        <f ca="1"/>
        <v/>
      </c>
    </row>
    <row r="5164" spans="1:7" x14ac:dyDescent="0.3">
      <c r="A5164" s="89" t="str">
        <v/>
      </c>
      <c r="B5164" s="89" t="str">
        <v xml:space="preserve">Control de Documentos e Informacion de HSE </v>
      </c>
      <c r="C5164" s="90" t="str">
        <v/>
      </c>
      <c r="D5164" s="89" t="str">
        <v>Evento</v>
      </c>
      <c r="E5164" s="89">
        <v>0</v>
      </c>
      <c r="F5164" s="89" t="str">
        <v/>
      </c>
      <c r="G5164" s="89" t="str">
        <f ca="1"/>
        <v/>
      </c>
    </row>
    <row r="5165" spans="1:7" x14ac:dyDescent="0.3">
      <c r="A5165" s="89" t="str">
        <v/>
      </c>
      <c r="B5165" s="89" t="str">
        <v xml:space="preserve"> Acciones Correctivas y Preventivas (CAPA)</v>
      </c>
      <c r="C5165" s="90" t="str">
        <v/>
      </c>
      <c r="D5165" s="89" t="str">
        <v>Evento</v>
      </c>
      <c r="E5165" s="89">
        <v>0</v>
      </c>
      <c r="F5165" s="89" t="str">
        <v/>
      </c>
      <c r="G5165" s="89" t="str">
        <f ca="1"/>
        <v/>
      </c>
    </row>
    <row r="5166" spans="1:7" x14ac:dyDescent="0.3">
      <c r="A5166" s="89" t="str">
        <v/>
      </c>
      <c r="B5166" s="89" t="str">
        <v>Seguridad Basada en el Comportamiento (Observation Program) // HSMS.043 / Autoridad de Detener el Trabajo</v>
      </c>
      <c r="C5166" s="90" t="str">
        <v/>
      </c>
      <c r="D5166" s="89" t="str">
        <v>Periódica</v>
      </c>
      <c r="E5166" s="89">
        <v>365</v>
      </c>
      <c r="F5166" s="89" t="str">
        <v/>
      </c>
      <c r="G5166" s="89" t="str">
        <f ca="1"/>
        <v/>
      </c>
    </row>
    <row r="5167" spans="1:7" x14ac:dyDescent="0.3">
      <c r="A5167" s="89" t="str">
        <v/>
      </c>
      <c r="B5167" s="89" t="str">
        <v>Identificacion de Peligros y Evaluacion de Riesgos</v>
      </c>
      <c r="C5167" s="90" t="str">
        <v/>
      </c>
      <c r="D5167" s="89" t="str">
        <v>Evento</v>
      </c>
      <c r="E5167" s="89">
        <v>0</v>
      </c>
      <c r="F5167" s="89" t="str">
        <v/>
      </c>
      <c r="G5167" s="89" t="str">
        <f ca="1"/>
        <v/>
      </c>
    </row>
    <row r="5168" spans="1:7" x14ac:dyDescent="0.3">
      <c r="A5168" s="89" t="str">
        <v/>
      </c>
      <c r="B5168" s="89" t="str">
        <v xml:space="preserve"> Plan de Respuesta ante Eemergencias / HSMS.010 /Primeros Axulios &amp; RCP/DEA / HSMSWT-002 / Patogenos Trasnmitidos por la Sangre</v>
      </c>
      <c r="C5168" s="90" t="str">
        <v/>
      </c>
      <c r="D5168" s="89" t="str">
        <v>Periódica</v>
      </c>
      <c r="E5168" s="89">
        <v>365</v>
      </c>
      <c r="F5168" s="89" t="str">
        <v/>
      </c>
      <c r="G5168" s="89" t="str">
        <f ca="1"/>
        <v/>
      </c>
    </row>
    <row r="5169" spans="1:7" x14ac:dyDescent="0.3">
      <c r="A5169" s="89" t="str">
        <v/>
      </c>
      <c r="B5169" s="89" t="str">
        <v>Reporte y Gestion de Incidentes HSE (Todos)</v>
      </c>
      <c r="C5169" s="90" t="str">
        <v/>
      </c>
      <c r="D5169" s="89" t="str">
        <v>Periódica</v>
      </c>
      <c r="E5169" s="89">
        <v>365</v>
      </c>
      <c r="F5169" s="89" t="str">
        <v/>
      </c>
      <c r="G5169" s="89" t="str">
        <f ca="1"/>
        <v/>
      </c>
    </row>
    <row r="5170" spans="1:7" x14ac:dyDescent="0.3">
      <c r="A5170" s="89" t="str">
        <v/>
      </c>
      <c r="B5170" s="89" t="str">
        <v>Reporte, Gestion e Investigacion de Incidentes HSE (supervisores / investigadores (rol))</v>
      </c>
      <c r="C5170" s="90" t="str">
        <v/>
      </c>
      <c r="D5170" s="89" t="str">
        <v>Periódica</v>
      </c>
      <c r="E5170" s="89">
        <v>1095</v>
      </c>
      <c r="F5170" s="89" t="str">
        <v/>
      </c>
      <c r="G5170" s="89" t="str">
        <f ca="1"/>
        <v/>
      </c>
    </row>
    <row r="5171" spans="1:7" x14ac:dyDescent="0.3">
      <c r="A5171" s="89" t="str">
        <v/>
      </c>
      <c r="B5171" s="89" t="str">
        <v>Gruas y Equipos de Izaje (Todos)</v>
      </c>
      <c r="C5171" s="90" t="str">
        <v/>
      </c>
      <c r="D5171" s="89" t="str">
        <v>Periódica</v>
      </c>
      <c r="E5171" s="89">
        <v>365</v>
      </c>
      <c r="F5171" s="89" t="str">
        <v/>
      </c>
      <c r="G5171" s="89" t="str">
        <f ca="1"/>
        <v/>
      </c>
    </row>
    <row r="5172" spans="1:7" x14ac:dyDescent="0.3">
      <c r="A5172" s="89" t="str">
        <v/>
      </c>
      <c r="B5172" s="89" t="str">
        <v>HSMS.007 / Gruas y Equipos de Izaje (Operadores)</v>
      </c>
      <c r="C5172" s="90" t="str">
        <v/>
      </c>
      <c r="D5172" s="89" t="str">
        <v>Periódica</v>
      </c>
      <c r="E5172" s="89">
        <v>365</v>
      </c>
      <c r="F5172" s="89" t="str">
        <v/>
      </c>
      <c r="G5172" s="89" t="str">
        <f ca="1"/>
        <v/>
      </c>
    </row>
    <row r="5173" spans="1:7" x14ac:dyDescent="0.3">
      <c r="A5173" s="89" t="str">
        <v/>
      </c>
      <c r="B5173" s="89" t="str">
        <v>Proteccion Contra Incendios (Todos)</v>
      </c>
      <c r="C5173" s="90" t="str">
        <v/>
      </c>
      <c r="D5173" s="89" t="str">
        <v>Periódica</v>
      </c>
      <c r="E5173" s="89">
        <v>365</v>
      </c>
      <c r="F5173" s="89" t="str">
        <v/>
      </c>
      <c r="G5173" s="89" t="str">
        <f ca="1"/>
        <v/>
      </c>
    </row>
    <row r="5174" spans="1:7" x14ac:dyDescent="0.3">
      <c r="A5174" s="89" t="str">
        <v/>
      </c>
      <c r="B5174" s="89" t="str">
        <v>Proteccion Contra Incendios (Brigadistas)</v>
      </c>
      <c r="C5174" s="90" t="str">
        <v/>
      </c>
      <c r="D5174" s="89" t="str">
        <v>Periódica</v>
      </c>
      <c r="E5174" s="89">
        <v>365</v>
      </c>
      <c r="F5174" s="89" t="str">
        <v/>
      </c>
      <c r="G5174" s="89" t="str">
        <f ca="1"/>
        <v/>
      </c>
    </row>
    <row r="5175" spans="1:7" x14ac:dyDescent="0.3">
      <c r="A5175" s="89" t="str">
        <v/>
      </c>
      <c r="B5175" s="89" t="str">
        <v>Primeros Auxilios (Brigadistas)</v>
      </c>
      <c r="C5175" s="90" t="str">
        <v/>
      </c>
      <c r="D5175" s="89" t="str">
        <v>Periódica</v>
      </c>
      <c r="E5175" s="89">
        <v>365</v>
      </c>
      <c r="F5175" s="89" t="str">
        <v/>
      </c>
      <c r="G5175" s="89" t="str">
        <f ca="1"/>
        <v/>
      </c>
    </row>
    <row r="5176" spans="1:7" x14ac:dyDescent="0.3">
      <c r="A5176" s="89" t="str">
        <v/>
      </c>
      <c r="B5176" s="89" t="str">
        <v>Seguridad Electrica (Todos)</v>
      </c>
      <c r="C5176" s="90" t="str">
        <v/>
      </c>
      <c r="D5176" s="89" t="str">
        <v>Periódica</v>
      </c>
      <c r="E5176" s="89">
        <v>365</v>
      </c>
      <c r="F5176" s="89" t="str">
        <v/>
      </c>
      <c r="G5176" s="89" t="str">
        <f ca="1"/>
        <v/>
      </c>
    </row>
    <row r="5177" spans="1:7" x14ac:dyDescent="0.3">
      <c r="A5177" s="89" t="str">
        <v/>
      </c>
      <c r="B5177" s="89" t="str">
        <v>Seguridad Electrica (Personal Autorizado)</v>
      </c>
      <c r="C5177" s="90" t="str">
        <v/>
      </c>
      <c r="D5177" s="89" t="str">
        <v>Periódica</v>
      </c>
      <c r="E5177" s="89">
        <v>1095</v>
      </c>
      <c r="F5177" s="89" t="str">
        <v/>
      </c>
      <c r="G5177" s="89" t="str">
        <f ca="1"/>
        <v/>
      </c>
    </row>
    <row r="5178" spans="1:7" x14ac:dyDescent="0.3">
      <c r="A5178" s="89" t="str">
        <v/>
      </c>
      <c r="B5178" s="89" t="str">
        <v>Camiones Industriales Motorizados (PIT) (Todos)</v>
      </c>
      <c r="C5178" s="90" t="str">
        <v/>
      </c>
      <c r="D5178" s="89" t="str">
        <v>Periódica</v>
      </c>
      <c r="E5178" s="89">
        <v>365</v>
      </c>
      <c r="F5178" s="89" t="str">
        <v/>
      </c>
      <c r="G5178" s="89" t="str">
        <f ca="1"/>
        <v/>
      </c>
    </row>
    <row r="5179" spans="1:7" x14ac:dyDescent="0.3">
      <c r="A5179" s="89" t="str">
        <v/>
      </c>
      <c r="B5179" s="89" t="str">
        <v>Camiones Industriales Motorizados (PIT) (Op. Montacargas)</v>
      </c>
      <c r="C5179" s="90" t="str">
        <v/>
      </c>
      <c r="D5179" s="89" t="str">
        <v>Periódica</v>
      </c>
      <c r="E5179" s="89">
        <v>365</v>
      </c>
      <c r="F5179" s="89" t="str">
        <v/>
      </c>
      <c r="G5179" s="89" t="str">
        <f ca="1"/>
        <v/>
      </c>
    </row>
    <row r="5180" spans="1:7" x14ac:dyDescent="0.3">
      <c r="A5180" s="89" t="str">
        <v/>
      </c>
      <c r="B5180" s="89" t="str">
        <v>Control de Energias Peligrosas (LOTO) (Todos)</v>
      </c>
      <c r="C5180" s="90" t="str">
        <v/>
      </c>
      <c r="D5180" s="89" t="str">
        <v>Evento</v>
      </c>
      <c r="E5180" s="89">
        <v>0</v>
      </c>
      <c r="F5180" s="89" t="str">
        <v/>
      </c>
      <c r="G5180" s="89" t="str">
        <f ca="1"/>
        <v/>
      </c>
    </row>
    <row r="5181" spans="1:7" x14ac:dyDescent="0.3">
      <c r="A5181" s="89" t="str">
        <v/>
      </c>
      <c r="B5181" s="89" t="str">
        <v>Control de Energias Peligrosas (LOTO) (Empleados Autorizados)</v>
      </c>
      <c r="C5181" s="90" t="str">
        <v/>
      </c>
      <c r="D5181" s="89" t="str">
        <v>Periódica</v>
      </c>
      <c r="E5181" s="89">
        <v>365</v>
      </c>
      <c r="F5181" s="89" t="str">
        <v/>
      </c>
      <c r="G5181" s="89" t="str">
        <f ca="1"/>
        <v/>
      </c>
    </row>
    <row r="5182" spans="1:7" x14ac:dyDescent="0.3">
      <c r="A5182" s="89" t="str">
        <v/>
      </c>
      <c r="B5182" s="89" t="str">
        <v>Seguridad aplicada al Pozo &amp; Yacimiento</v>
      </c>
      <c r="C5182" s="90" t="str">
        <v/>
      </c>
      <c r="D5182" s="89" t="str">
        <v>Periódica</v>
      </c>
      <c r="E5182" s="89">
        <v>365</v>
      </c>
      <c r="F5182" s="89" t="str">
        <v/>
      </c>
      <c r="G5182" s="89" t="str">
        <f ca="1"/>
        <v/>
      </c>
    </row>
    <row r="5183" spans="1:7" x14ac:dyDescent="0.3">
      <c r="A5183" s="89" t="str">
        <v/>
      </c>
      <c r="B5183" s="89" t="str">
        <v>Las Reglas que Salvan Vidas</v>
      </c>
      <c r="C5183" s="90" t="str">
        <v/>
      </c>
      <c r="D5183" s="89" t="str">
        <v>Periódica</v>
      </c>
      <c r="E5183" s="89">
        <v>365</v>
      </c>
      <c r="F5183" s="89" t="str">
        <v/>
      </c>
      <c r="G5183" s="89" t="str">
        <f ca="1"/>
        <v/>
      </c>
    </row>
    <row r="5184" spans="1:7" x14ac:dyDescent="0.3">
      <c r="A5184" s="89" t="str">
        <v/>
      </c>
      <c r="B5184" s="89" t="str">
        <v xml:space="preserve">Resguardo de Maquinas &amp; Equipos </v>
      </c>
      <c r="C5184" s="90" t="str">
        <v/>
      </c>
      <c r="D5184" s="89" t="str">
        <v>Periódica</v>
      </c>
      <c r="E5184" s="89">
        <v>365</v>
      </c>
      <c r="F5184" s="89" t="str">
        <v/>
      </c>
      <c r="G5184" s="89" t="str">
        <f ca="1"/>
        <v/>
      </c>
    </row>
    <row r="5185" spans="1:7" x14ac:dyDescent="0.3">
      <c r="A5185" s="89" t="str">
        <v/>
      </c>
      <c r="B5185" s="89" t="str">
        <v>Conduccion y Gestion de Viajes (Todos)</v>
      </c>
      <c r="C5185" s="90" t="str">
        <v/>
      </c>
      <c r="D5185" s="89" t="str">
        <v>Periódica</v>
      </c>
      <c r="E5185" s="89">
        <v>730</v>
      </c>
      <c r="F5185" s="89" t="str">
        <v/>
      </c>
      <c r="G5185" s="89" t="str">
        <f ca="1"/>
        <v/>
      </c>
    </row>
    <row r="5186" spans="1:7" x14ac:dyDescent="0.3">
      <c r="A5186" s="89" t="str">
        <v/>
      </c>
      <c r="B5186" s="89" t="str">
        <v>Conduccion y Gestion de Viajes (Conductores)</v>
      </c>
      <c r="C5186" s="90" t="str">
        <v/>
      </c>
      <c r="D5186" s="89" t="str">
        <v>Periódica</v>
      </c>
      <c r="E5186" s="89">
        <v>1095</v>
      </c>
      <c r="F5186" s="89" t="str">
        <v/>
      </c>
      <c r="G5186" s="89" t="str">
        <f ca="1"/>
        <v/>
      </c>
    </row>
    <row r="5187" spans="1:7" x14ac:dyDescent="0.3">
      <c r="A5187" s="89" t="str">
        <v/>
      </c>
      <c r="B5187" s="89" t="str">
        <v>Patogenos Transmitidos por la Sangre</v>
      </c>
      <c r="C5187" s="90" t="str">
        <v/>
      </c>
      <c r="D5187" s="89" t="str">
        <v>Periódica</v>
      </c>
      <c r="E5187" s="89">
        <v>365</v>
      </c>
      <c r="F5187" s="89" t="str">
        <v/>
      </c>
      <c r="G5187" s="89" t="str">
        <f ca="1"/>
        <v/>
      </c>
    </row>
    <row r="5188" spans="1:7" x14ac:dyDescent="0.3">
      <c r="A5188" s="89" t="str">
        <v/>
      </c>
      <c r="B5188" s="89" t="str">
        <v>Conservacion Auditiva</v>
      </c>
      <c r="C5188" s="90" t="str">
        <v/>
      </c>
      <c r="D5188" s="89" t="str">
        <v>Periódica</v>
      </c>
      <c r="E5188" s="89">
        <v>365</v>
      </c>
      <c r="F5188" s="89" t="str">
        <v/>
      </c>
      <c r="G5188" s="89" t="str">
        <f ca="1"/>
        <v/>
      </c>
    </row>
    <row r="5189" spans="1:7" x14ac:dyDescent="0.3">
      <c r="A5189" s="89" t="str">
        <v/>
      </c>
      <c r="B5189" s="89" t="str">
        <v xml:space="preserve">Ergonomia //  / Levantamiento &amp; Seguridad en la Espalda </v>
      </c>
      <c r="C5189" s="90" t="str">
        <v/>
      </c>
      <c r="D5189" s="89" t="str">
        <v>Periódica</v>
      </c>
      <c r="E5189" s="89">
        <v>365</v>
      </c>
      <c r="F5189" s="89" t="str">
        <v/>
      </c>
      <c r="G5189" s="89" t="str">
        <f ca="1"/>
        <v/>
      </c>
    </row>
    <row r="5190" spans="1:7" x14ac:dyDescent="0.3">
      <c r="A5190" s="89" t="str">
        <v/>
      </c>
      <c r="B5190" s="89" t="str">
        <v>Superficies Elevadas (Todos)</v>
      </c>
      <c r="C5190" s="90" t="str">
        <v/>
      </c>
      <c r="D5190" s="89" t="str">
        <v>Periódica</v>
      </c>
      <c r="E5190" s="89">
        <v>365</v>
      </c>
      <c r="F5190" s="89" t="str">
        <v/>
      </c>
      <c r="G5190" s="89" t="str">
        <f ca="1"/>
        <v/>
      </c>
    </row>
    <row r="5191" spans="1:7" x14ac:dyDescent="0.3">
      <c r="A5191" s="89" t="str">
        <v/>
      </c>
      <c r="B5191" s="89" t="str">
        <v>Superficies Elevadas (Personal Habilitado)</v>
      </c>
      <c r="C5191" s="90" t="str">
        <v/>
      </c>
      <c r="D5191" s="89" t="str">
        <v>Periódica</v>
      </c>
      <c r="E5191" s="89">
        <v>365</v>
      </c>
      <c r="F5191" s="89" t="str">
        <v/>
      </c>
      <c r="G5191" s="89" t="str">
        <f ca="1"/>
        <v/>
      </c>
    </row>
    <row r="5192" spans="1:7" x14ac:dyDescent="0.3">
      <c r="A5192" s="89" t="str">
        <v/>
      </c>
      <c r="B5192" s="89" t="str">
        <v>Seguridad Quimica (Todos)</v>
      </c>
      <c r="C5192" s="90" t="str">
        <v/>
      </c>
      <c r="D5192" s="89" t="str">
        <v>Periódica</v>
      </c>
      <c r="E5192" s="89">
        <v>730</v>
      </c>
      <c r="F5192" s="89" t="str">
        <v/>
      </c>
      <c r="G5192" s="89" t="str">
        <f ca="1"/>
        <v/>
      </c>
    </row>
    <row r="5193" spans="1:7" x14ac:dyDescent="0.3">
      <c r="A5193" s="89" t="str">
        <v/>
      </c>
      <c r="B5193" s="89" t="str">
        <v>Seguridad Quimica (Mantenimiento)</v>
      </c>
      <c r="C5193" s="90" t="str">
        <v/>
      </c>
      <c r="D5193" s="89" t="str">
        <v>Periódica</v>
      </c>
      <c r="E5193" s="89">
        <v>365</v>
      </c>
      <c r="F5193" s="89" t="str">
        <v/>
      </c>
      <c r="G5193" s="89" t="str">
        <f ca="1"/>
        <v/>
      </c>
    </row>
    <row r="5194" spans="1:7" x14ac:dyDescent="0.3">
      <c r="A5194" s="89" t="str">
        <v/>
      </c>
      <c r="B5194" s="89" t="str">
        <v>Seguridad Quimica (Contratistas)</v>
      </c>
      <c r="C5194" s="90" t="str">
        <v/>
      </c>
      <c r="D5194" s="89" t="str">
        <v>Periódica</v>
      </c>
      <c r="E5194" s="89">
        <v>365</v>
      </c>
      <c r="F5194" s="89" t="str">
        <v/>
      </c>
      <c r="G5194" s="89" t="str">
        <f ca="1"/>
        <v/>
      </c>
    </row>
    <row r="5195" spans="1:7" x14ac:dyDescent="0.3">
      <c r="A5195" s="89" t="str">
        <v/>
      </c>
      <c r="B5195" s="89" t="str">
        <v>Seguridad para Trabajos en Caliente</v>
      </c>
      <c r="C5195" s="90" t="str">
        <v/>
      </c>
      <c r="D5195" s="89" t="str">
        <v>Periódica</v>
      </c>
      <c r="E5195" s="89">
        <v>365</v>
      </c>
      <c r="F5195" s="89" t="str">
        <v/>
      </c>
      <c r="G5195" s="89" t="str">
        <f ca="1"/>
        <v/>
      </c>
    </row>
    <row r="5196" spans="1:7" x14ac:dyDescent="0.3">
      <c r="A5196" s="89" t="str">
        <v/>
      </c>
      <c r="B5196" s="89" t="str">
        <v>Seguridad con la Radiacion</v>
      </c>
      <c r="C5196" s="90" t="str">
        <v/>
      </c>
      <c r="D5196" s="89" t="str">
        <v>Periódica</v>
      </c>
      <c r="E5196" s="89">
        <v>365</v>
      </c>
      <c r="F5196" s="89" t="str">
        <v/>
      </c>
      <c r="G5196" s="89" t="str">
        <f ca="1"/>
        <v/>
      </c>
    </row>
    <row r="5197" spans="1:7" x14ac:dyDescent="0.3">
      <c r="A5197" s="89" t="str">
        <v/>
      </c>
      <c r="B5197" s="89" t="str">
        <v>Equipo de Proteccion Personal (PPE)</v>
      </c>
      <c r="C5197" s="90" t="str">
        <v/>
      </c>
      <c r="D5197" s="89" t="str">
        <v>Periódica</v>
      </c>
      <c r="E5197" s="89">
        <v>365</v>
      </c>
      <c r="F5197" s="89" t="str">
        <v/>
      </c>
      <c r="G5197" s="89" t="str">
        <f ca="1"/>
        <v/>
      </c>
    </row>
    <row r="5198" spans="1:7" x14ac:dyDescent="0.3">
      <c r="A5198" s="89" t="str">
        <v/>
      </c>
      <c r="B5198" s="89" t="str">
        <v>Proteccion Respiratoria</v>
      </c>
      <c r="C5198" s="90" t="str">
        <v/>
      </c>
      <c r="D5198" s="89" t="str">
        <v>Periódica</v>
      </c>
      <c r="E5198" s="89">
        <v>365</v>
      </c>
      <c r="F5198" s="89" t="str">
        <v/>
      </c>
      <c r="G5198" s="89" t="str">
        <f ca="1"/>
        <v/>
      </c>
    </row>
    <row r="5199" spans="1:7" x14ac:dyDescent="0.3">
      <c r="A5199" s="89" t="str">
        <v/>
      </c>
      <c r="B5199" s="89" t="str">
        <v xml:space="preserve">Seguridad con Escaleras </v>
      </c>
      <c r="C5199" s="90" t="str">
        <v/>
      </c>
      <c r="D5199" s="89" t="str">
        <v>Periódica</v>
      </c>
      <c r="E5199" s="89">
        <v>365</v>
      </c>
      <c r="F5199" s="89" t="str">
        <v/>
      </c>
      <c r="G5199" s="89" t="str">
        <f ca="1"/>
        <v/>
      </c>
    </row>
    <row r="5200" spans="1:7" x14ac:dyDescent="0.3">
      <c r="A5200" s="89" t="str">
        <v/>
      </c>
      <c r="B5200" s="89" t="str">
        <v>Seguridad con Escaleras // Estantes de Almacenamiento</v>
      </c>
      <c r="C5200" s="90" t="str">
        <v/>
      </c>
      <c r="D5200" s="89" t="str">
        <v>Periódica</v>
      </c>
      <c r="E5200" s="89">
        <v>365</v>
      </c>
      <c r="F5200" s="89" t="str">
        <v/>
      </c>
      <c r="G5200" s="89" t="str">
        <f ca="1"/>
        <v/>
      </c>
    </row>
    <row r="5201" spans="1:7" x14ac:dyDescent="0.3">
      <c r="A5201" s="89" t="str">
        <v/>
      </c>
      <c r="B5201" s="89" t="str">
        <v>Responsabilidades del Supervisor</v>
      </c>
      <c r="C5201" s="90" t="str">
        <v/>
      </c>
      <c r="D5201" s="89" t="str">
        <v>Periódica</v>
      </c>
      <c r="E5201" s="89">
        <v>365</v>
      </c>
      <c r="F5201" s="89" t="str">
        <v/>
      </c>
      <c r="G5201" s="89" t="str">
        <f ca="1"/>
        <v/>
      </c>
    </row>
    <row r="5202" spans="1:7" x14ac:dyDescent="0.3">
      <c r="A5202" s="89" t="str">
        <v/>
      </c>
      <c r="B5202" s="89" t="str">
        <v>Espacios Confinados (Todos)</v>
      </c>
      <c r="C5202" s="90" t="str">
        <v/>
      </c>
      <c r="D5202" s="89" t="str">
        <v>Periódica</v>
      </c>
      <c r="E5202" s="89">
        <v>365</v>
      </c>
      <c r="F5202" s="89" t="str">
        <v/>
      </c>
      <c r="G5202" s="89" t="str">
        <f ca="1"/>
        <v/>
      </c>
    </row>
    <row r="5203" spans="1:7" x14ac:dyDescent="0.3">
      <c r="A5203" s="89" t="str">
        <v/>
      </c>
      <c r="B5203" s="89" t="str">
        <v>HSMS.017 / Espacios Confinados (Entrantes)</v>
      </c>
      <c r="C5203" s="90" t="str">
        <v/>
      </c>
      <c r="D5203" s="89" t="str">
        <v>Evento</v>
      </c>
      <c r="E5203" s="89">
        <v>0</v>
      </c>
      <c r="F5203" s="89" t="str">
        <v/>
      </c>
      <c r="G5203" s="89" t="str">
        <f ca="1"/>
        <v/>
      </c>
    </row>
    <row r="5204" spans="1:7" x14ac:dyDescent="0.3">
      <c r="A5204" s="89" t="str">
        <v/>
      </c>
      <c r="B5204" s="89" t="str">
        <v>Programa de Agua (Todos)</v>
      </c>
      <c r="C5204" s="90" t="str">
        <v/>
      </c>
      <c r="D5204" s="89" t="str">
        <v>Evento</v>
      </c>
      <c r="E5204" s="89">
        <v>0</v>
      </c>
      <c r="F5204" s="89" t="str">
        <v/>
      </c>
      <c r="G5204" s="89" t="str">
        <f ca="1"/>
        <v/>
      </c>
    </row>
    <row r="5205" spans="1:7" x14ac:dyDescent="0.3">
      <c r="A5205" s="89" t="str">
        <v/>
      </c>
      <c r="B5205" s="89" t="str">
        <v>Programa de Agua (HSE)</v>
      </c>
      <c r="C5205" s="90" t="str">
        <v/>
      </c>
      <c r="D5205" s="89" t="str">
        <v>Evento</v>
      </c>
      <c r="E5205" s="89">
        <v>0</v>
      </c>
      <c r="F5205" s="89" t="str">
        <v/>
      </c>
      <c r="G5205" s="89" t="str">
        <f ca="1"/>
        <v/>
      </c>
    </row>
    <row r="5206" spans="1:7" x14ac:dyDescent="0.3">
      <c r="A5206" s="89" t="str">
        <v/>
      </c>
      <c r="B5206" s="89" t="str">
        <v>HIV/SIDA y otras enfermedades de transmisión sexual (ETS)</v>
      </c>
      <c r="C5206" s="90" t="str">
        <v/>
      </c>
      <c r="D5206" s="89" t="str">
        <v>Periódica</v>
      </c>
      <c r="E5206" s="89">
        <v>365</v>
      </c>
      <c r="F5206" s="89" t="str">
        <v/>
      </c>
      <c r="G5206" s="89" t="str">
        <f ca="1"/>
        <v/>
      </c>
    </row>
    <row r="5207" spans="1:7" x14ac:dyDescent="0.3">
      <c r="A5207" s="89" t="str">
        <v/>
      </c>
      <c r="B5207" s="89" t="str">
        <v>Drogas de abuso (concientización y prevención)</v>
      </c>
      <c r="C5207" s="90" t="str">
        <v/>
      </c>
      <c r="D5207" s="89" t="str">
        <v>Periódica</v>
      </c>
      <c r="E5207" s="89">
        <v>365</v>
      </c>
      <c r="F5207" s="89" t="str">
        <v/>
      </c>
      <c r="G5207" s="89" t="str">
        <f ca="1"/>
        <v/>
      </c>
    </row>
    <row r="5208" spans="1:7" x14ac:dyDescent="0.3">
      <c r="A5208" s="89" t="str">
        <v/>
      </c>
      <c r="B5208" s="89" t="str">
        <v>Vida saludable (hábitos, autocuidado y bienestar)</v>
      </c>
      <c r="C5208" s="90" t="str">
        <v/>
      </c>
      <c r="D5208" s="89" t="str">
        <v>Periódica</v>
      </c>
      <c r="E5208" s="89">
        <v>365</v>
      </c>
      <c r="F5208" s="89" t="str">
        <v/>
      </c>
      <c r="G5208" s="89" t="str">
        <f ca="1"/>
        <v/>
      </c>
    </row>
    <row r="5209" spans="1:7" x14ac:dyDescent="0.3">
      <c r="A5209" s="89" t="str">
        <v/>
      </c>
      <c r="B5209" s="89" t="str">
        <v>Primeros auxilios y Reanimación Cardio Pulmonar (RCP)</v>
      </c>
      <c r="C5209" s="90" t="str">
        <v/>
      </c>
      <c r="D5209" s="89" t="str">
        <v>Periódica</v>
      </c>
      <c r="E5209" s="89">
        <v>365</v>
      </c>
      <c r="F5209" s="89" t="str">
        <v/>
      </c>
      <c r="G5209" s="89" t="str">
        <f ca="1"/>
        <v/>
      </c>
    </row>
    <row r="5210" spans="1:7" x14ac:dyDescent="0.3">
      <c r="A5210" s="89" t="str">
        <v/>
      </c>
      <c r="B5210" s="89" t="str">
        <v>Prevención cardiovascular (factores de riesgo y señales de alarma)</v>
      </c>
      <c r="C5210" s="90" t="str">
        <v/>
      </c>
      <c r="D5210" s="89" t="str">
        <v>Periódica</v>
      </c>
      <c r="E5210" s="89">
        <v>365</v>
      </c>
      <c r="F5210" s="89" t="str">
        <v/>
      </c>
      <c r="G5210" s="89" t="str">
        <f ca="1"/>
        <v/>
      </c>
    </row>
    <row r="5211" spans="1:7" x14ac:dyDescent="0.3">
      <c r="A5211" s="89" t="str">
        <v/>
      </c>
      <c r="B5211" s="89" t="str">
        <v>Efectos del tabaco sobre la salud</v>
      </c>
      <c r="C5211" s="90" t="str">
        <v/>
      </c>
      <c r="D5211" s="89" t="str">
        <v>Periódica</v>
      </c>
      <c r="E5211" s="89">
        <v>365</v>
      </c>
      <c r="F5211" s="89" t="str">
        <v/>
      </c>
      <c r="G5211" s="89" t="str">
        <f ca="1"/>
        <v/>
      </c>
    </row>
    <row r="5212" spans="1:7" x14ac:dyDescent="0.3">
      <c r="A5212" s="89" t="str">
        <v/>
      </c>
      <c r="B5212" s="89" t="str">
        <v>Cargadora (Op. Montacargas)</v>
      </c>
      <c r="C5212" s="90" t="str">
        <v/>
      </c>
      <c r="D5212" s="89" t="str">
        <v>Periódica</v>
      </c>
      <c r="E5212" s="89">
        <v>365</v>
      </c>
      <c r="F5212" s="89" t="str">
        <v/>
      </c>
      <c r="G5212" s="89" t="str">
        <f ca="1"/>
        <v/>
      </c>
    </row>
    <row r="5213" spans="1:7" x14ac:dyDescent="0.3">
      <c r="A5213" s="89" t="str">
        <v/>
      </c>
      <c r="B5213" s="89">
        <v>0</v>
      </c>
      <c r="C5213" s="90" t="str">
        <v/>
      </c>
      <c r="D5213" s="89" t="str">
        <v/>
      </c>
      <c r="E5213" s="89" t="str">
        <v/>
      </c>
      <c r="F5213" s="89" t="str">
        <v/>
      </c>
      <c r="G5213" s="89" t="str">
        <f ca="1"/>
        <v/>
      </c>
    </row>
    <row r="5214" spans="1:7" x14ac:dyDescent="0.3">
      <c r="A5214" s="89" t="str">
        <v/>
      </c>
      <c r="B5214" s="89">
        <v>0</v>
      </c>
      <c r="C5214" s="90" t="str">
        <v/>
      </c>
      <c r="D5214" s="89" t="str">
        <v/>
      </c>
      <c r="E5214" s="89" t="str">
        <v/>
      </c>
      <c r="F5214" s="89" t="str">
        <v/>
      </c>
      <c r="G5214" s="89" t="str">
        <f ca="1"/>
        <v/>
      </c>
    </row>
    <row r="5215" spans="1:7" x14ac:dyDescent="0.3">
      <c r="A5215" s="89" t="str">
        <v/>
      </c>
      <c r="B5215" s="89">
        <v>0</v>
      </c>
      <c r="C5215" s="90" t="str">
        <v/>
      </c>
      <c r="D5215" s="89" t="str">
        <v/>
      </c>
      <c r="E5215" s="89" t="str">
        <v/>
      </c>
      <c r="F5215" s="89" t="str">
        <v/>
      </c>
      <c r="G5215" s="89" t="str">
        <f ca="1"/>
        <v/>
      </c>
    </row>
    <row r="5216" spans="1:7" x14ac:dyDescent="0.3">
      <c r="A5216" s="89" t="str">
        <v/>
      </c>
      <c r="B5216" s="89">
        <v>0</v>
      </c>
      <c r="C5216" s="90" t="str">
        <v/>
      </c>
      <c r="D5216" s="89" t="str">
        <v/>
      </c>
      <c r="E5216" s="89" t="str">
        <v/>
      </c>
      <c r="F5216" s="89" t="str">
        <v/>
      </c>
      <c r="G5216" s="89" t="str">
        <f ca="1"/>
        <v/>
      </c>
    </row>
    <row r="5217" spans="1:7" x14ac:dyDescent="0.3">
      <c r="A5217" s="89" t="str">
        <v/>
      </c>
      <c r="B5217" s="89">
        <v>0</v>
      </c>
      <c r="C5217" s="90" t="str">
        <v/>
      </c>
      <c r="D5217" s="89" t="str">
        <v/>
      </c>
      <c r="E5217" s="89" t="str">
        <v/>
      </c>
      <c r="F5217" s="89" t="str">
        <v/>
      </c>
      <c r="G5217" s="89" t="str">
        <f ca="1"/>
        <v/>
      </c>
    </row>
    <row r="5218" spans="1:7" x14ac:dyDescent="0.3">
      <c r="A5218" s="89" t="str">
        <v/>
      </c>
      <c r="B5218" s="89">
        <v>0</v>
      </c>
      <c r="C5218" s="90" t="str">
        <v/>
      </c>
      <c r="D5218" s="89" t="str">
        <v/>
      </c>
      <c r="E5218" s="89" t="str">
        <v/>
      </c>
      <c r="F5218" s="89" t="str">
        <v/>
      </c>
      <c r="G5218" s="89" t="str">
        <f ca="1"/>
        <v/>
      </c>
    </row>
    <row r="5219" spans="1:7" x14ac:dyDescent="0.3">
      <c r="A5219" s="89" t="str">
        <v/>
      </c>
      <c r="B5219" s="89">
        <v>0</v>
      </c>
      <c r="C5219" s="90" t="str">
        <v/>
      </c>
      <c r="D5219" s="89" t="str">
        <v/>
      </c>
      <c r="E5219" s="89" t="str">
        <v/>
      </c>
      <c r="F5219" s="89" t="str">
        <v/>
      </c>
      <c r="G5219" s="89" t="str">
        <f ca="1"/>
        <v/>
      </c>
    </row>
    <row r="5220" spans="1:7" x14ac:dyDescent="0.3">
      <c r="A5220" s="89" t="str">
        <v/>
      </c>
      <c r="B5220" s="89">
        <v>0</v>
      </c>
      <c r="C5220" s="90" t="str">
        <v/>
      </c>
      <c r="D5220" s="89" t="str">
        <v/>
      </c>
      <c r="E5220" s="89" t="str">
        <v/>
      </c>
      <c r="F5220" s="89" t="str">
        <v/>
      </c>
      <c r="G5220" s="89" t="str">
        <f ca="1"/>
        <v/>
      </c>
    </row>
    <row r="5221" spans="1:7" x14ac:dyDescent="0.3">
      <c r="A5221" s="89" t="str">
        <v/>
      </c>
      <c r="B5221" s="89">
        <v>0</v>
      </c>
      <c r="C5221" s="90" t="str">
        <v/>
      </c>
      <c r="D5221" s="89" t="str">
        <v/>
      </c>
      <c r="E5221" s="89" t="str">
        <v/>
      </c>
      <c r="F5221" s="89" t="str">
        <v/>
      </c>
      <c r="G5221" s="89" t="str">
        <f ca="1"/>
        <v/>
      </c>
    </row>
    <row r="5222" spans="1:7" x14ac:dyDescent="0.3">
      <c r="A5222" s="89" t="str">
        <v/>
      </c>
      <c r="B5222" s="89" t="str">
        <v>Programa de Aire</v>
      </c>
      <c r="C5222" s="90" t="str">
        <v/>
      </c>
      <c r="D5222" s="89" t="str">
        <v>Evento</v>
      </c>
      <c r="E5222" s="89">
        <v>0</v>
      </c>
      <c r="F5222" s="89" t="str">
        <v/>
      </c>
      <c r="G5222" s="89" t="str">
        <f ca="1"/>
        <v/>
      </c>
    </row>
    <row r="5223" spans="1:7" x14ac:dyDescent="0.3">
      <c r="A5223" s="89" t="str">
        <v/>
      </c>
      <c r="B5223" s="89" t="str">
        <v>Conciencia Ambiental</v>
      </c>
      <c r="C5223" s="90" t="str">
        <v/>
      </c>
      <c r="D5223" s="89" t="str">
        <v>Periódica</v>
      </c>
      <c r="E5223" s="89">
        <v>365</v>
      </c>
      <c r="F5223" s="89" t="str">
        <v/>
      </c>
      <c r="G5223" s="89" t="str">
        <f ca="1"/>
        <v/>
      </c>
    </row>
    <row r="5224" spans="1:7" x14ac:dyDescent="0.3">
      <c r="A5224" s="89" t="str">
        <v/>
      </c>
      <c r="B5224" s="89" t="str">
        <v xml:space="preserve">Control de Documentos e Informacion de HSE </v>
      </c>
      <c r="C5224" s="90" t="str">
        <v/>
      </c>
      <c r="D5224" s="89" t="str">
        <v>Evento</v>
      </c>
      <c r="E5224" s="89">
        <v>0</v>
      </c>
      <c r="F5224" s="89" t="str">
        <v/>
      </c>
      <c r="G5224" s="89" t="str">
        <f ca="1"/>
        <v/>
      </c>
    </row>
    <row r="5225" spans="1:7" x14ac:dyDescent="0.3">
      <c r="A5225" s="89" t="str">
        <v/>
      </c>
      <c r="B5225" s="89" t="str">
        <v xml:space="preserve"> Acciones Correctivas y Preventivas (CAPA)</v>
      </c>
      <c r="C5225" s="90" t="str">
        <v/>
      </c>
      <c r="D5225" s="89" t="str">
        <v>Evento</v>
      </c>
      <c r="E5225" s="89">
        <v>0</v>
      </c>
      <c r="F5225" s="89" t="str">
        <v/>
      </c>
      <c r="G5225" s="89" t="str">
        <f ca="1"/>
        <v/>
      </c>
    </row>
    <row r="5226" spans="1:7" x14ac:dyDescent="0.3">
      <c r="A5226" s="89" t="str">
        <v/>
      </c>
      <c r="B5226" s="89" t="str">
        <v>Seguridad Basada en el Comportamiento (Observation Program) // HSMS.043 / Autoridad de Detener el Trabajo</v>
      </c>
      <c r="C5226" s="90" t="str">
        <v/>
      </c>
      <c r="D5226" s="89" t="str">
        <v>Periódica</v>
      </c>
      <c r="E5226" s="89">
        <v>365</v>
      </c>
      <c r="F5226" s="89" t="str">
        <v/>
      </c>
      <c r="G5226" s="89" t="str">
        <f ca="1"/>
        <v/>
      </c>
    </row>
    <row r="5227" spans="1:7" x14ac:dyDescent="0.3">
      <c r="A5227" s="89" t="str">
        <v/>
      </c>
      <c r="B5227" s="89" t="str">
        <v>Identificacion de Peligros y Evaluacion de Riesgos</v>
      </c>
      <c r="C5227" s="90" t="str">
        <v/>
      </c>
      <c r="D5227" s="89" t="str">
        <v>Evento</v>
      </c>
      <c r="E5227" s="89">
        <v>0</v>
      </c>
      <c r="F5227" s="89" t="str">
        <v/>
      </c>
      <c r="G5227" s="89" t="str">
        <f ca="1"/>
        <v/>
      </c>
    </row>
    <row r="5228" spans="1:7" x14ac:dyDescent="0.3">
      <c r="A5228" s="89" t="str">
        <v/>
      </c>
      <c r="B5228" s="89" t="str">
        <v xml:space="preserve"> Plan de Respuesta ante Eemergencias / HSMS.010 /Primeros Axulios &amp; RCP/DEA / HSMSWT-002 / Patogenos Trasnmitidos por la Sangre</v>
      </c>
      <c r="C5228" s="90" t="str">
        <v/>
      </c>
      <c r="D5228" s="89" t="str">
        <v>Periódica</v>
      </c>
      <c r="E5228" s="89">
        <v>365</v>
      </c>
      <c r="F5228" s="89" t="str">
        <v/>
      </c>
      <c r="G5228" s="89" t="str">
        <f ca="1"/>
        <v/>
      </c>
    </row>
    <row r="5229" spans="1:7" x14ac:dyDescent="0.3">
      <c r="A5229" s="89" t="str">
        <v/>
      </c>
      <c r="B5229" s="89" t="str">
        <v>Reporte y Gestion de Incidentes HSE (Todos)</v>
      </c>
      <c r="C5229" s="90" t="str">
        <v/>
      </c>
      <c r="D5229" s="89" t="str">
        <v>Periódica</v>
      </c>
      <c r="E5229" s="89">
        <v>365</v>
      </c>
      <c r="F5229" s="89" t="str">
        <v/>
      </c>
      <c r="G5229" s="89" t="str">
        <f ca="1"/>
        <v/>
      </c>
    </row>
    <row r="5230" spans="1:7" x14ac:dyDescent="0.3">
      <c r="A5230" s="89" t="str">
        <v/>
      </c>
      <c r="B5230" s="89" t="str">
        <v>Reporte, Gestion e Investigacion de Incidentes HSE (supervisores / investigadores (rol))</v>
      </c>
      <c r="C5230" s="90" t="str">
        <v/>
      </c>
      <c r="D5230" s="89" t="str">
        <v>Periódica</v>
      </c>
      <c r="E5230" s="89">
        <v>1095</v>
      </c>
      <c r="F5230" s="89" t="str">
        <v/>
      </c>
      <c r="G5230" s="89" t="str">
        <f ca="1"/>
        <v/>
      </c>
    </row>
    <row r="5231" spans="1:7" x14ac:dyDescent="0.3">
      <c r="A5231" s="89" t="str">
        <v/>
      </c>
      <c r="B5231" s="89" t="str">
        <v>Gruas y Equipos de Izaje (Todos)</v>
      </c>
      <c r="C5231" s="90" t="str">
        <v/>
      </c>
      <c r="D5231" s="89" t="str">
        <v>Periódica</v>
      </c>
      <c r="E5231" s="89">
        <v>365</v>
      </c>
      <c r="F5231" s="89" t="str">
        <v/>
      </c>
      <c r="G5231" s="89" t="str">
        <f ca="1"/>
        <v/>
      </c>
    </row>
    <row r="5232" spans="1:7" x14ac:dyDescent="0.3">
      <c r="A5232" s="89" t="str">
        <v/>
      </c>
      <c r="B5232" s="89" t="str">
        <v>HSMS.007 / Gruas y Equipos de Izaje (Operadores)</v>
      </c>
      <c r="C5232" s="90" t="str">
        <v/>
      </c>
      <c r="D5232" s="89" t="str">
        <v>Periódica</v>
      </c>
      <c r="E5232" s="89">
        <v>365</v>
      </c>
      <c r="F5232" s="89" t="str">
        <v/>
      </c>
      <c r="G5232" s="89" t="str">
        <f ca="1"/>
        <v/>
      </c>
    </row>
    <row r="5233" spans="1:7" x14ac:dyDescent="0.3">
      <c r="A5233" s="89" t="str">
        <v/>
      </c>
      <c r="B5233" s="89" t="str">
        <v>Proteccion Contra Incendios (Todos)</v>
      </c>
      <c r="C5233" s="90" t="str">
        <v/>
      </c>
      <c r="D5233" s="89" t="str">
        <v>Periódica</v>
      </c>
      <c r="E5233" s="89">
        <v>365</v>
      </c>
      <c r="F5233" s="89" t="str">
        <v/>
      </c>
      <c r="G5233" s="89" t="str">
        <f ca="1"/>
        <v/>
      </c>
    </row>
    <row r="5234" spans="1:7" x14ac:dyDescent="0.3">
      <c r="A5234" s="89" t="str">
        <v/>
      </c>
      <c r="B5234" s="89" t="str">
        <v>Proteccion Contra Incendios (Brigadistas)</v>
      </c>
      <c r="C5234" s="90" t="str">
        <v/>
      </c>
      <c r="D5234" s="89" t="str">
        <v>Periódica</v>
      </c>
      <c r="E5234" s="89">
        <v>365</v>
      </c>
      <c r="F5234" s="89" t="str">
        <v/>
      </c>
      <c r="G5234" s="89" t="str">
        <f ca="1"/>
        <v/>
      </c>
    </row>
    <row r="5235" spans="1:7" x14ac:dyDescent="0.3">
      <c r="A5235" s="89" t="str">
        <v/>
      </c>
      <c r="B5235" s="89" t="str">
        <v>Primeros Auxilios (Brigadistas)</v>
      </c>
      <c r="C5235" s="90" t="str">
        <v/>
      </c>
      <c r="D5235" s="89" t="str">
        <v>Periódica</v>
      </c>
      <c r="E5235" s="89">
        <v>365</v>
      </c>
      <c r="F5235" s="89" t="str">
        <v/>
      </c>
      <c r="G5235" s="89" t="str">
        <f ca="1"/>
        <v/>
      </c>
    </row>
    <row r="5236" spans="1:7" x14ac:dyDescent="0.3">
      <c r="A5236" s="89" t="str">
        <v/>
      </c>
      <c r="B5236" s="89" t="str">
        <v>Seguridad Electrica (Todos)</v>
      </c>
      <c r="C5236" s="90" t="str">
        <v/>
      </c>
      <c r="D5236" s="89" t="str">
        <v>Periódica</v>
      </c>
      <c r="E5236" s="89">
        <v>365</v>
      </c>
      <c r="F5236" s="89" t="str">
        <v/>
      </c>
      <c r="G5236" s="89" t="str">
        <f ca="1"/>
        <v/>
      </c>
    </row>
    <row r="5237" spans="1:7" x14ac:dyDescent="0.3">
      <c r="A5237" s="89" t="str">
        <v/>
      </c>
      <c r="B5237" s="89" t="str">
        <v>Seguridad Electrica (Personal Autorizado)</v>
      </c>
      <c r="C5237" s="90" t="str">
        <v/>
      </c>
      <c r="D5237" s="89" t="str">
        <v>Periódica</v>
      </c>
      <c r="E5237" s="89">
        <v>1095</v>
      </c>
      <c r="F5237" s="89" t="str">
        <v/>
      </c>
      <c r="G5237" s="89" t="str">
        <f ca="1"/>
        <v/>
      </c>
    </row>
    <row r="5238" spans="1:7" x14ac:dyDescent="0.3">
      <c r="A5238" s="89" t="str">
        <v/>
      </c>
      <c r="B5238" s="89" t="str">
        <v>Camiones Industriales Motorizados (PIT) (Todos)</v>
      </c>
      <c r="C5238" s="90" t="str">
        <v/>
      </c>
      <c r="D5238" s="89" t="str">
        <v>Periódica</v>
      </c>
      <c r="E5238" s="89">
        <v>365</v>
      </c>
      <c r="F5238" s="89" t="str">
        <v/>
      </c>
      <c r="G5238" s="89" t="str">
        <f ca="1"/>
        <v/>
      </c>
    </row>
    <row r="5239" spans="1:7" x14ac:dyDescent="0.3">
      <c r="A5239" s="89" t="str">
        <v/>
      </c>
      <c r="B5239" s="89" t="str">
        <v>Camiones Industriales Motorizados (PIT) (Op. Montacargas)</v>
      </c>
      <c r="C5239" s="90" t="str">
        <v/>
      </c>
      <c r="D5239" s="89" t="str">
        <v>Periódica</v>
      </c>
      <c r="E5239" s="89">
        <v>365</v>
      </c>
      <c r="F5239" s="89" t="str">
        <v/>
      </c>
      <c r="G5239" s="89" t="str">
        <f ca="1"/>
        <v/>
      </c>
    </row>
    <row r="5240" spans="1:7" x14ac:dyDescent="0.3">
      <c r="A5240" s="89" t="str">
        <v/>
      </c>
      <c r="B5240" s="89" t="str">
        <v>Control de Energias Peligrosas (LOTO) (Todos)</v>
      </c>
      <c r="C5240" s="90" t="str">
        <v/>
      </c>
      <c r="D5240" s="89" t="str">
        <v>Evento</v>
      </c>
      <c r="E5240" s="89">
        <v>0</v>
      </c>
      <c r="F5240" s="89" t="str">
        <v/>
      </c>
      <c r="G5240" s="89" t="str">
        <f ca="1"/>
        <v/>
      </c>
    </row>
    <row r="5241" spans="1:7" x14ac:dyDescent="0.3">
      <c r="A5241" s="89" t="str">
        <v/>
      </c>
      <c r="B5241" s="89" t="str">
        <v>Control de Energias Peligrosas (LOTO) (Empleados Autorizados)</v>
      </c>
      <c r="C5241" s="90" t="str">
        <v/>
      </c>
      <c r="D5241" s="89" t="str">
        <v>Periódica</v>
      </c>
      <c r="E5241" s="89">
        <v>365</v>
      </c>
      <c r="F5241" s="89" t="str">
        <v/>
      </c>
      <c r="G5241" s="89" t="str">
        <f ca="1"/>
        <v/>
      </c>
    </row>
    <row r="5242" spans="1:7" x14ac:dyDescent="0.3">
      <c r="A5242" s="89" t="str">
        <v/>
      </c>
      <c r="B5242" s="89" t="str">
        <v>Seguridad aplicada al Pozo &amp; Yacimiento</v>
      </c>
      <c r="C5242" s="90" t="str">
        <v/>
      </c>
      <c r="D5242" s="89" t="str">
        <v>Periódica</v>
      </c>
      <c r="E5242" s="89">
        <v>365</v>
      </c>
      <c r="F5242" s="89" t="str">
        <v/>
      </c>
      <c r="G5242" s="89" t="str">
        <f ca="1"/>
        <v/>
      </c>
    </row>
    <row r="5243" spans="1:7" x14ac:dyDescent="0.3">
      <c r="A5243" s="89" t="str">
        <v/>
      </c>
      <c r="B5243" s="89" t="str">
        <v>Las Reglas que Salvan Vidas</v>
      </c>
      <c r="C5243" s="90" t="str">
        <v/>
      </c>
      <c r="D5243" s="89" t="str">
        <v>Periódica</v>
      </c>
      <c r="E5243" s="89">
        <v>365</v>
      </c>
      <c r="F5243" s="89" t="str">
        <v/>
      </c>
      <c r="G5243" s="89" t="str">
        <f ca="1"/>
        <v/>
      </c>
    </row>
    <row r="5244" spans="1:7" x14ac:dyDescent="0.3">
      <c r="A5244" s="89" t="str">
        <v/>
      </c>
      <c r="B5244" s="89" t="str">
        <v xml:space="preserve">Resguardo de Maquinas &amp; Equipos </v>
      </c>
      <c r="C5244" s="90" t="str">
        <v/>
      </c>
      <c r="D5244" s="89" t="str">
        <v>Periódica</v>
      </c>
      <c r="E5244" s="89">
        <v>365</v>
      </c>
      <c r="F5244" s="89" t="str">
        <v/>
      </c>
      <c r="G5244" s="89" t="str">
        <f ca="1"/>
        <v/>
      </c>
    </row>
    <row r="5245" spans="1:7" x14ac:dyDescent="0.3">
      <c r="A5245" s="89" t="str">
        <v/>
      </c>
      <c r="B5245" s="89" t="str">
        <v>Conduccion y Gestion de Viajes (Todos)</v>
      </c>
      <c r="C5245" s="90" t="str">
        <v/>
      </c>
      <c r="D5245" s="89" t="str">
        <v>Periódica</v>
      </c>
      <c r="E5245" s="89">
        <v>730</v>
      </c>
      <c r="F5245" s="89" t="str">
        <v/>
      </c>
      <c r="G5245" s="89" t="str">
        <f ca="1"/>
        <v/>
      </c>
    </row>
    <row r="5246" spans="1:7" x14ac:dyDescent="0.3">
      <c r="A5246" s="89" t="str">
        <v/>
      </c>
      <c r="B5246" s="89" t="str">
        <v>Conduccion y Gestion de Viajes (Conductores)</v>
      </c>
      <c r="C5246" s="90" t="str">
        <v/>
      </c>
      <c r="D5246" s="89" t="str">
        <v>Periódica</v>
      </c>
      <c r="E5246" s="89">
        <v>1095</v>
      </c>
      <c r="F5246" s="89" t="str">
        <v/>
      </c>
      <c r="G5246" s="89" t="str">
        <f ca="1"/>
        <v/>
      </c>
    </row>
    <row r="5247" spans="1:7" x14ac:dyDescent="0.3">
      <c r="A5247" s="89" t="str">
        <v/>
      </c>
      <c r="B5247" s="89" t="str">
        <v>Patogenos Transmitidos por la Sangre</v>
      </c>
      <c r="C5247" s="90" t="str">
        <v/>
      </c>
      <c r="D5247" s="89" t="str">
        <v>Periódica</v>
      </c>
      <c r="E5247" s="89">
        <v>365</v>
      </c>
      <c r="F5247" s="89" t="str">
        <v/>
      </c>
      <c r="G5247" s="89" t="str">
        <f ca="1"/>
        <v/>
      </c>
    </row>
    <row r="5248" spans="1:7" x14ac:dyDescent="0.3">
      <c r="A5248" s="89" t="str">
        <v/>
      </c>
      <c r="B5248" s="89" t="str">
        <v>Conservacion Auditiva</v>
      </c>
      <c r="C5248" s="90" t="str">
        <v/>
      </c>
      <c r="D5248" s="89" t="str">
        <v>Periódica</v>
      </c>
      <c r="E5248" s="89">
        <v>365</v>
      </c>
      <c r="F5248" s="89" t="str">
        <v/>
      </c>
      <c r="G5248" s="89" t="str">
        <f ca="1"/>
        <v/>
      </c>
    </row>
    <row r="5249" spans="1:7" x14ac:dyDescent="0.3">
      <c r="A5249" s="89" t="str">
        <v/>
      </c>
      <c r="B5249" s="89" t="str">
        <v xml:space="preserve">Ergonomia //  / Levantamiento &amp; Seguridad en la Espalda </v>
      </c>
      <c r="C5249" s="90" t="str">
        <v/>
      </c>
      <c r="D5249" s="89" t="str">
        <v>Periódica</v>
      </c>
      <c r="E5249" s="89">
        <v>365</v>
      </c>
      <c r="F5249" s="89" t="str">
        <v/>
      </c>
      <c r="G5249" s="89" t="str">
        <f ca="1"/>
        <v/>
      </c>
    </row>
    <row r="5250" spans="1:7" x14ac:dyDescent="0.3">
      <c r="A5250" s="89" t="str">
        <v/>
      </c>
      <c r="B5250" s="89" t="str">
        <v>Superficies Elevadas (Todos)</v>
      </c>
      <c r="C5250" s="90" t="str">
        <v/>
      </c>
      <c r="D5250" s="89" t="str">
        <v>Periódica</v>
      </c>
      <c r="E5250" s="89">
        <v>365</v>
      </c>
      <c r="F5250" s="89" t="str">
        <v/>
      </c>
      <c r="G5250" s="89" t="str">
        <f ca="1"/>
        <v/>
      </c>
    </row>
    <row r="5251" spans="1:7" x14ac:dyDescent="0.3">
      <c r="A5251" s="89" t="str">
        <v/>
      </c>
      <c r="B5251" s="89" t="str">
        <v>Superficies Elevadas (Personal Habilitado)</v>
      </c>
      <c r="C5251" s="90" t="str">
        <v/>
      </c>
      <c r="D5251" s="89" t="str">
        <v>Periódica</v>
      </c>
      <c r="E5251" s="89">
        <v>365</v>
      </c>
      <c r="F5251" s="89" t="str">
        <v/>
      </c>
      <c r="G5251" s="89" t="str">
        <f ca="1"/>
        <v/>
      </c>
    </row>
    <row r="5252" spans="1:7" x14ac:dyDescent="0.3">
      <c r="A5252" s="89" t="str">
        <v/>
      </c>
      <c r="B5252" s="89" t="str">
        <v>Seguridad Quimica (Todos)</v>
      </c>
      <c r="C5252" s="90" t="str">
        <v/>
      </c>
      <c r="D5252" s="89" t="str">
        <v>Periódica</v>
      </c>
      <c r="E5252" s="89">
        <v>730</v>
      </c>
      <c r="F5252" s="89" t="str">
        <v/>
      </c>
      <c r="G5252" s="89" t="str">
        <f ca="1"/>
        <v/>
      </c>
    </row>
    <row r="5253" spans="1:7" x14ac:dyDescent="0.3">
      <c r="A5253" s="89" t="str">
        <v/>
      </c>
      <c r="B5253" s="89" t="str">
        <v>Seguridad Quimica (Mantenimiento)</v>
      </c>
      <c r="C5253" s="90" t="str">
        <v/>
      </c>
      <c r="D5253" s="89" t="str">
        <v>Periódica</v>
      </c>
      <c r="E5253" s="89">
        <v>365</v>
      </c>
      <c r="F5253" s="89" t="str">
        <v/>
      </c>
      <c r="G5253" s="89" t="str">
        <f ca="1"/>
        <v/>
      </c>
    </row>
    <row r="5254" spans="1:7" x14ac:dyDescent="0.3">
      <c r="A5254" s="89" t="str">
        <v/>
      </c>
      <c r="B5254" s="89" t="str">
        <v>Seguridad Quimica (Contratistas)</v>
      </c>
      <c r="C5254" s="90" t="str">
        <v/>
      </c>
      <c r="D5254" s="89" t="str">
        <v>Periódica</v>
      </c>
      <c r="E5254" s="89">
        <v>365</v>
      </c>
      <c r="F5254" s="89" t="str">
        <v/>
      </c>
      <c r="G5254" s="89" t="str">
        <f ca="1"/>
        <v/>
      </c>
    </row>
    <row r="5255" spans="1:7" x14ac:dyDescent="0.3">
      <c r="A5255" s="89" t="str">
        <v/>
      </c>
      <c r="B5255" s="89" t="str">
        <v>Seguridad para Trabajos en Caliente</v>
      </c>
      <c r="C5255" s="90" t="str">
        <v/>
      </c>
      <c r="D5255" s="89" t="str">
        <v>Periódica</v>
      </c>
      <c r="E5255" s="89">
        <v>365</v>
      </c>
      <c r="F5255" s="89" t="str">
        <v/>
      </c>
      <c r="G5255" s="89" t="str">
        <f ca="1"/>
        <v/>
      </c>
    </row>
    <row r="5256" spans="1:7" x14ac:dyDescent="0.3">
      <c r="A5256" s="89" t="str">
        <v/>
      </c>
      <c r="B5256" s="89" t="str">
        <v>Seguridad con la Radiacion</v>
      </c>
      <c r="C5256" s="90" t="str">
        <v/>
      </c>
      <c r="D5256" s="89" t="str">
        <v>Periódica</v>
      </c>
      <c r="E5256" s="89">
        <v>365</v>
      </c>
      <c r="F5256" s="89" t="str">
        <v/>
      </c>
      <c r="G5256" s="89" t="str">
        <f ca="1"/>
        <v/>
      </c>
    </row>
    <row r="5257" spans="1:7" x14ac:dyDescent="0.3">
      <c r="A5257" s="89" t="str">
        <v/>
      </c>
      <c r="B5257" s="89" t="str">
        <v>Equipo de Proteccion Personal (PPE)</v>
      </c>
      <c r="C5257" s="90" t="str">
        <v/>
      </c>
      <c r="D5257" s="89" t="str">
        <v>Periódica</v>
      </c>
      <c r="E5257" s="89">
        <v>365</v>
      </c>
      <c r="F5257" s="89" t="str">
        <v/>
      </c>
      <c r="G5257" s="89" t="str">
        <f ca="1"/>
        <v/>
      </c>
    </row>
    <row r="5258" spans="1:7" x14ac:dyDescent="0.3">
      <c r="A5258" s="89" t="str">
        <v/>
      </c>
      <c r="B5258" s="89" t="str">
        <v>Proteccion Respiratoria</v>
      </c>
      <c r="C5258" s="90" t="str">
        <v/>
      </c>
      <c r="D5258" s="89" t="str">
        <v>Periódica</v>
      </c>
      <c r="E5258" s="89">
        <v>365</v>
      </c>
      <c r="F5258" s="89" t="str">
        <v/>
      </c>
      <c r="G5258" s="89" t="str">
        <f ca="1"/>
        <v/>
      </c>
    </row>
    <row r="5259" spans="1:7" x14ac:dyDescent="0.3">
      <c r="A5259" s="89" t="str">
        <v/>
      </c>
      <c r="B5259" s="89" t="str">
        <v xml:space="preserve">Seguridad con Escaleras </v>
      </c>
      <c r="C5259" s="90" t="str">
        <v/>
      </c>
      <c r="D5259" s="89" t="str">
        <v>Periódica</v>
      </c>
      <c r="E5259" s="89">
        <v>365</v>
      </c>
      <c r="F5259" s="89" t="str">
        <v/>
      </c>
      <c r="G5259" s="89" t="str">
        <f ca="1"/>
        <v/>
      </c>
    </row>
    <row r="5260" spans="1:7" x14ac:dyDescent="0.3">
      <c r="A5260" s="89" t="str">
        <v/>
      </c>
      <c r="B5260" s="89" t="str">
        <v>Seguridad con Escaleras // Estantes de Almacenamiento</v>
      </c>
      <c r="C5260" s="90" t="str">
        <v/>
      </c>
      <c r="D5260" s="89" t="str">
        <v>Periódica</v>
      </c>
      <c r="E5260" s="89">
        <v>365</v>
      </c>
      <c r="F5260" s="89" t="str">
        <v/>
      </c>
      <c r="G5260" s="89" t="str">
        <f ca="1"/>
        <v/>
      </c>
    </row>
    <row r="5261" spans="1:7" x14ac:dyDescent="0.3">
      <c r="A5261" s="89" t="str">
        <v/>
      </c>
      <c r="B5261" s="89" t="str">
        <v>Responsabilidades del Supervisor</v>
      </c>
      <c r="C5261" s="90" t="str">
        <v/>
      </c>
      <c r="D5261" s="89" t="str">
        <v>Periódica</v>
      </c>
      <c r="E5261" s="89">
        <v>365</v>
      </c>
      <c r="F5261" s="89" t="str">
        <v/>
      </c>
      <c r="G5261" s="89" t="str">
        <f ca="1"/>
        <v/>
      </c>
    </row>
    <row r="5262" spans="1:7" x14ac:dyDescent="0.3">
      <c r="A5262" s="89" t="str">
        <v/>
      </c>
      <c r="B5262" s="89" t="str">
        <v>Espacios Confinados (Todos)</v>
      </c>
      <c r="C5262" s="90" t="str">
        <v/>
      </c>
      <c r="D5262" s="89" t="str">
        <v>Periódica</v>
      </c>
      <c r="E5262" s="89">
        <v>365</v>
      </c>
      <c r="F5262" s="89" t="str">
        <v/>
      </c>
      <c r="G5262" s="89" t="str">
        <f ca="1"/>
        <v/>
      </c>
    </row>
    <row r="5263" spans="1:7" x14ac:dyDescent="0.3">
      <c r="A5263" s="89" t="str">
        <v/>
      </c>
      <c r="B5263" s="89" t="str">
        <v>HSMS.017 / Espacios Confinados (Entrantes)</v>
      </c>
      <c r="C5263" s="90" t="str">
        <v/>
      </c>
      <c r="D5263" s="89" t="str">
        <v>Evento</v>
      </c>
      <c r="E5263" s="89">
        <v>0</v>
      </c>
      <c r="F5263" s="89" t="str">
        <v/>
      </c>
      <c r="G5263" s="89" t="str">
        <f ca="1"/>
        <v/>
      </c>
    </row>
    <row r="5264" spans="1:7" x14ac:dyDescent="0.3">
      <c r="A5264" s="89" t="str">
        <v/>
      </c>
      <c r="B5264" s="89" t="str">
        <v>Programa de Agua (Todos)</v>
      </c>
      <c r="C5264" s="90" t="str">
        <v/>
      </c>
      <c r="D5264" s="89" t="str">
        <v>Evento</v>
      </c>
      <c r="E5264" s="89">
        <v>0</v>
      </c>
      <c r="F5264" s="89" t="str">
        <v/>
      </c>
      <c r="G5264" s="89" t="str">
        <f ca="1"/>
        <v/>
      </c>
    </row>
    <row r="5265" spans="1:7" x14ac:dyDescent="0.3">
      <c r="A5265" s="89" t="str">
        <v/>
      </c>
      <c r="B5265" s="89" t="str">
        <v>Programa de Agua (HSE)</v>
      </c>
      <c r="C5265" s="90" t="str">
        <v/>
      </c>
      <c r="D5265" s="89" t="str">
        <v>Evento</v>
      </c>
      <c r="E5265" s="89">
        <v>0</v>
      </c>
      <c r="F5265" s="89" t="str">
        <v/>
      </c>
      <c r="G5265" s="89" t="str">
        <f ca="1"/>
        <v/>
      </c>
    </row>
    <row r="5266" spans="1:7" x14ac:dyDescent="0.3">
      <c r="A5266" s="89" t="str">
        <v/>
      </c>
      <c r="B5266" s="89" t="str">
        <v>HIV/SIDA y otras enfermedades de transmisión sexual (ETS)</v>
      </c>
      <c r="C5266" s="90" t="str">
        <v/>
      </c>
      <c r="D5266" s="89" t="str">
        <v>Periódica</v>
      </c>
      <c r="E5266" s="89">
        <v>365</v>
      </c>
      <c r="F5266" s="89" t="str">
        <v/>
      </c>
      <c r="G5266" s="89" t="str">
        <f ca="1"/>
        <v/>
      </c>
    </row>
    <row r="5267" spans="1:7" x14ac:dyDescent="0.3">
      <c r="A5267" s="89" t="str">
        <v/>
      </c>
      <c r="B5267" s="89" t="str">
        <v>Drogas de abuso (concientización y prevención)</v>
      </c>
      <c r="C5267" s="90" t="str">
        <v/>
      </c>
      <c r="D5267" s="89" t="str">
        <v>Periódica</v>
      </c>
      <c r="E5267" s="89">
        <v>365</v>
      </c>
      <c r="F5267" s="89" t="str">
        <v/>
      </c>
      <c r="G5267" s="89" t="str">
        <f ca="1"/>
        <v/>
      </c>
    </row>
    <row r="5268" spans="1:7" x14ac:dyDescent="0.3">
      <c r="A5268" s="89" t="str">
        <v/>
      </c>
      <c r="B5268" s="89" t="str">
        <v>Vida saludable (hábitos, autocuidado y bienestar)</v>
      </c>
      <c r="C5268" s="90" t="str">
        <v/>
      </c>
      <c r="D5268" s="89" t="str">
        <v>Periódica</v>
      </c>
      <c r="E5268" s="89">
        <v>365</v>
      </c>
      <c r="F5268" s="89" t="str">
        <v/>
      </c>
      <c r="G5268" s="89" t="str">
        <f ca="1"/>
        <v/>
      </c>
    </row>
    <row r="5269" spans="1:7" x14ac:dyDescent="0.3">
      <c r="A5269" s="89" t="str">
        <v/>
      </c>
      <c r="B5269" s="89" t="str">
        <v>Primeros auxilios y Reanimación Cardio Pulmonar (RCP)</v>
      </c>
      <c r="C5269" s="90" t="str">
        <v/>
      </c>
      <c r="D5269" s="89" t="str">
        <v>Periódica</v>
      </c>
      <c r="E5269" s="89">
        <v>365</v>
      </c>
      <c r="F5269" s="89" t="str">
        <v/>
      </c>
      <c r="G5269" s="89" t="str">
        <f ca="1"/>
        <v/>
      </c>
    </row>
    <row r="5270" spans="1:7" x14ac:dyDescent="0.3">
      <c r="A5270" s="89" t="str">
        <v/>
      </c>
      <c r="B5270" s="89" t="str">
        <v>Prevención cardiovascular (factores de riesgo y señales de alarma)</v>
      </c>
      <c r="C5270" s="90" t="str">
        <v/>
      </c>
      <c r="D5270" s="89" t="str">
        <v>Periódica</v>
      </c>
      <c r="E5270" s="89">
        <v>365</v>
      </c>
      <c r="F5270" s="89" t="str">
        <v/>
      </c>
      <c r="G5270" s="89" t="str">
        <f ca="1"/>
        <v/>
      </c>
    </row>
    <row r="5271" spans="1:7" x14ac:dyDescent="0.3">
      <c r="A5271" s="89" t="str">
        <v/>
      </c>
      <c r="B5271" s="89" t="str">
        <v>Efectos del tabaco sobre la salud</v>
      </c>
      <c r="C5271" s="90" t="str">
        <v/>
      </c>
      <c r="D5271" s="89" t="str">
        <v>Periódica</v>
      </c>
      <c r="E5271" s="89">
        <v>365</v>
      </c>
      <c r="F5271" s="89" t="str">
        <v/>
      </c>
      <c r="G5271" s="89" t="str">
        <f ca="1"/>
        <v/>
      </c>
    </row>
    <row r="5272" spans="1:7" x14ac:dyDescent="0.3">
      <c r="A5272" s="89" t="str">
        <v/>
      </c>
      <c r="B5272" s="89" t="str">
        <v>Cargadora (Op. Montacargas)</v>
      </c>
      <c r="C5272" s="90" t="str">
        <v/>
      </c>
      <c r="D5272" s="89" t="str">
        <v>Periódica</v>
      </c>
      <c r="E5272" s="89">
        <v>365</v>
      </c>
      <c r="F5272" s="89" t="str">
        <v/>
      </c>
      <c r="G5272" s="89" t="str">
        <f ca="1"/>
        <v/>
      </c>
    </row>
    <row r="5273" spans="1:7" x14ac:dyDescent="0.3">
      <c r="A5273" s="89" t="str">
        <v/>
      </c>
      <c r="B5273" s="89">
        <v>0</v>
      </c>
      <c r="C5273" s="90" t="str">
        <v/>
      </c>
      <c r="D5273" s="89" t="str">
        <v/>
      </c>
      <c r="E5273" s="89" t="str">
        <v/>
      </c>
      <c r="F5273" s="89" t="str">
        <v/>
      </c>
      <c r="G5273" s="89" t="str">
        <f ca="1"/>
        <v/>
      </c>
    </row>
    <row r="5274" spans="1:7" x14ac:dyDescent="0.3">
      <c r="A5274" s="89" t="str">
        <v/>
      </c>
      <c r="B5274" s="89">
        <v>0</v>
      </c>
      <c r="C5274" s="90" t="str">
        <v/>
      </c>
      <c r="D5274" s="89" t="str">
        <v/>
      </c>
      <c r="E5274" s="89" t="str">
        <v/>
      </c>
      <c r="F5274" s="89" t="str">
        <v/>
      </c>
      <c r="G5274" s="89" t="str">
        <f ca="1"/>
        <v/>
      </c>
    </row>
    <row r="5275" spans="1:7" x14ac:dyDescent="0.3">
      <c r="A5275" s="89" t="str">
        <v/>
      </c>
      <c r="B5275" s="89">
        <v>0</v>
      </c>
      <c r="C5275" s="90" t="str">
        <v/>
      </c>
      <c r="D5275" s="89" t="str">
        <v/>
      </c>
      <c r="E5275" s="89" t="str">
        <v/>
      </c>
      <c r="F5275" s="89" t="str">
        <v/>
      </c>
      <c r="G5275" s="89" t="str">
        <f ca="1"/>
        <v/>
      </c>
    </row>
    <row r="5276" spans="1:7" x14ac:dyDescent="0.3">
      <c r="A5276" s="89" t="str">
        <v/>
      </c>
      <c r="B5276" s="89">
        <v>0</v>
      </c>
      <c r="C5276" s="90" t="str">
        <v/>
      </c>
      <c r="D5276" s="89" t="str">
        <v/>
      </c>
      <c r="E5276" s="89" t="str">
        <v/>
      </c>
      <c r="F5276" s="89" t="str">
        <v/>
      </c>
      <c r="G5276" s="89" t="str">
        <f ca="1"/>
        <v/>
      </c>
    </row>
    <row r="5277" spans="1:7" x14ac:dyDescent="0.3">
      <c r="A5277" s="89" t="str">
        <v/>
      </c>
      <c r="B5277" s="89">
        <v>0</v>
      </c>
      <c r="C5277" s="90" t="str">
        <v/>
      </c>
      <c r="D5277" s="89" t="str">
        <v/>
      </c>
      <c r="E5277" s="89" t="str">
        <v/>
      </c>
      <c r="F5277" s="89" t="str">
        <v/>
      </c>
      <c r="G5277" s="89" t="str">
        <f ca="1"/>
        <v/>
      </c>
    </row>
    <row r="5278" spans="1:7" x14ac:dyDescent="0.3">
      <c r="A5278" s="89" t="str">
        <v/>
      </c>
      <c r="B5278" s="89">
        <v>0</v>
      </c>
      <c r="C5278" s="90" t="str">
        <v/>
      </c>
      <c r="D5278" s="89" t="str">
        <v/>
      </c>
      <c r="E5278" s="89" t="str">
        <v/>
      </c>
      <c r="F5278" s="89" t="str">
        <v/>
      </c>
      <c r="G5278" s="89" t="str">
        <f ca="1"/>
        <v/>
      </c>
    </row>
    <row r="5279" spans="1:7" x14ac:dyDescent="0.3">
      <c r="A5279" s="89" t="str">
        <v/>
      </c>
      <c r="B5279" s="89">
        <v>0</v>
      </c>
      <c r="C5279" s="90" t="str">
        <v/>
      </c>
      <c r="D5279" s="89" t="str">
        <v/>
      </c>
      <c r="E5279" s="89" t="str">
        <v/>
      </c>
      <c r="F5279" s="89" t="str">
        <v/>
      </c>
      <c r="G5279" s="89" t="str">
        <f ca="1"/>
        <v/>
      </c>
    </row>
    <row r="5280" spans="1:7" x14ac:dyDescent="0.3">
      <c r="A5280" s="89" t="str">
        <v/>
      </c>
      <c r="B5280" s="89">
        <v>0</v>
      </c>
      <c r="C5280" s="90" t="str">
        <v/>
      </c>
      <c r="D5280" s="89" t="str">
        <v/>
      </c>
      <c r="E5280" s="89" t="str">
        <v/>
      </c>
      <c r="F5280" s="89" t="str">
        <v/>
      </c>
      <c r="G5280" s="89" t="str">
        <f ca="1"/>
        <v/>
      </c>
    </row>
    <row r="5281" spans="1:7" x14ac:dyDescent="0.3">
      <c r="A5281" s="89" t="str">
        <v/>
      </c>
      <c r="B5281" s="89">
        <v>0</v>
      </c>
      <c r="C5281" s="90" t="str">
        <v/>
      </c>
      <c r="D5281" s="89" t="str">
        <v/>
      </c>
      <c r="E5281" s="89" t="str">
        <v/>
      </c>
      <c r="F5281" s="89" t="str">
        <v/>
      </c>
      <c r="G5281" s="89" t="str">
        <f ca="1"/>
        <v/>
      </c>
    </row>
    <row r="5282" spans="1:7" x14ac:dyDescent="0.3">
      <c r="A5282" s="89" t="str">
        <v/>
      </c>
      <c r="B5282" s="89" t="str">
        <v>Programa de Aire</v>
      </c>
      <c r="C5282" s="90" t="str">
        <v/>
      </c>
      <c r="D5282" s="89" t="str">
        <v>Evento</v>
      </c>
      <c r="E5282" s="89">
        <v>0</v>
      </c>
      <c r="F5282" s="89" t="str">
        <v/>
      </c>
      <c r="G5282" s="89" t="str">
        <f ca="1"/>
        <v/>
      </c>
    </row>
    <row r="5283" spans="1:7" x14ac:dyDescent="0.3">
      <c r="A5283" s="89" t="str">
        <v/>
      </c>
      <c r="B5283" s="89" t="str">
        <v>Conciencia Ambiental</v>
      </c>
      <c r="C5283" s="90" t="str">
        <v/>
      </c>
      <c r="D5283" s="89" t="str">
        <v>Periódica</v>
      </c>
      <c r="E5283" s="89">
        <v>365</v>
      </c>
      <c r="F5283" s="89" t="str">
        <v/>
      </c>
      <c r="G5283" s="89" t="str">
        <f ca="1"/>
        <v/>
      </c>
    </row>
    <row r="5284" spans="1:7" x14ac:dyDescent="0.3">
      <c r="A5284" s="89" t="str">
        <v/>
      </c>
      <c r="B5284" s="89" t="str">
        <v xml:space="preserve">Control de Documentos e Informacion de HSE </v>
      </c>
      <c r="C5284" s="90" t="str">
        <v/>
      </c>
      <c r="D5284" s="89" t="str">
        <v>Evento</v>
      </c>
      <c r="E5284" s="89">
        <v>0</v>
      </c>
      <c r="F5284" s="89" t="str">
        <v/>
      </c>
      <c r="G5284" s="89" t="str">
        <f ca="1"/>
        <v/>
      </c>
    </row>
    <row r="5285" spans="1:7" x14ac:dyDescent="0.3">
      <c r="A5285" s="89" t="str">
        <v/>
      </c>
      <c r="B5285" s="89" t="str">
        <v xml:space="preserve"> Acciones Correctivas y Preventivas (CAPA)</v>
      </c>
      <c r="C5285" s="90" t="str">
        <v/>
      </c>
      <c r="D5285" s="89" t="str">
        <v>Evento</v>
      </c>
      <c r="E5285" s="89">
        <v>0</v>
      </c>
      <c r="F5285" s="89" t="str">
        <v/>
      </c>
      <c r="G5285" s="89" t="str">
        <f ca="1"/>
        <v/>
      </c>
    </row>
    <row r="5286" spans="1:7" x14ac:dyDescent="0.3">
      <c r="A5286" s="89" t="str">
        <v/>
      </c>
      <c r="B5286" s="89" t="str">
        <v>Seguridad Basada en el Comportamiento (Observation Program) // HSMS.043 / Autoridad de Detener el Trabajo</v>
      </c>
      <c r="C5286" s="90" t="str">
        <v/>
      </c>
      <c r="D5286" s="89" t="str">
        <v>Periódica</v>
      </c>
      <c r="E5286" s="89">
        <v>365</v>
      </c>
      <c r="F5286" s="89" t="str">
        <v/>
      </c>
      <c r="G5286" s="89" t="str">
        <f ca="1"/>
        <v/>
      </c>
    </row>
    <row r="5287" spans="1:7" x14ac:dyDescent="0.3">
      <c r="A5287" s="89" t="str">
        <v/>
      </c>
      <c r="B5287" s="89" t="str">
        <v>Identificacion de Peligros y Evaluacion de Riesgos</v>
      </c>
      <c r="C5287" s="90" t="str">
        <v/>
      </c>
      <c r="D5287" s="89" t="str">
        <v>Evento</v>
      </c>
      <c r="E5287" s="89">
        <v>0</v>
      </c>
      <c r="F5287" s="89" t="str">
        <v/>
      </c>
      <c r="G5287" s="89" t="str">
        <f ca="1"/>
        <v/>
      </c>
    </row>
    <row r="5288" spans="1:7" x14ac:dyDescent="0.3">
      <c r="A5288" s="89" t="str">
        <v/>
      </c>
      <c r="B5288" s="89" t="str">
        <v xml:space="preserve"> Plan de Respuesta ante Eemergencias / HSMS.010 /Primeros Axulios &amp; RCP/DEA / HSMSWT-002 / Patogenos Trasnmitidos por la Sangre</v>
      </c>
      <c r="C5288" s="90" t="str">
        <v/>
      </c>
      <c r="D5288" s="89" t="str">
        <v>Periódica</v>
      </c>
      <c r="E5288" s="89">
        <v>365</v>
      </c>
      <c r="F5288" s="89" t="str">
        <v/>
      </c>
      <c r="G5288" s="89" t="str">
        <f ca="1"/>
        <v/>
      </c>
    </row>
    <row r="5289" spans="1:7" x14ac:dyDescent="0.3">
      <c r="A5289" s="89" t="str">
        <v/>
      </c>
      <c r="B5289" s="89" t="str">
        <v>Reporte y Gestion de Incidentes HSE (Todos)</v>
      </c>
      <c r="C5289" s="90" t="str">
        <v/>
      </c>
      <c r="D5289" s="89" t="str">
        <v>Periódica</v>
      </c>
      <c r="E5289" s="89">
        <v>365</v>
      </c>
      <c r="F5289" s="89" t="str">
        <v/>
      </c>
      <c r="G5289" s="89" t="str">
        <f ca="1"/>
        <v/>
      </c>
    </row>
    <row r="5290" spans="1:7" x14ac:dyDescent="0.3">
      <c r="A5290" s="89" t="str">
        <v/>
      </c>
      <c r="B5290" s="89" t="str">
        <v>Reporte, Gestion e Investigacion de Incidentes HSE (supervisores / investigadores (rol))</v>
      </c>
      <c r="C5290" s="90" t="str">
        <v/>
      </c>
      <c r="D5290" s="89" t="str">
        <v>Periódica</v>
      </c>
      <c r="E5290" s="89">
        <v>1095</v>
      </c>
      <c r="F5290" s="89" t="str">
        <v/>
      </c>
      <c r="G5290" s="89" t="str">
        <f ca="1"/>
        <v/>
      </c>
    </row>
    <row r="5291" spans="1:7" x14ac:dyDescent="0.3">
      <c r="A5291" s="89" t="str">
        <v/>
      </c>
      <c r="B5291" s="89" t="str">
        <v>Gruas y Equipos de Izaje (Todos)</v>
      </c>
      <c r="C5291" s="90" t="str">
        <v/>
      </c>
      <c r="D5291" s="89" t="str">
        <v>Periódica</v>
      </c>
      <c r="E5291" s="89">
        <v>365</v>
      </c>
      <c r="F5291" s="89" t="str">
        <v/>
      </c>
      <c r="G5291" s="89" t="str">
        <f ca="1"/>
        <v/>
      </c>
    </row>
    <row r="5292" spans="1:7" x14ac:dyDescent="0.3">
      <c r="A5292" s="89" t="str">
        <v/>
      </c>
      <c r="B5292" s="89" t="str">
        <v>HSMS.007 / Gruas y Equipos de Izaje (Operadores)</v>
      </c>
      <c r="C5292" s="90" t="str">
        <v/>
      </c>
      <c r="D5292" s="89" t="str">
        <v>Periódica</v>
      </c>
      <c r="E5292" s="89">
        <v>365</v>
      </c>
      <c r="F5292" s="89" t="str">
        <v/>
      </c>
      <c r="G5292" s="89" t="str">
        <f ca="1"/>
        <v/>
      </c>
    </row>
    <row r="5293" spans="1:7" x14ac:dyDescent="0.3">
      <c r="A5293" s="89" t="str">
        <v/>
      </c>
      <c r="B5293" s="89" t="str">
        <v>Proteccion Contra Incendios (Todos)</v>
      </c>
      <c r="C5293" s="90" t="str">
        <v/>
      </c>
      <c r="D5293" s="89" t="str">
        <v>Periódica</v>
      </c>
      <c r="E5293" s="89">
        <v>365</v>
      </c>
      <c r="F5293" s="89" t="str">
        <v/>
      </c>
      <c r="G5293" s="89" t="str">
        <f ca="1"/>
        <v/>
      </c>
    </row>
    <row r="5294" spans="1:7" x14ac:dyDescent="0.3">
      <c r="A5294" s="89" t="str">
        <v/>
      </c>
      <c r="B5294" s="89" t="str">
        <v>Proteccion Contra Incendios (Brigadistas)</v>
      </c>
      <c r="C5294" s="90" t="str">
        <v/>
      </c>
      <c r="D5294" s="89" t="str">
        <v>Periódica</v>
      </c>
      <c r="E5294" s="89">
        <v>365</v>
      </c>
      <c r="F5294" s="89" t="str">
        <v/>
      </c>
      <c r="G5294" s="89" t="str">
        <f ca="1"/>
        <v/>
      </c>
    </row>
    <row r="5295" spans="1:7" x14ac:dyDescent="0.3">
      <c r="A5295" s="89" t="str">
        <v/>
      </c>
      <c r="B5295" s="89" t="str">
        <v>Primeros Auxilios (Brigadistas)</v>
      </c>
      <c r="C5295" s="90" t="str">
        <v/>
      </c>
      <c r="D5295" s="89" t="str">
        <v>Periódica</v>
      </c>
      <c r="E5295" s="89">
        <v>365</v>
      </c>
      <c r="F5295" s="89" t="str">
        <v/>
      </c>
      <c r="G5295" s="89" t="str">
        <f ca="1"/>
        <v/>
      </c>
    </row>
    <row r="5296" spans="1:7" x14ac:dyDescent="0.3">
      <c r="A5296" s="89" t="str">
        <v/>
      </c>
      <c r="B5296" s="89" t="str">
        <v>Seguridad Electrica (Todos)</v>
      </c>
      <c r="C5296" s="90" t="str">
        <v/>
      </c>
      <c r="D5296" s="89" t="str">
        <v>Periódica</v>
      </c>
      <c r="E5296" s="89">
        <v>365</v>
      </c>
      <c r="F5296" s="89" t="str">
        <v/>
      </c>
      <c r="G5296" s="89" t="str">
        <f ca="1"/>
        <v/>
      </c>
    </row>
    <row r="5297" spans="1:7" x14ac:dyDescent="0.3">
      <c r="A5297" s="89" t="str">
        <v/>
      </c>
      <c r="B5297" s="89" t="str">
        <v>Seguridad Electrica (Personal Autorizado)</v>
      </c>
      <c r="C5297" s="90" t="str">
        <v/>
      </c>
      <c r="D5297" s="89" t="str">
        <v>Periódica</v>
      </c>
      <c r="E5297" s="89">
        <v>1095</v>
      </c>
      <c r="F5297" s="89" t="str">
        <v/>
      </c>
      <c r="G5297" s="89" t="str">
        <f ca="1"/>
        <v/>
      </c>
    </row>
    <row r="5298" spans="1:7" x14ac:dyDescent="0.3">
      <c r="A5298" s="89" t="str">
        <v/>
      </c>
      <c r="B5298" s="89" t="str">
        <v>Camiones Industriales Motorizados (PIT) (Todos)</v>
      </c>
      <c r="C5298" s="90" t="str">
        <v/>
      </c>
      <c r="D5298" s="89" t="str">
        <v>Periódica</v>
      </c>
      <c r="E5298" s="89">
        <v>365</v>
      </c>
      <c r="F5298" s="89" t="str">
        <v/>
      </c>
      <c r="G5298" s="89" t="str">
        <f ca="1"/>
        <v/>
      </c>
    </row>
    <row r="5299" spans="1:7" x14ac:dyDescent="0.3">
      <c r="A5299" s="89" t="str">
        <v/>
      </c>
      <c r="B5299" s="89" t="str">
        <v>Camiones Industriales Motorizados (PIT) (Op. Montacargas)</v>
      </c>
      <c r="C5299" s="90" t="str">
        <v/>
      </c>
      <c r="D5299" s="89" t="str">
        <v>Periódica</v>
      </c>
      <c r="E5299" s="89">
        <v>365</v>
      </c>
      <c r="F5299" s="89" t="str">
        <v/>
      </c>
      <c r="G5299" s="89" t="str">
        <f ca="1"/>
        <v/>
      </c>
    </row>
    <row r="5300" spans="1:7" x14ac:dyDescent="0.3">
      <c r="A5300" s="89" t="str">
        <v/>
      </c>
      <c r="B5300" s="89" t="str">
        <v>Control de Energias Peligrosas (LOTO) (Todos)</v>
      </c>
      <c r="C5300" s="90" t="str">
        <v/>
      </c>
      <c r="D5300" s="89" t="str">
        <v>Evento</v>
      </c>
      <c r="E5300" s="89">
        <v>0</v>
      </c>
      <c r="F5300" s="89" t="str">
        <v/>
      </c>
      <c r="G5300" s="89" t="str">
        <f ca="1"/>
        <v/>
      </c>
    </row>
    <row r="5301" spans="1:7" x14ac:dyDescent="0.3">
      <c r="A5301" s="89" t="str">
        <v/>
      </c>
      <c r="B5301" s="89" t="str">
        <v>Control de Energias Peligrosas (LOTO) (Empleados Autorizados)</v>
      </c>
      <c r="C5301" s="90" t="str">
        <v/>
      </c>
      <c r="D5301" s="89" t="str">
        <v>Periódica</v>
      </c>
      <c r="E5301" s="89">
        <v>365</v>
      </c>
      <c r="F5301" s="89" t="str">
        <v/>
      </c>
      <c r="G5301" s="89" t="str">
        <f ca="1"/>
        <v/>
      </c>
    </row>
    <row r="5302" spans="1:7" x14ac:dyDescent="0.3">
      <c r="A5302" s="89" t="str">
        <v/>
      </c>
      <c r="B5302" s="89" t="str">
        <v>Seguridad aplicada al Pozo &amp; Yacimiento</v>
      </c>
      <c r="C5302" s="90" t="str">
        <v/>
      </c>
      <c r="D5302" s="89" t="str">
        <v>Periódica</v>
      </c>
      <c r="E5302" s="89">
        <v>365</v>
      </c>
      <c r="F5302" s="89" t="str">
        <v/>
      </c>
      <c r="G5302" s="89" t="str">
        <f ca="1"/>
        <v/>
      </c>
    </row>
    <row r="5303" spans="1:7" x14ac:dyDescent="0.3">
      <c r="A5303" s="89" t="str">
        <v/>
      </c>
      <c r="B5303" s="89" t="str">
        <v>Las Reglas que Salvan Vidas</v>
      </c>
      <c r="C5303" s="90" t="str">
        <v/>
      </c>
      <c r="D5303" s="89" t="str">
        <v>Periódica</v>
      </c>
      <c r="E5303" s="89">
        <v>365</v>
      </c>
      <c r="F5303" s="89" t="str">
        <v/>
      </c>
      <c r="G5303" s="89" t="str">
        <f ca="1"/>
        <v/>
      </c>
    </row>
    <row r="5304" spans="1:7" x14ac:dyDescent="0.3">
      <c r="A5304" s="89" t="str">
        <v/>
      </c>
      <c r="B5304" s="89" t="str">
        <v xml:space="preserve">Resguardo de Maquinas &amp; Equipos </v>
      </c>
      <c r="C5304" s="90" t="str">
        <v/>
      </c>
      <c r="D5304" s="89" t="str">
        <v>Periódica</v>
      </c>
      <c r="E5304" s="89">
        <v>365</v>
      </c>
      <c r="F5304" s="89" t="str">
        <v/>
      </c>
      <c r="G5304" s="89" t="str">
        <f ca="1"/>
        <v/>
      </c>
    </row>
    <row r="5305" spans="1:7" x14ac:dyDescent="0.3">
      <c r="A5305" s="89" t="str">
        <v/>
      </c>
      <c r="B5305" s="89" t="str">
        <v>Conduccion y Gestion de Viajes (Todos)</v>
      </c>
      <c r="C5305" s="90" t="str">
        <v/>
      </c>
      <c r="D5305" s="89" t="str">
        <v>Periódica</v>
      </c>
      <c r="E5305" s="89">
        <v>730</v>
      </c>
      <c r="F5305" s="89" t="str">
        <v/>
      </c>
      <c r="G5305" s="89" t="str">
        <f ca="1"/>
        <v/>
      </c>
    </row>
    <row r="5306" spans="1:7" x14ac:dyDescent="0.3">
      <c r="A5306" s="89" t="str">
        <v/>
      </c>
      <c r="B5306" s="89" t="str">
        <v>Conduccion y Gestion de Viajes (Conductores)</v>
      </c>
      <c r="C5306" s="90" t="str">
        <v/>
      </c>
      <c r="D5306" s="89" t="str">
        <v>Periódica</v>
      </c>
      <c r="E5306" s="89">
        <v>1095</v>
      </c>
      <c r="F5306" s="89" t="str">
        <v/>
      </c>
      <c r="G5306" s="89" t="str">
        <f ca="1"/>
        <v/>
      </c>
    </row>
    <row r="5307" spans="1:7" x14ac:dyDescent="0.3">
      <c r="A5307" s="89" t="str">
        <v/>
      </c>
      <c r="B5307" s="89" t="str">
        <v>Patogenos Transmitidos por la Sangre</v>
      </c>
      <c r="C5307" s="90" t="str">
        <v/>
      </c>
      <c r="D5307" s="89" t="str">
        <v>Periódica</v>
      </c>
      <c r="E5307" s="89">
        <v>365</v>
      </c>
      <c r="F5307" s="89" t="str">
        <v/>
      </c>
      <c r="G5307" s="89" t="str">
        <f ca="1"/>
        <v/>
      </c>
    </row>
    <row r="5308" spans="1:7" x14ac:dyDescent="0.3">
      <c r="A5308" s="89" t="str">
        <v/>
      </c>
      <c r="B5308" s="89" t="str">
        <v>Conservacion Auditiva</v>
      </c>
      <c r="C5308" s="90" t="str">
        <v/>
      </c>
      <c r="D5308" s="89" t="str">
        <v>Periódica</v>
      </c>
      <c r="E5308" s="89">
        <v>365</v>
      </c>
      <c r="F5308" s="89" t="str">
        <v/>
      </c>
      <c r="G5308" s="89" t="str">
        <f ca="1"/>
        <v/>
      </c>
    </row>
    <row r="5309" spans="1:7" x14ac:dyDescent="0.3">
      <c r="A5309" s="89" t="str">
        <v/>
      </c>
      <c r="B5309" s="89" t="str">
        <v xml:space="preserve">Ergonomia //  / Levantamiento &amp; Seguridad en la Espalda </v>
      </c>
      <c r="C5309" s="90" t="str">
        <v/>
      </c>
      <c r="D5309" s="89" t="str">
        <v>Periódica</v>
      </c>
      <c r="E5309" s="89">
        <v>365</v>
      </c>
      <c r="F5309" s="89" t="str">
        <v/>
      </c>
      <c r="G5309" s="89" t="str">
        <f ca="1"/>
        <v/>
      </c>
    </row>
    <row r="5310" spans="1:7" x14ac:dyDescent="0.3">
      <c r="A5310" s="89" t="str">
        <v/>
      </c>
      <c r="B5310" s="89" t="str">
        <v>Superficies Elevadas (Todos)</v>
      </c>
      <c r="C5310" s="90" t="str">
        <v/>
      </c>
      <c r="D5310" s="89" t="str">
        <v>Periódica</v>
      </c>
      <c r="E5310" s="89">
        <v>365</v>
      </c>
      <c r="F5310" s="89" t="str">
        <v/>
      </c>
      <c r="G5310" s="89" t="str">
        <f ca="1"/>
        <v/>
      </c>
    </row>
    <row r="5311" spans="1:7" x14ac:dyDescent="0.3">
      <c r="A5311" s="89" t="str">
        <v/>
      </c>
      <c r="B5311" s="89" t="str">
        <v>Superficies Elevadas (Personal Habilitado)</v>
      </c>
      <c r="C5311" s="90" t="str">
        <v/>
      </c>
      <c r="D5311" s="89" t="str">
        <v>Periódica</v>
      </c>
      <c r="E5311" s="89">
        <v>365</v>
      </c>
      <c r="F5311" s="89" t="str">
        <v/>
      </c>
      <c r="G5311" s="89" t="str">
        <f ca="1"/>
        <v/>
      </c>
    </row>
    <row r="5312" spans="1:7" x14ac:dyDescent="0.3">
      <c r="A5312" s="89" t="str">
        <v/>
      </c>
      <c r="B5312" s="89" t="str">
        <v>Seguridad Quimica (Todos)</v>
      </c>
      <c r="C5312" s="90" t="str">
        <v/>
      </c>
      <c r="D5312" s="89" t="str">
        <v>Periódica</v>
      </c>
      <c r="E5312" s="89">
        <v>730</v>
      </c>
      <c r="F5312" s="89" t="str">
        <v/>
      </c>
      <c r="G5312" s="89" t="str">
        <f ca="1"/>
        <v/>
      </c>
    </row>
    <row r="5313" spans="1:7" x14ac:dyDescent="0.3">
      <c r="A5313" s="89" t="str">
        <v/>
      </c>
      <c r="B5313" s="89" t="str">
        <v>Seguridad Quimica (Mantenimiento)</v>
      </c>
      <c r="C5313" s="90" t="str">
        <v/>
      </c>
      <c r="D5313" s="89" t="str">
        <v>Periódica</v>
      </c>
      <c r="E5313" s="89">
        <v>365</v>
      </c>
      <c r="F5313" s="89" t="str">
        <v/>
      </c>
      <c r="G5313" s="89" t="str">
        <f ca="1"/>
        <v/>
      </c>
    </row>
    <row r="5314" spans="1:7" x14ac:dyDescent="0.3">
      <c r="A5314" s="89" t="str">
        <v/>
      </c>
      <c r="B5314" s="89" t="str">
        <v>Seguridad Quimica (Contratistas)</v>
      </c>
      <c r="C5314" s="90" t="str">
        <v/>
      </c>
      <c r="D5314" s="89" t="str">
        <v>Periódica</v>
      </c>
      <c r="E5314" s="89">
        <v>365</v>
      </c>
      <c r="F5314" s="89" t="str">
        <v/>
      </c>
      <c r="G5314" s="89" t="str">
        <f ca="1"/>
        <v/>
      </c>
    </row>
    <row r="5315" spans="1:7" x14ac:dyDescent="0.3">
      <c r="A5315" s="89" t="str">
        <v/>
      </c>
      <c r="B5315" s="89" t="str">
        <v>Seguridad para Trabajos en Caliente</v>
      </c>
      <c r="C5315" s="90" t="str">
        <v/>
      </c>
      <c r="D5315" s="89" t="str">
        <v>Periódica</v>
      </c>
      <c r="E5315" s="89">
        <v>365</v>
      </c>
      <c r="F5315" s="89" t="str">
        <v/>
      </c>
      <c r="G5315" s="89" t="str">
        <f ca="1"/>
        <v/>
      </c>
    </row>
    <row r="5316" spans="1:7" x14ac:dyDescent="0.3">
      <c r="A5316" s="89" t="str">
        <v/>
      </c>
      <c r="B5316" s="89" t="str">
        <v>Seguridad con la Radiacion</v>
      </c>
      <c r="C5316" s="90" t="str">
        <v/>
      </c>
      <c r="D5316" s="89" t="str">
        <v>Periódica</v>
      </c>
      <c r="E5316" s="89">
        <v>365</v>
      </c>
      <c r="F5316" s="89" t="str">
        <v/>
      </c>
      <c r="G5316" s="89" t="str">
        <f ca="1"/>
        <v/>
      </c>
    </row>
    <row r="5317" spans="1:7" x14ac:dyDescent="0.3">
      <c r="A5317" s="89" t="str">
        <v/>
      </c>
      <c r="B5317" s="89" t="str">
        <v>Equipo de Proteccion Personal (PPE)</v>
      </c>
      <c r="C5317" s="90" t="str">
        <v/>
      </c>
      <c r="D5317" s="89" t="str">
        <v>Periódica</v>
      </c>
      <c r="E5317" s="89">
        <v>365</v>
      </c>
      <c r="F5317" s="89" t="str">
        <v/>
      </c>
      <c r="G5317" s="89" t="str">
        <f ca="1"/>
        <v/>
      </c>
    </row>
    <row r="5318" spans="1:7" x14ac:dyDescent="0.3">
      <c r="A5318" s="89" t="str">
        <v/>
      </c>
      <c r="B5318" s="89" t="str">
        <v>Proteccion Respiratoria</v>
      </c>
      <c r="C5318" s="90" t="str">
        <v/>
      </c>
      <c r="D5318" s="89" t="str">
        <v>Periódica</v>
      </c>
      <c r="E5318" s="89">
        <v>365</v>
      </c>
      <c r="F5318" s="89" t="str">
        <v/>
      </c>
      <c r="G5318" s="89" t="str">
        <f ca="1"/>
        <v/>
      </c>
    </row>
    <row r="5319" spans="1:7" x14ac:dyDescent="0.3">
      <c r="A5319" s="89" t="str">
        <v/>
      </c>
      <c r="B5319" s="89" t="str">
        <v xml:space="preserve">Seguridad con Escaleras </v>
      </c>
      <c r="C5319" s="90" t="str">
        <v/>
      </c>
      <c r="D5319" s="89" t="str">
        <v>Periódica</v>
      </c>
      <c r="E5319" s="89">
        <v>365</v>
      </c>
      <c r="F5319" s="89" t="str">
        <v/>
      </c>
      <c r="G5319" s="89" t="str">
        <f ca="1"/>
        <v/>
      </c>
    </row>
    <row r="5320" spans="1:7" x14ac:dyDescent="0.3">
      <c r="A5320" s="89" t="str">
        <v/>
      </c>
      <c r="B5320" s="89" t="str">
        <v>Seguridad con Escaleras // Estantes de Almacenamiento</v>
      </c>
      <c r="C5320" s="90" t="str">
        <v/>
      </c>
      <c r="D5320" s="89" t="str">
        <v>Periódica</v>
      </c>
      <c r="E5320" s="89">
        <v>365</v>
      </c>
      <c r="F5320" s="89" t="str">
        <v/>
      </c>
      <c r="G5320" s="89" t="str">
        <f ca="1"/>
        <v/>
      </c>
    </row>
    <row r="5321" spans="1:7" x14ac:dyDescent="0.3">
      <c r="A5321" s="89" t="str">
        <v/>
      </c>
      <c r="B5321" s="89" t="str">
        <v>Responsabilidades del Supervisor</v>
      </c>
      <c r="C5321" s="90" t="str">
        <v/>
      </c>
      <c r="D5321" s="89" t="str">
        <v>Periódica</v>
      </c>
      <c r="E5321" s="89">
        <v>365</v>
      </c>
      <c r="F5321" s="89" t="str">
        <v/>
      </c>
      <c r="G5321" s="89" t="str">
        <f ca="1"/>
        <v/>
      </c>
    </row>
    <row r="5322" spans="1:7" x14ac:dyDescent="0.3">
      <c r="A5322" s="89" t="str">
        <v/>
      </c>
      <c r="B5322" s="89" t="str">
        <v>Espacios Confinados (Todos)</v>
      </c>
      <c r="C5322" s="90" t="str">
        <v/>
      </c>
      <c r="D5322" s="89" t="str">
        <v>Periódica</v>
      </c>
      <c r="E5322" s="89">
        <v>365</v>
      </c>
      <c r="F5322" s="89" t="str">
        <v/>
      </c>
      <c r="G5322" s="89" t="str">
        <f ca="1"/>
        <v/>
      </c>
    </row>
    <row r="5323" spans="1:7" x14ac:dyDescent="0.3">
      <c r="A5323" s="89" t="str">
        <v/>
      </c>
      <c r="B5323" s="89" t="str">
        <v>HSMS.017 / Espacios Confinados (Entrantes)</v>
      </c>
      <c r="C5323" s="90" t="str">
        <v/>
      </c>
      <c r="D5323" s="89" t="str">
        <v>Evento</v>
      </c>
      <c r="E5323" s="89">
        <v>0</v>
      </c>
      <c r="F5323" s="89" t="str">
        <v/>
      </c>
      <c r="G5323" s="89" t="str">
        <f ca="1"/>
        <v/>
      </c>
    </row>
    <row r="5324" spans="1:7" x14ac:dyDescent="0.3">
      <c r="A5324" s="89" t="str">
        <v/>
      </c>
      <c r="B5324" s="89" t="str">
        <v>Programa de Agua (Todos)</v>
      </c>
      <c r="C5324" s="90" t="str">
        <v/>
      </c>
      <c r="D5324" s="89" t="str">
        <v>Evento</v>
      </c>
      <c r="E5324" s="89">
        <v>0</v>
      </c>
      <c r="F5324" s="89" t="str">
        <v/>
      </c>
      <c r="G5324" s="89" t="str">
        <f ca="1"/>
        <v/>
      </c>
    </row>
    <row r="5325" spans="1:7" x14ac:dyDescent="0.3">
      <c r="A5325" s="89" t="str">
        <v/>
      </c>
      <c r="B5325" s="89" t="str">
        <v>Programa de Agua (HSE)</v>
      </c>
      <c r="C5325" s="90" t="str">
        <v/>
      </c>
      <c r="D5325" s="89" t="str">
        <v>Evento</v>
      </c>
      <c r="E5325" s="89">
        <v>0</v>
      </c>
      <c r="F5325" s="89" t="str">
        <v/>
      </c>
      <c r="G5325" s="89" t="str">
        <f ca="1"/>
        <v/>
      </c>
    </row>
    <row r="5326" spans="1:7" x14ac:dyDescent="0.3">
      <c r="A5326" s="89" t="str">
        <v/>
      </c>
      <c r="B5326" s="89" t="str">
        <v>HIV/SIDA y otras enfermedades de transmisión sexual (ETS)</v>
      </c>
      <c r="C5326" s="90" t="str">
        <v/>
      </c>
      <c r="D5326" s="89" t="str">
        <v>Periódica</v>
      </c>
      <c r="E5326" s="89">
        <v>365</v>
      </c>
      <c r="F5326" s="89" t="str">
        <v/>
      </c>
      <c r="G5326" s="89" t="str">
        <f ca="1"/>
        <v/>
      </c>
    </row>
    <row r="5327" spans="1:7" x14ac:dyDescent="0.3">
      <c r="A5327" s="89" t="str">
        <v/>
      </c>
      <c r="B5327" s="89" t="str">
        <v>Drogas de abuso (concientización y prevención)</v>
      </c>
      <c r="C5327" s="90" t="str">
        <v/>
      </c>
      <c r="D5327" s="89" t="str">
        <v>Periódica</v>
      </c>
      <c r="E5327" s="89">
        <v>365</v>
      </c>
      <c r="F5327" s="89" t="str">
        <v/>
      </c>
      <c r="G5327" s="89" t="str">
        <f ca="1"/>
        <v/>
      </c>
    </row>
    <row r="5328" spans="1:7" x14ac:dyDescent="0.3">
      <c r="A5328" s="89" t="str">
        <v/>
      </c>
      <c r="B5328" s="89" t="str">
        <v>Vida saludable (hábitos, autocuidado y bienestar)</v>
      </c>
      <c r="C5328" s="90" t="str">
        <v/>
      </c>
      <c r="D5328" s="89" t="str">
        <v>Periódica</v>
      </c>
      <c r="E5328" s="89">
        <v>365</v>
      </c>
      <c r="F5328" s="89" t="str">
        <v/>
      </c>
      <c r="G5328" s="89" t="str">
        <f ca="1"/>
        <v/>
      </c>
    </row>
    <row r="5329" spans="1:7" x14ac:dyDescent="0.3">
      <c r="A5329" s="89" t="str">
        <v/>
      </c>
      <c r="B5329" s="89" t="str">
        <v>Primeros auxilios y Reanimación Cardio Pulmonar (RCP)</v>
      </c>
      <c r="C5329" s="90" t="str">
        <v/>
      </c>
      <c r="D5329" s="89" t="str">
        <v>Periódica</v>
      </c>
      <c r="E5329" s="89">
        <v>365</v>
      </c>
      <c r="F5329" s="89" t="str">
        <v/>
      </c>
      <c r="G5329" s="89" t="str">
        <f ca="1"/>
        <v/>
      </c>
    </row>
    <row r="5330" spans="1:7" x14ac:dyDescent="0.3">
      <c r="A5330" s="89" t="str">
        <v/>
      </c>
      <c r="B5330" s="89" t="str">
        <v>Prevención cardiovascular (factores de riesgo y señales de alarma)</v>
      </c>
      <c r="C5330" s="90" t="str">
        <v/>
      </c>
      <c r="D5330" s="89" t="str">
        <v>Periódica</v>
      </c>
      <c r="E5330" s="89">
        <v>365</v>
      </c>
      <c r="F5330" s="89" t="str">
        <v/>
      </c>
      <c r="G5330" s="89" t="str">
        <f ca="1"/>
        <v/>
      </c>
    </row>
    <row r="5331" spans="1:7" x14ac:dyDescent="0.3">
      <c r="A5331" s="89" t="str">
        <v/>
      </c>
      <c r="B5331" s="89" t="str">
        <v>Efectos del tabaco sobre la salud</v>
      </c>
      <c r="C5331" s="90" t="str">
        <v/>
      </c>
      <c r="D5331" s="89" t="str">
        <v>Periódica</v>
      </c>
      <c r="E5331" s="89">
        <v>365</v>
      </c>
      <c r="F5331" s="89" t="str">
        <v/>
      </c>
      <c r="G5331" s="89" t="str">
        <f ca="1"/>
        <v/>
      </c>
    </row>
    <row r="5332" spans="1:7" x14ac:dyDescent="0.3">
      <c r="A5332" s="89" t="str">
        <v/>
      </c>
      <c r="B5332" s="89" t="str">
        <v>Cargadora (Op. Montacargas)</v>
      </c>
      <c r="C5332" s="90" t="str">
        <v/>
      </c>
      <c r="D5332" s="89" t="str">
        <v>Periódica</v>
      </c>
      <c r="E5332" s="89">
        <v>365</v>
      </c>
      <c r="F5332" s="89" t="str">
        <v/>
      </c>
      <c r="G5332" s="89" t="str">
        <f ca="1"/>
        <v/>
      </c>
    </row>
    <row r="5333" spans="1:7" x14ac:dyDescent="0.3">
      <c r="A5333" s="89" t="str">
        <v/>
      </c>
      <c r="B5333" s="89">
        <v>0</v>
      </c>
      <c r="C5333" s="90" t="str">
        <v/>
      </c>
      <c r="D5333" s="89" t="str">
        <v/>
      </c>
      <c r="E5333" s="89" t="str">
        <v/>
      </c>
      <c r="F5333" s="89" t="str">
        <v/>
      </c>
      <c r="G5333" s="89" t="str">
        <f ca="1"/>
        <v/>
      </c>
    </row>
    <row r="5334" spans="1:7" x14ac:dyDescent="0.3">
      <c r="A5334" s="89" t="str">
        <v/>
      </c>
      <c r="B5334" s="89">
        <v>0</v>
      </c>
      <c r="C5334" s="90" t="str">
        <v/>
      </c>
      <c r="D5334" s="89" t="str">
        <v/>
      </c>
      <c r="E5334" s="89" t="str">
        <v/>
      </c>
      <c r="F5334" s="89" t="str">
        <v/>
      </c>
      <c r="G5334" s="89" t="str">
        <f ca="1"/>
        <v/>
      </c>
    </row>
    <row r="5335" spans="1:7" x14ac:dyDescent="0.3">
      <c r="A5335" s="89" t="str">
        <v/>
      </c>
      <c r="B5335" s="89">
        <v>0</v>
      </c>
      <c r="C5335" s="90" t="str">
        <v/>
      </c>
      <c r="D5335" s="89" t="str">
        <v/>
      </c>
      <c r="E5335" s="89" t="str">
        <v/>
      </c>
      <c r="F5335" s="89" t="str">
        <v/>
      </c>
      <c r="G5335" s="89" t="str">
        <f ca="1"/>
        <v/>
      </c>
    </row>
    <row r="5336" spans="1:7" x14ac:dyDescent="0.3">
      <c r="A5336" s="89" t="str">
        <v/>
      </c>
      <c r="B5336" s="89">
        <v>0</v>
      </c>
      <c r="C5336" s="90" t="str">
        <v/>
      </c>
      <c r="D5336" s="89" t="str">
        <v/>
      </c>
      <c r="E5336" s="89" t="str">
        <v/>
      </c>
      <c r="F5336" s="89" t="str">
        <v/>
      </c>
      <c r="G5336" s="89" t="str">
        <f ca="1"/>
        <v/>
      </c>
    </row>
    <row r="5337" spans="1:7" x14ac:dyDescent="0.3">
      <c r="A5337" s="89" t="str">
        <v/>
      </c>
      <c r="B5337" s="89">
        <v>0</v>
      </c>
      <c r="C5337" s="90" t="str">
        <v/>
      </c>
      <c r="D5337" s="89" t="str">
        <v/>
      </c>
      <c r="E5337" s="89" t="str">
        <v/>
      </c>
      <c r="F5337" s="89" t="str">
        <v/>
      </c>
      <c r="G5337" s="89" t="str">
        <f ca="1"/>
        <v/>
      </c>
    </row>
    <row r="5338" spans="1:7" x14ac:dyDescent="0.3">
      <c r="A5338" s="89" t="str">
        <v/>
      </c>
      <c r="B5338" s="89">
        <v>0</v>
      </c>
      <c r="C5338" s="90" t="str">
        <v/>
      </c>
      <c r="D5338" s="89" t="str">
        <v/>
      </c>
      <c r="E5338" s="89" t="str">
        <v/>
      </c>
      <c r="F5338" s="89" t="str">
        <v/>
      </c>
      <c r="G5338" s="89" t="str">
        <f ca="1"/>
        <v/>
      </c>
    </row>
    <row r="5339" spans="1:7" x14ac:dyDescent="0.3">
      <c r="A5339" s="89" t="str">
        <v/>
      </c>
      <c r="B5339" s="89">
        <v>0</v>
      </c>
      <c r="C5339" s="90" t="str">
        <v/>
      </c>
      <c r="D5339" s="89" t="str">
        <v/>
      </c>
      <c r="E5339" s="89" t="str">
        <v/>
      </c>
      <c r="F5339" s="89" t="str">
        <v/>
      </c>
      <c r="G5339" s="89" t="str">
        <f ca="1"/>
        <v/>
      </c>
    </row>
    <row r="5340" spans="1:7" x14ac:dyDescent="0.3">
      <c r="A5340" s="89" t="str">
        <v/>
      </c>
      <c r="B5340" s="89">
        <v>0</v>
      </c>
      <c r="C5340" s="90" t="str">
        <v/>
      </c>
      <c r="D5340" s="89" t="str">
        <v/>
      </c>
      <c r="E5340" s="89" t="str">
        <v/>
      </c>
      <c r="F5340" s="89" t="str">
        <v/>
      </c>
      <c r="G5340" s="89" t="str">
        <f ca="1"/>
        <v/>
      </c>
    </row>
    <row r="5341" spans="1:7" x14ac:dyDescent="0.3">
      <c r="A5341" s="89" t="str">
        <v/>
      </c>
      <c r="B5341" s="89">
        <v>0</v>
      </c>
      <c r="C5341" s="90" t="str">
        <v/>
      </c>
      <c r="D5341" s="89" t="str">
        <v/>
      </c>
      <c r="E5341" s="89" t="str">
        <v/>
      </c>
      <c r="F5341" s="89" t="str">
        <v/>
      </c>
      <c r="G5341" s="89" t="str">
        <f ca="1"/>
        <v/>
      </c>
    </row>
    <row r="5342" spans="1:7" x14ac:dyDescent="0.3">
      <c r="A5342" s="89" t="str">
        <v/>
      </c>
      <c r="B5342" s="89" t="str">
        <v>Programa de Aire</v>
      </c>
      <c r="C5342" s="90" t="str">
        <v/>
      </c>
      <c r="D5342" s="89" t="str">
        <v>Evento</v>
      </c>
      <c r="E5342" s="89">
        <v>0</v>
      </c>
      <c r="F5342" s="89" t="str">
        <v/>
      </c>
      <c r="G5342" s="89" t="str">
        <f ca="1"/>
        <v/>
      </c>
    </row>
    <row r="5343" spans="1:7" x14ac:dyDescent="0.3">
      <c r="A5343" s="89" t="str">
        <v/>
      </c>
      <c r="B5343" s="89" t="str">
        <v>Conciencia Ambiental</v>
      </c>
      <c r="C5343" s="90" t="str">
        <v/>
      </c>
      <c r="D5343" s="89" t="str">
        <v>Periódica</v>
      </c>
      <c r="E5343" s="89">
        <v>365</v>
      </c>
      <c r="F5343" s="89" t="str">
        <v/>
      </c>
      <c r="G5343" s="89" t="str">
        <f ca="1"/>
        <v/>
      </c>
    </row>
    <row r="5344" spans="1:7" x14ac:dyDescent="0.3">
      <c r="A5344" s="89" t="str">
        <v/>
      </c>
      <c r="B5344" s="89" t="str">
        <v xml:space="preserve">Control de Documentos e Informacion de HSE </v>
      </c>
      <c r="C5344" s="90" t="str">
        <v/>
      </c>
      <c r="D5344" s="89" t="str">
        <v>Evento</v>
      </c>
      <c r="E5344" s="89">
        <v>0</v>
      </c>
      <c r="F5344" s="89" t="str">
        <v/>
      </c>
      <c r="G5344" s="89" t="str">
        <f ca="1"/>
        <v/>
      </c>
    </row>
    <row r="5345" spans="1:7" x14ac:dyDescent="0.3">
      <c r="A5345" s="89" t="str">
        <v/>
      </c>
      <c r="B5345" s="89" t="str">
        <v xml:space="preserve"> Acciones Correctivas y Preventivas (CAPA)</v>
      </c>
      <c r="C5345" s="90" t="str">
        <v/>
      </c>
      <c r="D5345" s="89" t="str">
        <v>Evento</v>
      </c>
      <c r="E5345" s="89">
        <v>0</v>
      </c>
      <c r="F5345" s="89" t="str">
        <v/>
      </c>
      <c r="G5345" s="89" t="str">
        <f ca="1"/>
        <v/>
      </c>
    </row>
    <row r="5346" spans="1:7" x14ac:dyDescent="0.3">
      <c r="A5346" s="89" t="str">
        <v/>
      </c>
      <c r="B5346" s="89" t="str">
        <v>Seguridad Basada en el Comportamiento (Observation Program) // HSMS.043 / Autoridad de Detener el Trabajo</v>
      </c>
      <c r="C5346" s="90" t="str">
        <v/>
      </c>
      <c r="D5346" s="89" t="str">
        <v>Periódica</v>
      </c>
      <c r="E5346" s="89">
        <v>365</v>
      </c>
      <c r="F5346" s="89" t="str">
        <v/>
      </c>
      <c r="G5346" s="89" t="str">
        <f ca="1"/>
        <v/>
      </c>
    </row>
    <row r="5347" spans="1:7" x14ac:dyDescent="0.3">
      <c r="A5347" s="89" t="str">
        <v/>
      </c>
      <c r="B5347" s="89" t="str">
        <v>Identificacion de Peligros y Evaluacion de Riesgos</v>
      </c>
      <c r="C5347" s="90" t="str">
        <v/>
      </c>
      <c r="D5347" s="89" t="str">
        <v>Evento</v>
      </c>
      <c r="E5347" s="89">
        <v>0</v>
      </c>
      <c r="F5347" s="89" t="str">
        <v/>
      </c>
      <c r="G5347" s="89" t="str">
        <f ca="1"/>
        <v/>
      </c>
    </row>
    <row r="5348" spans="1:7" x14ac:dyDescent="0.3">
      <c r="A5348" s="89" t="str">
        <v/>
      </c>
      <c r="B5348" s="89" t="str">
        <v xml:space="preserve"> Plan de Respuesta ante Eemergencias / HSMS.010 /Primeros Axulios &amp; RCP/DEA / HSMSWT-002 / Patogenos Trasnmitidos por la Sangre</v>
      </c>
      <c r="C5348" s="90" t="str">
        <v/>
      </c>
      <c r="D5348" s="89" t="str">
        <v>Periódica</v>
      </c>
      <c r="E5348" s="89">
        <v>365</v>
      </c>
      <c r="F5348" s="89" t="str">
        <v/>
      </c>
      <c r="G5348" s="89" t="str">
        <f ca="1"/>
        <v/>
      </c>
    </row>
    <row r="5349" spans="1:7" x14ac:dyDescent="0.3">
      <c r="A5349" s="89" t="str">
        <v/>
      </c>
      <c r="B5349" s="89" t="str">
        <v>Reporte y Gestion de Incidentes HSE (Todos)</v>
      </c>
      <c r="C5349" s="90" t="str">
        <v/>
      </c>
      <c r="D5349" s="89" t="str">
        <v>Periódica</v>
      </c>
      <c r="E5349" s="89">
        <v>365</v>
      </c>
      <c r="F5349" s="89" t="str">
        <v/>
      </c>
      <c r="G5349" s="89" t="str">
        <f ca="1"/>
        <v/>
      </c>
    </row>
    <row r="5350" spans="1:7" x14ac:dyDescent="0.3">
      <c r="A5350" s="89" t="str">
        <v/>
      </c>
      <c r="B5350" s="89" t="str">
        <v>Reporte, Gestion e Investigacion de Incidentes HSE (supervisores / investigadores (rol))</v>
      </c>
      <c r="C5350" s="90" t="str">
        <v/>
      </c>
      <c r="D5350" s="89" t="str">
        <v>Periódica</v>
      </c>
      <c r="E5350" s="89">
        <v>1095</v>
      </c>
      <c r="F5350" s="89" t="str">
        <v/>
      </c>
      <c r="G5350" s="89" t="str">
        <f ca="1"/>
        <v/>
      </c>
    </row>
    <row r="5351" spans="1:7" x14ac:dyDescent="0.3">
      <c r="A5351" s="89" t="str">
        <v/>
      </c>
      <c r="B5351" s="89" t="str">
        <v>Gruas y Equipos de Izaje (Todos)</v>
      </c>
      <c r="C5351" s="90" t="str">
        <v/>
      </c>
      <c r="D5351" s="89" t="str">
        <v>Periódica</v>
      </c>
      <c r="E5351" s="89">
        <v>365</v>
      </c>
      <c r="F5351" s="89" t="str">
        <v/>
      </c>
      <c r="G5351" s="89" t="str">
        <f ca="1"/>
        <v/>
      </c>
    </row>
    <row r="5352" spans="1:7" x14ac:dyDescent="0.3">
      <c r="A5352" s="89" t="str">
        <v/>
      </c>
      <c r="B5352" s="89" t="str">
        <v>HSMS.007 / Gruas y Equipos de Izaje (Operadores)</v>
      </c>
      <c r="C5352" s="90" t="str">
        <v/>
      </c>
      <c r="D5352" s="89" t="str">
        <v>Periódica</v>
      </c>
      <c r="E5352" s="89">
        <v>365</v>
      </c>
      <c r="F5352" s="89" t="str">
        <v/>
      </c>
      <c r="G5352" s="89" t="str">
        <f ca="1"/>
        <v/>
      </c>
    </row>
    <row r="5353" spans="1:7" x14ac:dyDescent="0.3">
      <c r="A5353" s="89" t="str">
        <v/>
      </c>
      <c r="B5353" s="89" t="str">
        <v>Proteccion Contra Incendios (Todos)</v>
      </c>
      <c r="C5353" s="90" t="str">
        <v/>
      </c>
      <c r="D5353" s="89" t="str">
        <v>Periódica</v>
      </c>
      <c r="E5353" s="89">
        <v>365</v>
      </c>
      <c r="F5353" s="89" t="str">
        <v/>
      </c>
      <c r="G5353" s="89" t="str">
        <f ca="1"/>
        <v/>
      </c>
    </row>
    <row r="5354" spans="1:7" x14ac:dyDescent="0.3">
      <c r="A5354" s="89" t="str">
        <v/>
      </c>
      <c r="B5354" s="89" t="str">
        <v>Proteccion Contra Incendios (Brigadistas)</v>
      </c>
      <c r="C5354" s="90" t="str">
        <v/>
      </c>
      <c r="D5354" s="89" t="str">
        <v>Periódica</v>
      </c>
      <c r="E5354" s="89">
        <v>365</v>
      </c>
      <c r="F5354" s="89" t="str">
        <v/>
      </c>
      <c r="G5354" s="89" t="str">
        <f ca="1"/>
        <v/>
      </c>
    </row>
    <row r="5355" spans="1:7" x14ac:dyDescent="0.3">
      <c r="A5355" s="89" t="str">
        <v/>
      </c>
      <c r="B5355" s="89" t="str">
        <v>Primeros Auxilios (Brigadistas)</v>
      </c>
      <c r="C5355" s="90" t="str">
        <v/>
      </c>
      <c r="D5355" s="89" t="str">
        <v>Periódica</v>
      </c>
      <c r="E5355" s="89">
        <v>365</v>
      </c>
      <c r="F5355" s="89" t="str">
        <v/>
      </c>
      <c r="G5355" s="89" t="str">
        <f ca="1"/>
        <v/>
      </c>
    </row>
    <row r="5356" spans="1:7" x14ac:dyDescent="0.3">
      <c r="A5356" s="89" t="str">
        <v/>
      </c>
      <c r="B5356" s="89" t="str">
        <v>Seguridad Electrica (Todos)</v>
      </c>
      <c r="C5356" s="90" t="str">
        <v/>
      </c>
      <c r="D5356" s="89" t="str">
        <v>Periódica</v>
      </c>
      <c r="E5356" s="89">
        <v>365</v>
      </c>
      <c r="F5356" s="89" t="str">
        <v/>
      </c>
      <c r="G5356" s="89" t="str">
        <f ca="1"/>
        <v/>
      </c>
    </row>
    <row r="5357" spans="1:7" x14ac:dyDescent="0.3">
      <c r="A5357" s="89" t="str">
        <v/>
      </c>
      <c r="B5357" s="89" t="str">
        <v>Seguridad Electrica (Personal Autorizado)</v>
      </c>
      <c r="C5357" s="90" t="str">
        <v/>
      </c>
      <c r="D5357" s="89" t="str">
        <v>Periódica</v>
      </c>
      <c r="E5357" s="89">
        <v>1095</v>
      </c>
      <c r="F5357" s="89" t="str">
        <v/>
      </c>
      <c r="G5357" s="89" t="str">
        <f ca="1"/>
        <v/>
      </c>
    </row>
    <row r="5358" spans="1:7" x14ac:dyDescent="0.3">
      <c r="A5358" s="89" t="str">
        <v/>
      </c>
      <c r="B5358" s="89" t="str">
        <v>Camiones Industriales Motorizados (PIT) (Todos)</v>
      </c>
      <c r="C5358" s="90" t="str">
        <v/>
      </c>
      <c r="D5358" s="89" t="str">
        <v>Periódica</v>
      </c>
      <c r="E5358" s="89">
        <v>365</v>
      </c>
      <c r="F5358" s="89" t="str">
        <v/>
      </c>
      <c r="G5358" s="89" t="str">
        <f ca="1"/>
        <v/>
      </c>
    </row>
    <row r="5359" spans="1:7" x14ac:dyDescent="0.3">
      <c r="A5359" s="89" t="str">
        <v/>
      </c>
      <c r="B5359" s="89" t="str">
        <v>Camiones Industriales Motorizados (PIT) (Op. Montacargas)</v>
      </c>
      <c r="C5359" s="90" t="str">
        <v/>
      </c>
      <c r="D5359" s="89" t="str">
        <v>Periódica</v>
      </c>
      <c r="E5359" s="89">
        <v>365</v>
      </c>
      <c r="F5359" s="89" t="str">
        <v/>
      </c>
      <c r="G5359" s="89" t="str">
        <f ca="1"/>
        <v/>
      </c>
    </row>
    <row r="5360" spans="1:7" x14ac:dyDescent="0.3">
      <c r="A5360" s="89" t="str">
        <v/>
      </c>
      <c r="B5360" s="89" t="str">
        <v>Control de Energias Peligrosas (LOTO) (Todos)</v>
      </c>
      <c r="C5360" s="90" t="str">
        <v/>
      </c>
      <c r="D5360" s="89" t="str">
        <v>Evento</v>
      </c>
      <c r="E5360" s="89">
        <v>0</v>
      </c>
      <c r="F5360" s="89" t="str">
        <v/>
      </c>
      <c r="G5360" s="89" t="str">
        <f ca="1"/>
        <v/>
      </c>
    </row>
    <row r="5361" spans="1:7" x14ac:dyDescent="0.3">
      <c r="A5361" s="89" t="str">
        <v/>
      </c>
      <c r="B5361" s="89" t="str">
        <v>Control de Energias Peligrosas (LOTO) (Empleados Autorizados)</v>
      </c>
      <c r="C5361" s="90" t="str">
        <v/>
      </c>
      <c r="D5361" s="89" t="str">
        <v>Periódica</v>
      </c>
      <c r="E5361" s="89">
        <v>365</v>
      </c>
      <c r="F5361" s="89" t="str">
        <v/>
      </c>
      <c r="G5361" s="89" t="str">
        <f ca="1"/>
        <v/>
      </c>
    </row>
    <row r="5362" spans="1:7" x14ac:dyDescent="0.3">
      <c r="A5362" s="89" t="str">
        <v/>
      </c>
      <c r="B5362" s="89" t="str">
        <v>Seguridad aplicada al Pozo &amp; Yacimiento</v>
      </c>
      <c r="C5362" s="90" t="str">
        <v/>
      </c>
      <c r="D5362" s="89" t="str">
        <v>Periódica</v>
      </c>
      <c r="E5362" s="89">
        <v>365</v>
      </c>
      <c r="F5362" s="89" t="str">
        <v/>
      </c>
      <c r="G5362" s="89" t="str">
        <f ca="1"/>
        <v/>
      </c>
    </row>
    <row r="5363" spans="1:7" x14ac:dyDescent="0.3">
      <c r="A5363" s="89" t="str">
        <v/>
      </c>
      <c r="B5363" s="89" t="str">
        <v>Las Reglas que Salvan Vidas</v>
      </c>
      <c r="C5363" s="90" t="str">
        <v/>
      </c>
      <c r="D5363" s="89" t="str">
        <v>Periódica</v>
      </c>
      <c r="E5363" s="89">
        <v>365</v>
      </c>
      <c r="F5363" s="89" t="str">
        <v/>
      </c>
      <c r="G5363" s="89" t="str">
        <f ca="1"/>
        <v/>
      </c>
    </row>
    <row r="5364" spans="1:7" x14ac:dyDescent="0.3">
      <c r="A5364" s="89" t="str">
        <v/>
      </c>
      <c r="B5364" s="89" t="str">
        <v xml:space="preserve">Resguardo de Maquinas &amp; Equipos </v>
      </c>
      <c r="C5364" s="90" t="str">
        <v/>
      </c>
      <c r="D5364" s="89" t="str">
        <v>Periódica</v>
      </c>
      <c r="E5364" s="89">
        <v>365</v>
      </c>
      <c r="F5364" s="89" t="str">
        <v/>
      </c>
      <c r="G5364" s="89" t="str">
        <f ca="1"/>
        <v/>
      </c>
    </row>
    <row r="5365" spans="1:7" x14ac:dyDescent="0.3">
      <c r="A5365" s="89" t="str">
        <v/>
      </c>
      <c r="B5365" s="89" t="str">
        <v>Conduccion y Gestion de Viajes (Todos)</v>
      </c>
      <c r="C5365" s="90" t="str">
        <v/>
      </c>
      <c r="D5365" s="89" t="str">
        <v>Periódica</v>
      </c>
      <c r="E5365" s="89">
        <v>730</v>
      </c>
      <c r="F5365" s="89" t="str">
        <v/>
      </c>
      <c r="G5365" s="89" t="str">
        <f ca="1"/>
        <v/>
      </c>
    </row>
    <row r="5366" spans="1:7" x14ac:dyDescent="0.3">
      <c r="A5366" s="89" t="str">
        <v/>
      </c>
      <c r="B5366" s="89" t="str">
        <v>Conduccion y Gestion de Viajes (Conductores)</v>
      </c>
      <c r="C5366" s="90" t="str">
        <v/>
      </c>
      <c r="D5366" s="89" t="str">
        <v>Periódica</v>
      </c>
      <c r="E5366" s="89">
        <v>1095</v>
      </c>
      <c r="F5366" s="89" t="str">
        <v/>
      </c>
      <c r="G5366" s="89" t="str">
        <f ca="1"/>
        <v/>
      </c>
    </row>
    <row r="5367" spans="1:7" x14ac:dyDescent="0.3">
      <c r="A5367" s="89" t="str">
        <v/>
      </c>
      <c r="B5367" s="89" t="str">
        <v>Patogenos Transmitidos por la Sangre</v>
      </c>
      <c r="C5367" s="90" t="str">
        <v/>
      </c>
      <c r="D5367" s="89" t="str">
        <v>Periódica</v>
      </c>
      <c r="E5367" s="89">
        <v>365</v>
      </c>
      <c r="F5367" s="89" t="str">
        <v/>
      </c>
      <c r="G5367" s="89" t="str">
        <f ca="1"/>
        <v/>
      </c>
    </row>
    <row r="5368" spans="1:7" x14ac:dyDescent="0.3">
      <c r="A5368" s="89" t="str">
        <v/>
      </c>
      <c r="B5368" s="89" t="str">
        <v>Conservacion Auditiva</v>
      </c>
      <c r="C5368" s="90" t="str">
        <v/>
      </c>
      <c r="D5368" s="89" t="str">
        <v>Periódica</v>
      </c>
      <c r="E5368" s="89">
        <v>365</v>
      </c>
      <c r="F5368" s="89" t="str">
        <v/>
      </c>
      <c r="G5368" s="89" t="str">
        <f ca="1"/>
        <v/>
      </c>
    </row>
    <row r="5369" spans="1:7" x14ac:dyDescent="0.3">
      <c r="A5369" s="89" t="str">
        <v/>
      </c>
      <c r="B5369" s="89" t="str">
        <v xml:space="preserve">Ergonomia //  / Levantamiento &amp; Seguridad en la Espalda </v>
      </c>
      <c r="C5369" s="90" t="str">
        <v/>
      </c>
      <c r="D5369" s="89" t="str">
        <v>Periódica</v>
      </c>
      <c r="E5369" s="89">
        <v>365</v>
      </c>
      <c r="F5369" s="89" t="str">
        <v/>
      </c>
      <c r="G5369" s="89" t="str">
        <f ca="1"/>
        <v/>
      </c>
    </row>
    <row r="5370" spans="1:7" x14ac:dyDescent="0.3">
      <c r="A5370" s="89" t="str">
        <v/>
      </c>
      <c r="B5370" s="89" t="str">
        <v>Superficies Elevadas (Todos)</v>
      </c>
      <c r="C5370" s="90" t="str">
        <v/>
      </c>
      <c r="D5370" s="89" t="str">
        <v>Periódica</v>
      </c>
      <c r="E5370" s="89">
        <v>365</v>
      </c>
      <c r="F5370" s="89" t="str">
        <v/>
      </c>
      <c r="G5370" s="89" t="str">
        <f ca="1"/>
        <v/>
      </c>
    </row>
    <row r="5371" spans="1:7" x14ac:dyDescent="0.3">
      <c r="A5371" s="89" t="str">
        <v/>
      </c>
      <c r="B5371" s="89" t="str">
        <v>Superficies Elevadas (Personal Habilitado)</v>
      </c>
      <c r="C5371" s="90" t="str">
        <v/>
      </c>
      <c r="D5371" s="89" t="str">
        <v>Periódica</v>
      </c>
      <c r="E5371" s="89">
        <v>365</v>
      </c>
      <c r="F5371" s="89" t="str">
        <v/>
      </c>
      <c r="G5371" s="89" t="str">
        <f ca="1"/>
        <v/>
      </c>
    </row>
    <row r="5372" spans="1:7" x14ac:dyDescent="0.3">
      <c r="A5372" s="89" t="str">
        <v/>
      </c>
      <c r="B5372" s="89" t="str">
        <v>Seguridad Quimica (Todos)</v>
      </c>
      <c r="C5372" s="90" t="str">
        <v/>
      </c>
      <c r="D5372" s="89" t="str">
        <v>Periódica</v>
      </c>
      <c r="E5372" s="89">
        <v>730</v>
      </c>
      <c r="F5372" s="89" t="str">
        <v/>
      </c>
      <c r="G5372" s="89" t="str">
        <f ca="1"/>
        <v/>
      </c>
    </row>
    <row r="5373" spans="1:7" x14ac:dyDescent="0.3">
      <c r="A5373" s="89" t="str">
        <v/>
      </c>
      <c r="B5373" s="89" t="str">
        <v>Seguridad Quimica (Mantenimiento)</v>
      </c>
      <c r="C5373" s="90" t="str">
        <v/>
      </c>
      <c r="D5373" s="89" t="str">
        <v>Periódica</v>
      </c>
      <c r="E5373" s="89">
        <v>365</v>
      </c>
      <c r="F5373" s="89" t="str">
        <v/>
      </c>
      <c r="G5373" s="89" t="str">
        <f ca="1"/>
        <v/>
      </c>
    </row>
    <row r="5374" spans="1:7" x14ac:dyDescent="0.3">
      <c r="A5374" s="89" t="str">
        <v/>
      </c>
      <c r="B5374" s="89" t="str">
        <v>Seguridad Quimica (Contratistas)</v>
      </c>
      <c r="C5374" s="90" t="str">
        <v/>
      </c>
      <c r="D5374" s="89" t="str">
        <v>Periódica</v>
      </c>
      <c r="E5374" s="89">
        <v>365</v>
      </c>
      <c r="F5374" s="89" t="str">
        <v/>
      </c>
      <c r="G5374" s="89" t="str">
        <f ca="1"/>
        <v/>
      </c>
    </row>
    <row r="5375" spans="1:7" x14ac:dyDescent="0.3">
      <c r="A5375" s="89" t="str">
        <v/>
      </c>
      <c r="B5375" s="89" t="str">
        <v>Seguridad para Trabajos en Caliente</v>
      </c>
      <c r="C5375" s="90" t="str">
        <v/>
      </c>
      <c r="D5375" s="89" t="str">
        <v>Periódica</v>
      </c>
      <c r="E5375" s="89">
        <v>365</v>
      </c>
      <c r="F5375" s="89" t="str">
        <v/>
      </c>
      <c r="G5375" s="89" t="str">
        <f ca="1"/>
        <v/>
      </c>
    </row>
    <row r="5376" spans="1:7" x14ac:dyDescent="0.3">
      <c r="A5376" s="89" t="str">
        <v/>
      </c>
      <c r="B5376" s="89" t="str">
        <v>Seguridad con la Radiacion</v>
      </c>
      <c r="C5376" s="90" t="str">
        <v/>
      </c>
      <c r="D5376" s="89" t="str">
        <v>Periódica</v>
      </c>
      <c r="E5376" s="89">
        <v>365</v>
      </c>
      <c r="F5376" s="89" t="str">
        <v/>
      </c>
      <c r="G5376" s="89" t="str">
        <f ca="1"/>
        <v/>
      </c>
    </row>
    <row r="5377" spans="1:7" x14ac:dyDescent="0.3">
      <c r="A5377" s="89" t="str">
        <v/>
      </c>
      <c r="B5377" s="89" t="str">
        <v>Equipo de Proteccion Personal (PPE)</v>
      </c>
      <c r="C5377" s="90" t="str">
        <v/>
      </c>
      <c r="D5377" s="89" t="str">
        <v>Periódica</v>
      </c>
      <c r="E5377" s="89">
        <v>365</v>
      </c>
      <c r="F5377" s="89" t="str">
        <v/>
      </c>
      <c r="G5377" s="89" t="str">
        <f ca="1"/>
        <v/>
      </c>
    </row>
    <row r="5378" spans="1:7" x14ac:dyDescent="0.3">
      <c r="A5378" s="89" t="str">
        <v/>
      </c>
      <c r="B5378" s="89" t="str">
        <v>Proteccion Respiratoria</v>
      </c>
      <c r="C5378" s="90" t="str">
        <v/>
      </c>
      <c r="D5378" s="89" t="str">
        <v>Periódica</v>
      </c>
      <c r="E5378" s="89">
        <v>365</v>
      </c>
      <c r="F5378" s="89" t="str">
        <v/>
      </c>
      <c r="G5378" s="89" t="str">
        <f ca="1"/>
        <v/>
      </c>
    </row>
    <row r="5379" spans="1:7" x14ac:dyDescent="0.3">
      <c r="A5379" s="89" t="str">
        <v/>
      </c>
      <c r="B5379" s="89" t="str">
        <v xml:space="preserve">Seguridad con Escaleras </v>
      </c>
      <c r="C5379" s="90" t="str">
        <v/>
      </c>
      <c r="D5379" s="89" t="str">
        <v>Periódica</v>
      </c>
      <c r="E5379" s="89">
        <v>365</v>
      </c>
      <c r="F5379" s="89" t="str">
        <v/>
      </c>
      <c r="G5379" s="89" t="str">
        <f ca="1"/>
        <v/>
      </c>
    </row>
    <row r="5380" spans="1:7" x14ac:dyDescent="0.3">
      <c r="A5380" s="89" t="str">
        <v/>
      </c>
      <c r="B5380" s="89" t="str">
        <v>Seguridad con Escaleras // Estantes de Almacenamiento</v>
      </c>
      <c r="C5380" s="90" t="str">
        <v/>
      </c>
      <c r="D5380" s="89" t="str">
        <v>Periódica</v>
      </c>
      <c r="E5380" s="89">
        <v>365</v>
      </c>
      <c r="F5380" s="89" t="str">
        <v/>
      </c>
      <c r="G5380" s="89" t="str">
        <f ca="1"/>
        <v/>
      </c>
    </row>
    <row r="5381" spans="1:7" x14ac:dyDescent="0.3">
      <c r="A5381" s="89" t="str">
        <v/>
      </c>
      <c r="B5381" s="89" t="str">
        <v>Responsabilidades del Supervisor</v>
      </c>
      <c r="C5381" s="90" t="str">
        <v/>
      </c>
      <c r="D5381" s="89" t="str">
        <v>Periódica</v>
      </c>
      <c r="E5381" s="89">
        <v>365</v>
      </c>
      <c r="F5381" s="89" t="str">
        <v/>
      </c>
      <c r="G5381" s="89" t="str">
        <f ca="1"/>
        <v/>
      </c>
    </row>
    <row r="5382" spans="1:7" x14ac:dyDescent="0.3">
      <c r="A5382" s="89" t="str">
        <v/>
      </c>
      <c r="B5382" s="89" t="str">
        <v>Espacios Confinados (Todos)</v>
      </c>
      <c r="C5382" s="90" t="str">
        <v/>
      </c>
      <c r="D5382" s="89" t="str">
        <v>Periódica</v>
      </c>
      <c r="E5382" s="89">
        <v>365</v>
      </c>
      <c r="F5382" s="89" t="str">
        <v/>
      </c>
      <c r="G5382" s="89" t="str">
        <f ca="1"/>
        <v/>
      </c>
    </row>
    <row r="5383" spans="1:7" x14ac:dyDescent="0.3">
      <c r="A5383" s="89" t="str">
        <v/>
      </c>
      <c r="B5383" s="89" t="str">
        <v>HSMS.017 / Espacios Confinados (Entrantes)</v>
      </c>
      <c r="C5383" s="90" t="str">
        <v/>
      </c>
      <c r="D5383" s="89" t="str">
        <v>Evento</v>
      </c>
      <c r="E5383" s="89">
        <v>0</v>
      </c>
      <c r="F5383" s="89" t="str">
        <v/>
      </c>
      <c r="G5383" s="89" t="str">
        <f ca="1"/>
        <v/>
      </c>
    </row>
    <row r="5384" spans="1:7" x14ac:dyDescent="0.3">
      <c r="A5384" s="89" t="str">
        <v/>
      </c>
      <c r="B5384" s="89" t="str">
        <v>Programa de Agua (Todos)</v>
      </c>
      <c r="C5384" s="90" t="str">
        <v/>
      </c>
      <c r="D5384" s="89" t="str">
        <v>Evento</v>
      </c>
      <c r="E5384" s="89">
        <v>0</v>
      </c>
      <c r="F5384" s="89" t="str">
        <v/>
      </c>
      <c r="G5384" s="89" t="str">
        <f ca="1"/>
        <v/>
      </c>
    </row>
    <row r="5385" spans="1:7" x14ac:dyDescent="0.3">
      <c r="A5385" s="89" t="str">
        <v/>
      </c>
      <c r="B5385" s="89" t="str">
        <v>Programa de Agua (HSE)</v>
      </c>
      <c r="C5385" s="90" t="str">
        <v/>
      </c>
      <c r="D5385" s="89" t="str">
        <v>Evento</v>
      </c>
      <c r="E5385" s="89">
        <v>0</v>
      </c>
      <c r="F5385" s="89" t="str">
        <v/>
      </c>
      <c r="G5385" s="89" t="str">
        <f ca="1"/>
        <v/>
      </c>
    </row>
    <row r="5386" spans="1:7" x14ac:dyDescent="0.3">
      <c r="A5386" s="89" t="str">
        <v/>
      </c>
      <c r="B5386" s="89" t="str">
        <v>HIV/SIDA y otras enfermedades de transmisión sexual (ETS)</v>
      </c>
      <c r="C5386" s="90" t="str">
        <v/>
      </c>
      <c r="D5386" s="89" t="str">
        <v>Periódica</v>
      </c>
      <c r="E5386" s="89">
        <v>365</v>
      </c>
      <c r="F5386" s="89" t="str">
        <v/>
      </c>
      <c r="G5386" s="89" t="str">
        <f ca="1"/>
        <v/>
      </c>
    </row>
    <row r="5387" spans="1:7" x14ac:dyDescent="0.3">
      <c r="A5387" s="89" t="str">
        <v/>
      </c>
      <c r="B5387" s="89" t="str">
        <v>Drogas de abuso (concientización y prevención)</v>
      </c>
      <c r="C5387" s="90" t="str">
        <v/>
      </c>
      <c r="D5387" s="89" t="str">
        <v>Periódica</v>
      </c>
      <c r="E5387" s="89">
        <v>365</v>
      </c>
      <c r="F5387" s="89" t="str">
        <v/>
      </c>
      <c r="G5387" s="89" t="str">
        <f ca="1"/>
        <v/>
      </c>
    </row>
    <row r="5388" spans="1:7" x14ac:dyDescent="0.3">
      <c r="A5388" s="89" t="str">
        <v/>
      </c>
      <c r="B5388" s="89" t="str">
        <v>Vida saludable (hábitos, autocuidado y bienestar)</v>
      </c>
      <c r="C5388" s="90" t="str">
        <v/>
      </c>
      <c r="D5388" s="89" t="str">
        <v>Periódica</v>
      </c>
      <c r="E5388" s="89">
        <v>365</v>
      </c>
      <c r="F5388" s="89" t="str">
        <v/>
      </c>
      <c r="G5388" s="89" t="str">
        <f ca="1"/>
        <v/>
      </c>
    </row>
    <row r="5389" spans="1:7" x14ac:dyDescent="0.3">
      <c r="A5389" s="89" t="str">
        <v/>
      </c>
      <c r="B5389" s="89" t="str">
        <v>Primeros auxilios y Reanimación Cardio Pulmonar (RCP)</v>
      </c>
      <c r="C5389" s="90" t="str">
        <v/>
      </c>
      <c r="D5389" s="89" t="str">
        <v>Periódica</v>
      </c>
      <c r="E5389" s="89">
        <v>365</v>
      </c>
      <c r="F5389" s="89" t="str">
        <v/>
      </c>
      <c r="G5389" s="89" t="str">
        <f ca="1"/>
        <v/>
      </c>
    </row>
    <row r="5390" spans="1:7" x14ac:dyDescent="0.3">
      <c r="A5390" s="89" t="str">
        <v/>
      </c>
      <c r="B5390" s="89" t="str">
        <v>Prevención cardiovascular (factores de riesgo y señales de alarma)</v>
      </c>
      <c r="C5390" s="90" t="str">
        <v/>
      </c>
      <c r="D5390" s="89" t="str">
        <v>Periódica</v>
      </c>
      <c r="E5390" s="89">
        <v>365</v>
      </c>
      <c r="F5390" s="89" t="str">
        <v/>
      </c>
      <c r="G5390" s="89" t="str">
        <f ca="1"/>
        <v/>
      </c>
    </row>
    <row r="5391" spans="1:7" x14ac:dyDescent="0.3">
      <c r="A5391" s="89" t="str">
        <v/>
      </c>
      <c r="B5391" s="89" t="str">
        <v>Efectos del tabaco sobre la salud</v>
      </c>
      <c r="C5391" s="90" t="str">
        <v/>
      </c>
      <c r="D5391" s="89" t="str">
        <v>Periódica</v>
      </c>
      <c r="E5391" s="89">
        <v>365</v>
      </c>
      <c r="F5391" s="89" t="str">
        <v/>
      </c>
      <c r="G5391" s="89" t="str">
        <f ca="1"/>
        <v/>
      </c>
    </row>
    <row r="5392" spans="1:7" x14ac:dyDescent="0.3">
      <c r="A5392" s="89" t="str">
        <v/>
      </c>
      <c r="B5392" s="89" t="str">
        <v>Cargadora (Op. Montacargas)</v>
      </c>
      <c r="C5392" s="90" t="str">
        <v/>
      </c>
      <c r="D5392" s="89" t="str">
        <v>Periódica</v>
      </c>
      <c r="E5392" s="89">
        <v>365</v>
      </c>
      <c r="F5392" s="89" t="str">
        <v/>
      </c>
      <c r="G5392" s="89" t="str">
        <f ca="1"/>
        <v/>
      </c>
    </row>
    <row r="5393" spans="1:7" x14ac:dyDescent="0.3">
      <c r="A5393" s="89" t="str">
        <v/>
      </c>
      <c r="B5393" s="89">
        <v>0</v>
      </c>
      <c r="C5393" s="90" t="str">
        <v/>
      </c>
      <c r="D5393" s="89" t="str">
        <v/>
      </c>
      <c r="E5393" s="89" t="str">
        <v/>
      </c>
      <c r="F5393" s="89" t="str">
        <v/>
      </c>
      <c r="G5393" s="89" t="str">
        <f ca="1"/>
        <v/>
      </c>
    </row>
    <row r="5394" spans="1:7" x14ac:dyDescent="0.3">
      <c r="A5394" s="89" t="str">
        <v/>
      </c>
      <c r="B5394" s="89">
        <v>0</v>
      </c>
      <c r="C5394" s="90" t="str">
        <v/>
      </c>
      <c r="D5394" s="89" t="str">
        <v/>
      </c>
      <c r="E5394" s="89" t="str">
        <v/>
      </c>
      <c r="F5394" s="89" t="str">
        <v/>
      </c>
      <c r="G5394" s="89" t="str">
        <f ca="1"/>
        <v/>
      </c>
    </row>
    <row r="5395" spans="1:7" x14ac:dyDescent="0.3">
      <c r="A5395" s="89" t="str">
        <v/>
      </c>
      <c r="B5395" s="89">
        <v>0</v>
      </c>
      <c r="C5395" s="90" t="str">
        <v/>
      </c>
      <c r="D5395" s="89" t="str">
        <v/>
      </c>
      <c r="E5395" s="89" t="str">
        <v/>
      </c>
      <c r="F5395" s="89" t="str">
        <v/>
      </c>
      <c r="G5395" s="89" t="str">
        <f ca="1"/>
        <v/>
      </c>
    </row>
    <row r="5396" spans="1:7" x14ac:dyDescent="0.3">
      <c r="A5396" s="89" t="str">
        <v/>
      </c>
      <c r="B5396" s="89">
        <v>0</v>
      </c>
      <c r="C5396" s="90" t="str">
        <v/>
      </c>
      <c r="D5396" s="89" t="str">
        <v/>
      </c>
      <c r="E5396" s="89" t="str">
        <v/>
      </c>
      <c r="F5396" s="89" t="str">
        <v/>
      </c>
      <c r="G5396" s="89" t="str">
        <f ca="1"/>
        <v/>
      </c>
    </row>
    <row r="5397" spans="1:7" x14ac:dyDescent="0.3">
      <c r="A5397" s="89" t="str">
        <v/>
      </c>
      <c r="B5397" s="89">
        <v>0</v>
      </c>
      <c r="C5397" s="90" t="str">
        <v/>
      </c>
      <c r="D5397" s="89" t="str">
        <v/>
      </c>
      <c r="E5397" s="89" t="str">
        <v/>
      </c>
      <c r="F5397" s="89" t="str">
        <v/>
      </c>
      <c r="G5397" s="89" t="str">
        <f ca="1"/>
        <v/>
      </c>
    </row>
    <row r="5398" spans="1:7" x14ac:dyDescent="0.3">
      <c r="A5398" s="89" t="str">
        <v/>
      </c>
      <c r="B5398" s="89">
        <v>0</v>
      </c>
      <c r="C5398" s="90" t="str">
        <v/>
      </c>
      <c r="D5398" s="89" t="str">
        <v/>
      </c>
      <c r="E5398" s="89" t="str">
        <v/>
      </c>
      <c r="F5398" s="89" t="str">
        <v/>
      </c>
      <c r="G5398" s="89" t="str">
        <f ca="1"/>
        <v/>
      </c>
    </row>
    <row r="5399" spans="1:7" x14ac:dyDescent="0.3">
      <c r="A5399" s="89" t="str">
        <v/>
      </c>
      <c r="B5399" s="89">
        <v>0</v>
      </c>
      <c r="C5399" s="90" t="str">
        <v/>
      </c>
      <c r="D5399" s="89" t="str">
        <v/>
      </c>
      <c r="E5399" s="89" t="str">
        <v/>
      </c>
      <c r="F5399" s="89" t="str">
        <v/>
      </c>
      <c r="G5399" s="89" t="str">
        <f ca="1"/>
        <v/>
      </c>
    </row>
    <row r="5400" spans="1:7" x14ac:dyDescent="0.3">
      <c r="A5400" s="89" t="str">
        <v/>
      </c>
      <c r="B5400" s="89">
        <v>0</v>
      </c>
      <c r="C5400" s="90" t="str">
        <v/>
      </c>
      <c r="D5400" s="89" t="str">
        <v/>
      </c>
      <c r="E5400" s="89" t="str">
        <v/>
      </c>
      <c r="F5400" s="89" t="str">
        <v/>
      </c>
      <c r="G5400" s="89" t="str">
        <f ca="1"/>
        <v/>
      </c>
    </row>
    <row r="5401" spans="1:7" x14ac:dyDescent="0.3">
      <c r="A5401" s="89" t="str">
        <v/>
      </c>
      <c r="B5401" s="89">
        <v>0</v>
      </c>
      <c r="C5401" s="90" t="str">
        <v/>
      </c>
      <c r="D5401" s="89" t="str">
        <v/>
      </c>
      <c r="E5401" s="89" t="str">
        <v/>
      </c>
      <c r="F5401" s="89" t="str">
        <v/>
      </c>
      <c r="G5401" s="89" t="str">
        <f ca="1"/>
        <v/>
      </c>
    </row>
    <row r="5402" spans="1:7" x14ac:dyDescent="0.3">
      <c r="A5402" s="89" t="str">
        <v/>
      </c>
      <c r="B5402" s="89" t="str">
        <v>Programa de Aire</v>
      </c>
      <c r="C5402" s="90" t="str">
        <v/>
      </c>
      <c r="D5402" s="89" t="str">
        <v>Evento</v>
      </c>
      <c r="E5402" s="89">
        <v>0</v>
      </c>
      <c r="F5402" s="89" t="str">
        <v/>
      </c>
      <c r="G5402" s="89" t="str">
        <f ca="1"/>
        <v/>
      </c>
    </row>
    <row r="5403" spans="1:7" x14ac:dyDescent="0.3">
      <c r="A5403" s="89" t="str">
        <v/>
      </c>
      <c r="B5403" s="89" t="str">
        <v>Conciencia Ambiental</v>
      </c>
      <c r="C5403" s="90" t="str">
        <v/>
      </c>
      <c r="D5403" s="89" t="str">
        <v>Periódica</v>
      </c>
      <c r="E5403" s="89">
        <v>365</v>
      </c>
      <c r="F5403" s="89" t="str">
        <v/>
      </c>
      <c r="G5403" s="89" t="str">
        <f ca="1"/>
        <v/>
      </c>
    </row>
    <row r="5404" spans="1:7" x14ac:dyDescent="0.3">
      <c r="A5404" s="89" t="str">
        <v/>
      </c>
      <c r="B5404" s="89" t="str">
        <v xml:space="preserve">Control de Documentos e Informacion de HSE </v>
      </c>
      <c r="C5404" s="90" t="str">
        <v/>
      </c>
      <c r="D5404" s="89" t="str">
        <v>Evento</v>
      </c>
      <c r="E5404" s="89">
        <v>0</v>
      </c>
      <c r="F5404" s="89" t="str">
        <v/>
      </c>
      <c r="G5404" s="89" t="str">
        <f ca="1"/>
        <v/>
      </c>
    </row>
    <row r="5405" spans="1:7" x14ac:dyDescent="0.3">
      <c r="A5405" s="89" t="str">
        <v/>
      </c>
      <c r="B5405" s="89" t="str">
        <v xml:space="preserve"> Acciones Correctivas y Preventivas (CAPA)</v>
      </c>
      <c r="C5405" s="90" t="str">
        <v/>
      </c>
      <c r="D5405" s="89" t="str">
        <v>Evento</v>
      </c>
      <c r="E5405" s="89">
        <v>0</v>
      </c>
      <c r="F5405" s="89" t="str">
        <v/>
      </c>
      <c r="G5405" s="89" t="str">
        <f ca="1"/>
        <v/>
      </c>
    </row>
    <row r="5406" spans="1:7" x14ac:dyDescent="0.3">
      <c r="A5406" s="89" t="str">
        <v/>
      </c>
      <c r="B5406" s="89" t="str">
        <v>Seguridad Basada en el Comportamiento (Observation Program) // HSMS.043 / Autoridad de Detener el Trabajo</v>
      </c>
      <c r="C5406" s="90" t="str">
        <v/>
      </c>
      <c r="D5406" s="89" t="str">
        <v>Periódica</v>
      </c>
      <c r="E5406" s="89">
        <v>365</v>
      </c>
      <c r="F5406" s="89" t="str">
        <v/>
      </c>
      <c r="G5406" s="89" t="str">
        <f ca="1"/>
        <v/>
      </c>
    </row>
    <row r="5407" spans="1:7" x14ac:dyDescent="0.3">
      <c r="A5407" s="89" t="str">
        <v/>
      </c>
      <c r="B5407" s="89" t="str">
        <v>Identificacion de Peligros y Evaluacion de Riesgos</v>
      </c>
      <c r="C5407" s="90" t="str">
        <v/>
      </c>
      <c r="D5407" s="89" t="str">
        <v>Evento</v>
      </c>
      <c r="E5407" s="89">
        <v>0</v>
      </c>
      <c r="F5407" s="89" t="str">
        <v/>
      </c>
      <c r="G5407" s="89" t="str">
        <f ca="1"/>
        <v/>
      </c>
    </row>
    <row r="5408" spans="1:7" x14ac:dyDescent="0.3">
      <c r="A5408" s="89" t="str">
        <v/>
      </c>
      <c r="B5408" s="89" t="str">
        <v xml:space="preserve"> Plan de Respuesta ante Eemergencias / HSMS.010 /Primeros Axulios &amp; RCP/DEA / HSMSWT-002 / Patogenos Trasnmitidos por la Sangre</v>
      </c>
      <c r="C5408" s="90" t="str">
        <v/>
      </c>
      <c r="D5408" s="89" t="str">
        <v>Periódica</v>
      </c>
      <c r="E5408" s="89">
        <v>365</v>
      </c>
      <c r="F5408" s="89" t="str">
        <v/>
      </c>
      <c r="G5408" s="89" t="str">
        <f ca="1"/>
        <v/>
      </c>
    </row>
    <row r="5409" spans="1:7" x14ac:dyDescent="0.3">
      <c r="A5409" s="89" t="str">
        <v/>
      </c>
      <c r="B5409" s="89" t="str">
        <v>Reporte y Gestion de Incidentes HSE (Todos)</v>
      </c>
      <c r="C5409" s="90" t="str">
        <v/>
      </c>
      <c r="D5409" s="89" t="str">
        <v>Periódica</v>
      </c>
      <c r="E5409" s="89">
        <v>365</v>
      </c>
      <c r="F5409" s="89" t="str">
        <v/>
      </c>
      <c r="G5409" s="89" t="str">
        <f ca="1"/>
        <v/>
      </c>
    </row>
    <row r="5410" spans="1:7" x14ac:dyDescent="0.3">
      <c r="A5410" s="89" t="str">
        <v/>
      </c>
      <c r="B5410" s="89" t="str">
        <v>Reporte, Gestion e Investigacion de Incidentes HSE (supervisores / investigadores (rol))</v>
      </c>
      <c r="C5410" s="90" t="str">
        <v/>
      </c>
      <c r="D5410" s="89" t="str">
        <v>Periódica</v>
      </c>
      <c r="E5410" s="89">
        <v>1095</v>
      </c>
      <c r="F5410" s="89" t="str">
        <v/>
      </c>
      <c r="G5410" s="89" t="str">
        <f ca="1"/>
        <v/>
      </c>
    </row>
    <row r="5411" spans="1:7" x14ac:dyDescent="0.3">
      <c r="A5411" s="89" t="str">
        <v/>
      </c>
      <c r="B5411" s="89" t="str">
        <v>Gruas y Equipos de Izaje (Todos)</v>
      </c>
      <c r="C5411" s="90" t="str">
        <v/>
      </c>
      <c r="D5411" s="89" t="str">
        <v>Periódica</v>
      </c>
      <c r="E5411" s="89">
        <v>365</v>
      </c>
      <c r="F5411" s="89" t="str">
        <v/>
      </c>
      <c r="G5411" s="89" t="str">
        <f ca="1"/>
        <v/>
      </c>
    </row>
    <row r="5412" spans="1:7" x14ac:dyDescent="0.3">
      <c r="A5412" s="89" t="str">
        <v/>
      </c>
      <c r="B5412" s="89" t="str">
        <v>HSMS.007 / Gruas y Equipos de Izaje (Operadores)</v>
      </c>
      <c r="C5412" s="90" t="str">
        <v/>
      </c>
      <c r="D5412" s="89" t="str">
        <v>Periódica</v>
      </c>
      <c r="E5412" s="89">
        <v>365</v>
      </c>
      <c r="F5412" s="89" t="str">
        <v/>
      </c>
      <c r="G5412" s="89" t="str">
        <f ca="1"/>
        <v/>
      </c>
    </row>
    <row r="5413" spans="1:7" x14ac:dyDescent="0.3">
      <c r="A5413" s="89" t="str">
        <v/>
      </c>
      <c r="B5413" s="89" t="str">
        <v>Proteccion Contra Incendios (Todos)</v>
      </c>
      <c r="C5413" s="90" t="str">
        <v/>
      </c>
      <c r="D5413" s="89" t="str">
        <v>Periódica</v>
      </c>
      <c r="E5413" s="89">
        <v>365</v>
      </c>
      <c r="F5413" s="89" t="str">
        <v/>
      </c>
      <c r="G5413" s="89" t="str">
        <f ca="1"/>
        <v/>
      </c>
    </row>
    <row r="5414" spans="1:7" x14ac:dyDescent="0.3">
      <c r="A5414" s="89" t="str">
        <v/>
      </c>
      <c r="B5414" s="89" t="str">
        <v>Proteccion Contra Incendios (Brigadistas)</v>
      </c>
      <c r="C5414" s="90" t="str">
        <v/>
      </c>
      <c r="D5414" s="89" t="str">
        <v>Periódica</v>
      </c>
      <c r="E5414" s="89">
        <v>365</v>
      </c>
      <c r="F5414" s="89" t="str">
        <v/>
      </c>
      <c r="G5414" s="89" t="str">
        <f ca="1"/>
        <v/>
      </c>
    </row>
    <row r="5415" spans="1:7" x14ac:dyDescent="0.3">
      <c r="A5415" s="89" t="str">
        <v/>
      </c>
      <c r="B5415" s="89" t="str">
        <v>Primeros Auxilios (Brigadistas)</v>
      </c>
      <c r="C5415" s="90" t="str">
        <v/>
      </c>
      <c r="D5415" s="89" t="str">
        <v>Periódica</v>
      </c>
      <c r="E5415" s="89">
        <v>365</v>
      </c>
      <c r="F5415" s="89" t="str">
        <v/>
      </c>
      <c r="G5415" s="89" t="str">
        <f ca="1"/>
        <v/>
      </c>
    </row>
    <row r="5416" spans="1:7" x14ac:dyDescent="0.3">
      <c r="A5416" s="89" t="str">
        <v/>
      </c>
      <c r="B5416" s="89" t="str">
        <v>Seguridad Electrica (Todos)</v>
      </c>
      <c r="C5416" s="90" t="str">
        <v/>
      </c>
      <c r="D5416" s="89" t="str">
        <v>Periódica</v>
      </c>
      <c r="E5416" s="89">
        <v>365</v>
      </c>
      <c r="F5416" s="89" t="str">
        <v/>
      </c>
      <c r="G5416" s="89" t="str">
        <f ca="1"/>
        <v/>
      </c>
    </row>
    <row r="5417" spans="1:7" x14ac:dyDescent="0.3">
      <c r="A5417" s="89" t="str">
        <v/>
      </c>
      <c r="B5417" s="89" t="str">
        <v>Seguridad Electrica (Personal Autorizado)</v>
      </c>
      <c r="C5417" s="90" t="str">
        <v/>
      </c>
      <c r="D5417" s="89" t="str">
        <v>Periódica</v>
      </c>
      <c r="E5417" s="89">
        <v>1095</v>
      </c>
      <c r="F5417" s="89" t="str">
        <v/>
      </c>
      <c r="G5417" s="89" t="str">
        <f ca="1"/>
        <v/>
      </c>
    </row>
    <row r="5418" spans="1:7" x14ac:dyDescent="0.3">
      <c r="A5418" s="89" t="str">
        <v/>
      </c>
      <c r="B5418" s="89" t="str">
        <v>Camiones Industriales Motorizados (PIT) (Todos)</v>
      </c>
      <c r="C5418" s="90" t="str">
        <v/>
      </c>
      <c r="D5418" s="89" t="str">
        <v>Periódica</v>
      </c>
      <c r="E5418" s="89">
        <v>365</v>
      </c>
      <c r="F5418" s="89" t="str">
        <v/>
      </c>
      <c r="G5418" s="89" t="str">
        <f ca="1"/>
        <v/>
      </c>
    </row>
    <row r="5419" spans="1:7" x14ac:dyDescent="0.3">
      <c r="A5419" s="89" t="str">
        <v/>
      </c>
      <c r="B5419" s="89" t="str">
        <v>Camiones Industriales Motorizados (PIT) (Op. Montacargas)</v>
      </c>
      <c r="C5419" s="90" t="str">
        <v/>
      </c>
      <c r="D5419" s="89" t="str">
        <v>Periódica</v>
      </c>
      <c r="E5419" s="89">
        <v>365</v>
      </c>
      <c r="F5419" s="89" t="str">
        <v/>
      </c>
      <c r="G5419" s="89" t="str">
        <f ca="1"/>
        <v/>
      </c>
    </row>
    <row r="5420" spans="1:7" x14ac:dyDescent="0.3">
      <c r="A5420" s="89" t="str">
        <v/>
      </c>
      <c r="B5420" s="89" t="str">
        <v>Control de Energias Peligrosas (LOTO) (Todos)</v>
      </c>
      <c r="C5420" s="90" t="str">
        <v/>
      </c>
      <c r="D5420" s="89" t="str">
        <v>Evento</v>
      </c>
      <c r="E5420" s="89">
        <v>0</v>
      </c>
      <c r="F5420" s="89" t="str">
        <v/>
      </c>
      <c r="G5420" s="89" t="str">
        <f ca="1"/>
        <v/>
      </c>
    </row>
    <row r="5421" spans="1:7" x14ac:dyDescent="0.3">
      <c r="A5421" s="89" t="str">
        <v/>
      </c>
      <c r="B5421" s="89" t="str">
        <v>Control de Energias Peligrosas (LOTO) (Empleados Autorizados)</v>
      </c>
      <c r="C5421" s="90" t="str">
        <v/>
      </c>
      <c r="D5421" s="89" t="str">
        <v>Periódica</v>
      </c>
      <c r="E5421" s="89">
        <v>365</v>
      </c>
      <c r="F5421" s="89" t="str">
        <v/>
      </c>
      <c r="G5421" s="89" t="str">
        <f ca="1"/>
        <v/>
      </c>
    </row>
    <row r="5422" spans="1:7" x14ac:dyDescent="0.3">
      <c r="A5422" s="89" t="str">
        <v/>
      </c>
      <c r="B5422" s="89" t="str">
        <v>Seguridad aplicada al Pozo &amp; Yacimiento</v>
      </c>
      <c r="C5422" s="90" t="str">
        <v/>
      </c>
      <c r="D5422" s="89" t="str">
        <v>Periódica</v>
      </c>
      <c r="E5422" s="89">
        <v>365</v>
      </c>
      <c r="F5422" s="89" t="str">
        <v/>
      </c>
      <c r="G5422" s="89" t="str">
        <f ca="1"/>
        <v/>
      </c>
    </row>
    <row r="5423" spans="1:7" x14ac:dyDescent="0.3">
      <c r="A5423" s="89" t="str">
        <v/>
      </c>
      <c r="B5423" s="89" t="str">
        <v>Las Reglas que Salvan Vidas</v>
      </c>
      <c r="C5423" s="90" t="str">
        <v/>
      </c>
      <c r="D5423" s="89" t="str">
        <v>Periódica</v>
      </c>
      <c r="E5423" s="89">
        <v>365</v>
      </c>
      <c r="F5423" s="89" t="str">
        <v/>
      </c>
      <c r="G5423" s="89" t="str">
        <f ca="1"/>
        <v/>
      </c>
    </row>
    <row r="5424" spans="1:7" x14ac:dyDescent="0.3">
      <c r="A5424" s="89" t="str">
        <v/>
      </c>
      <c r="B5424" s="89" t="str">
        <v xml:space="preserve">Resguardo de Maquinas &amp; Equipos </v>
      </c>
      <c r="C5424" s="90" t="str">
        <v/>
      </c>
      <c r="D5424" s="89" t="str">
        <v>Periódica</v>
      </c>
      <c r="E5424" s="89">
        <v>365</v>
      </c>
      <c r="F5424" s="89" t="str">
        <v/>
      </c>
      <c r="G5424" s="89" t="str">
        <f ca="1"/>
        <v/>
      </c>
    </row>
    <row r="5425" spans="1:7" x14ac:dyDescent="0.3">
      <c r="A5425" s="89" t="str">
        <v/>
      </c>
      <c r="B5425" s="89" t="str">
        <v>Conduccion y Gestion de Viajes (Todos)</v>
      </c>
      <c r="C5425" s="90" t="str">
        <v/>
      </c>
      <c r="D5425" s="89" t="str">
        <v>Periódica</v>
      </c>
      <c r="E5425" s="89">
        <v>730</v>
      </c>
      <c r="F5425" s="89" t="str">
        <v/>
      </c>
      <c r="G5425" s="89" t="str">
        <f ca="1"/>
        <v/>
      </c>
    </row>
    <row r="5426" spans="1:7" x14ac:dyDescent="0.3">
      <c r="A5426" s="89" t="str">
        <v/>
      </c>
      <c r="B5426" s="89" t="str">
        <v>Conduccion y Gestion de Viajes (Conductores)</v>
      </c>
      <c r="C5426" s="90" t="str">
        <v/>
      </c>
      <c r="D5426" s="89" t="str">
        <v>Periódica</v>
      </c>
      <c r="E5426" s="89">
        <v>1095</v>
      </c>
      <c r="F5426" s="89" t="str">
        <v/>
      </c>
      <c r="G5426" s="89" t="str">
        <f ca="1"/>
        <v/>
      </c>
    </row>
    <row r="5427" spans="1:7" x14ac:dyDescent="0.3">
      <c r="A5427" s="89" t="str">
        <v/>
      </c>
      <c r="B5427" s="89" t="str">
        <v>Patogenos Transmitidos por la Sangre</v>
      </c>
      <c r="C5427" s="90" t="str">
        <v/>
      </c>
      <c r="D5427" s="89" t="str">
        <v>Periódica</v>
      </c>
      <c r="E5427" s="89">
        <v>365</v>
      </c>
      <c r="F5427" s="89" t="str">
        <v/>
      </c>
      <c r="G5427" s="89" t="str">
        <f ca="1"/>
        <v/>
      </c>
    </row>
    <row r="5428" spans="1:7" x14ac:dyDescent="0.3">
      <c r="A5428" s="89" t="str">
        <v/>
      </c>
      <c r="B5428" s="89" t="str">
        <v>Conservacion Auditiva</v>
      </c>
      <c r="C5428" s="90" t="str">
        <v/>
      </c>
      <c r="D5428" s="89" t="str">
        <v>Periódica</v>
      </c>
      <c r="E5428" s="89">
        <v>365</v>
      </c>
      <c r="F5428" s="89" t="str">
        <v/>
      </c>
      <c r="G5428" s="89" t="str">
        <f ca="1"/>
        <v/>
      </c>
    </row>
    <row r="5429" spans="1:7" x14ac:dyDescent="0.3">
      <c r="A5429" s="89" t="str">
        <v/>
      </c>
      <c r="B5429" s="89" t="str">
        <v xml:space="preserve">Ergonomia //  / Levantamiento &amp; Seguridad en la Espalda </v>
      </c>
      <c r="C5429" s="90" t="str">
        <v/>
      </c>
      <c r="D5429" s="89" t="str">
        <v>Periódica</v>
      </c>
      <c r="E5429" s="89">
        <v>365</v>
      </c>
      <c r="F5429" s="89" t="str">
        <v/>
      </c>
      <c r="G5429" s="89" t="str">
        <f ca="1"/>
        <v/>
      </c>
    </row>
    <row r="5430" spans="1:7" x14ac:dyDescent="0.3">
      <c r="A5430" s="89" t="str">
        <v/>
      </c>
      <c r="B5430" s="89" t="str">
        <v>Superficies Elevadas (Todos)</v>
      </c>
      <c r="C5430" s="90" t="str">
        <v/>
      </c>
      <c r="D5430" s="89" t="str">
        <v>Periódica</v>
      </c>
      <c r="E5430" s="89">
        <v>365</v>
      </c>
      <c r="F5430" s="89" t="str">
        <v/>
      </c>
      <c r="G5430" s="89" t="str">
        <f ca="1"/>
        <v/>
      </c>
    </row>
    <row r="5431" spans="1:7" x14ac:dyDescent="0.3">
      <c r="A5431" s="89" t="str">
        <v/>
      </c>
      <c r="B5431" s="89" t="str">
        <v>Superficies Elevadas (Personal Habilitado)</v>
      </c>
      <c r="C5431" s="90" t="str">
        <v/>
      </c>
      <c r="D5431" s="89" t="str">
        <v>Periódica</v>
      </c>
      <c r="E5431" s="89">
        <v>365</v>
      </c>
      <c r="F5431" s="89" t="str">
        <v/>
      </c>
      <c r="G5431" s="89" t="str">
        <f ca="1"/>
        <v/>
      </c>
    </row>
    <row r="5432" spans="1:7" x14ac:dyDescent="0.3">
      <c r="A5432" s="89" t="str">
        <v/>
      </c>
      <c r="B5432" s="89" t="str">
        <v>Seguridad Quimica (Todos)</v>
      </c>
      <c r="C5432" s="90" t="str">
        <v/>
      </c>
      <c r="D5432" s="89" t="str">
        <v>Periódica</v>
      </c>
      <c r="E5432" s="89">
        <v>730</v>
      </c>
      <c r="F5432" s="89" t="str">
        <v/>
      </c>
      <c r="G5432" s="89" t="str">
        <f ca="1"/>
        <v/>
      </c>
    </row>
    <row r="5433" spans="1:7" x14ac:dyDescent="0.3">
      <c r="A5433" s="89" t="str">
        <v/>
      </c>
      <c r="B5433" s="89" t="str">
        <v>Seguridad Quimica (Mantenimiento)</v>
      </c>
      <c r="C5433" s="90" t="str">
        <v/>
      </c>
      <c r="D5433" s="89" t="str">
        <v>Periódica</v>
      </c>
      <c r="E5433" s="89">
        <v>365</v>
      </c>
      <c r="F5433" s="89" t="str">
        <v/>
      </c>
      <c r="G5433" s="89" t="str">
        <f ca="1"/>
        <v/>
      </c>
    </row>
    <row r="5434" spans="1:7" x14ac:dyDescent="0.3">
      <c r="A5434" s="89" t="str">
        <v/>
      </c>
      <c r="B5434" s="89" t="str">
        <v>Seguridad Quimica (Contratistas)</v>
      </c>
      <c r="C5434" s="90" t="str">
        <v/>
      </c>
      <c r="D5434" s="89" t="str">
        <v>Periódica</v>
      </c>
      <c r="E5434" s="89">
        <v>365</v>
      </c>
      <c r="F5434" s="89" t="str">
        <v/>
      </c>
      <c r="G5434" s="89" t="str">
        <f ca="1"/>
        <v/>
      </c>
    </row>
    <row r="5435" spans="1:7" x14ac:dyDescent="0.3">
      <c r="A5435" s="89" t="str">
        <v/>
      </c>
      <c r="B5435" s="89" t="str">
        <v>Seguridad para Trabajos en Caliente</v>
      </c>
      <c r="C5435" s="90" t="str">
        <v/>
      </c>
      <c r="D5435" s="89" t="str">
        <v>Periódica</v>
      </c>
      <c r="E5435" s="89">
        <v>365</v>
      </c>
      <c r="F5435" s="89" t="str">
        <v/>
      </c>
      <c r="G5435" s="89" t="str">
        <f ca="1"/>
        <v/>
      </c>
    </row>
    <row r="5436" spans="1:7" x14ac:dyDescent="0.3">
      <c r="A5436" s="89" t="str">
        <v/>
      </c>
      <c r="B5436" s="89" t="str">
        <v>Seguridad con la Radiacion</v>
      </c>
      <c r="C5436" s="90" t="str">
        <v/>
      </c>
      <c r="D5436" s="89" t="str">
        <v>Periódica</v>
      </c>
      <c r="E5436" s="89">
        <v>365</v>
      </c>
      <c r="F5436" s="89" t="str">
        <v/>
      </c>
      <c r="G5436" s="89" t="str">
        <f ca="1"/>
        <v/>
      </c>
    </row>
    <row r="5437" spans="1:7" x14ac:dyDescent="0.3">
      <c r="A5437" s="89" t="str">
        <v/>
      </c>
      <c r="B5437" s="89" t="str">
        <v>Equipo de Proteccion Personal (PPE)</v>
      </c>
      <c r="C5437" s="90" t="str">
        <v/>
      </c>
      <c r="D5437" s="89" t="str">
        <v>Periódica</v>
      </c>
      <c r="E5437" s="89">
        <v>365</v>
      </c>
      <c r="F5437" s="89" t="str">
        <v/>
      </c>
      <c r="G5437" s="89" t="str">
        <f ca="1"/>
        <v/>
      </c>
    </row>
    <row r="5438" spans="1:7" x14ac:dyDescent="0.3">
      <c r="A5438" s="89" t="str">
        <v/>
      </c>
      <c r="B5438" s="89" t="str">
        <v>Proteccion Respiratoria</v>
      </c>
      <c r="C5438" s="90" t="str">
        <v/>
      </c>
      <c r="D5438" s="89" t="str">
        <v>Periódica</v>
      </c>
      <c r="E5438" s="89">
        <v>365</v>
      </c>
      <c r="F5438" s="89" t="str">
        <v/>
      </c>
      <c r="G5438" s="89" t="str">
        <f ca="1"/>
        <v/>
      </c>
    </row>
    <row r="5439" spans="1:7" x14ac:dyDescent="0.3">
      <c r="A5439" s="89" t="str">
        <v/>
      </c>
      <c r="B5439" s="89" t="str">
        <v xml:space="preserve">Seguridad con Escaleras </v>
      </c>
      <c r="C5439" s="90" t="str">
        <v/>
      </c>
      <c r="D5439" s="89" t="str">
        <v>Periódica</v>
      </c>
      <c r="E5439" s="89">
        <v>365</v>
      </c>
      <c r="F5439" s="89" t="str">
        <v/>
      </c>
      <c r="G5439" s="89" t="str">
        <f ca="1"/>
        <v/>
      </c>
    </row>
    <row r="5440" spans="1:7" x14ac:dyDescent="0.3">
      <c r="A5440" s="89" t="str">
        <v/>
      </c>
      <c r="B5440" s="89" t="str">
        <v>Seguridad con Escaleras // Estantes de Almacenamiento</v>
      </c>
      <c r="C5440" s="90" t="str">
        <v/>
      </c>
      <c r="D5440" s="89" t="str">
        <v>Periódica</v>
      </c>
      <c r="E5440" s="89">
        <v>365</v>
      </c>
      <c r="F5440" s="89" t="str">
        <v/>
      </c>
      <c r="G5440" s="89" t="str">
        <f ca="1"/>
        <v/>
      </c>
    </row>
    <row r="5441" spans="1:7" x14ac:dyDescent="0.3">
      <c r="A5441" s="89" t="str">
        <v/>
      </c>
      <c r="B5441" s="89" t="str">
        <v>Responsabilidades del Supervisor</v>
      </c>
      <c r="C5441" s="90" t="str">
        <v/>
      </c>
      <c r="D5441" s="89" t="str">
        <v>Periódica</v>
      </c>
      <c r="E5441" s="89">
        <v>365</v>
      </c>
      <c r="F5441" s="89" t="str">
        <v/>
      </c>
      <c r="G5441" s="89" t="str">
        <f ca="1"/>
        <v/>
      </c>
    </row>
    <row r="5442" spans="1:7" x14ac:dyDescent="0.3">
      <c r="A5442" s="89" t="str">
        <v/>
      </c>
      <c r="B5442" s="89" t="str">
        <v>Espacios Confinados (Todos)</v>
      </c>
      <c r="C5442" s="90" t="str">
        <v/>
      </c>
      <c r="D5442" s="89" t="str">
        <v>Periódica</v>
      </c>
      <c r="E5442" s="89">
        <v>365</v>
      </c>
      <c r="F5442" s="89" t="str">
        <v/>
      </c>
      <c r="G5442" s="89" t="str">
        <f ca="1"/>
        <v/>
      </c>
    </row>
    <row r="5443" spans="1:7" x14ac:dyDescent="0.3">
      <c r="A5443" s="89" t="str">
        <v/>
      </c>
      <c r="B5443" s="89" t="str">
        <v>HSMS.017 / Espacios Confinados (Entrantes)</v>
      </c>
      <c r="C5443" s="90" t="str">
        <v/>
      </c>
      <c r="D5443" s="89" t="str">
        <v>Evento</v>
      </c>
      <c r="E5443" s="89">
        <v>0</v>
      </c>
      <c r="F5443" s="89" t="str">
        <v/>
      </c>
      <c r="G5443" s="89" t="str">
        <f ca="1"/>
        <v/>
      </c>
    </row>
    <row r="5444" spans="1:7" x14ac:dyDescent="0.3">
      <c r="A5444" s="89" t="str">
        <v/>
      </c>
      <c r="B5444" s="89" t="str">
        <v>Programa de Agua (Todos)</v>
      </c>
      <c r="C5444" s="90" t="str">
        <v/>
      </c>
      <c r="D5444" s="89" t="str">
        <v>Evento</v>
      </c>
      <c r="E5444" s="89">
        <v>0</v>
      </c>
      <c r="F5444" s="89" t="str">
        <v/>
      </c>
      <c r="G5444" s="89" t="str">
        <f ca="1"/>
        <v/>
      </c>
    </row>
    <row r="5445" spans="1:7" x14ac:dyDescent="0.3">
      <c r="A5445" s="89" t="str">
        <v/>
      </c>
      <c r="B5445" s="89" t="str">
        <v>Programa de Agua (HSE)</v>
      </c>
      <c r="C5445" s="90" t="str">
        <v/>
      </c>
      <c r="D5445" s="89" t="str">
        <v>Evento</v>
      </c>
      <c r="E5445" s="89">
        <v>0</v>
      </c>
      <c r="F5445" s="89" t="str">
        <v/>
      </c>
      <c r="G5445" s="89" t="str">
        <f ca="1"/>
        <v/>
      </c>
    </row>
    <row r="5446" spans="1:7" x14ac:dyDescent="0.3">
      <c r="A5446" s="89" t="str">
        <v/>
      </c>
      <c r="B5446" s="89" t="str">
        <v>HIV/SIDA y otras enfermedades de transmisión sexual (ETS)</v>
      </c>
      <c r="C5446" s="90" t="str">
        <v/>
      </c>
      <c r="D5446" s="89" t="str">
        <v>Periódica</v>
      </c>
      <c r="E5446" s="89">
        <v>365</v>
      </c>
      <c r="F5446" s="89" t="str">
        <v/>
      </c>
      <c r="G5446" s="89" t="str">
        <f ca="1"/>
        <v/>
      </c>
    </row>
    <row r="5447" spans="1:7" x14ac:dyDescent="0.3">
      <c r="A5447" s="89" t="str">
        <v/>
      </c>
      <c r="B5447" s="89" t="str">
        <v>Drogas de abuso (concientización y prevención)</v>
      </c>
      <c r="C5447" s="90" t="str">
        <v/>
      </c>
      <c r="D5447" s="89" t="str">
        <v>Periódica</v>
      </c>
      <c r="E5447" s="89">
        <v>365</v>
      </c>
      <c r="F5447" s="89" t="str">
        <v/>
      </c>
      <c r="G5447" s="89" t="str">
        <f ca="1"/>
        <v/>
      </c>
    </row>
    <row r="5448" spans="1:7" x14ac:dyDescent="0.3">
      <c r="A5448" s="89" t="str">
        <v/>
      </c>
      <c r="B5448" s="89" t="str">
        <v>Vida saludable (hábitos, autocuidado y bienestar)</v>
      </c>
      <c r="C5448" s="90" t="str">
        <v/>
      </c>
      <c r="D5448" s="89" t="str">
        <v>Periódica</v>
      </c>
      <c r="E5448" s="89">
        <v>365</v>
      </c>
      <c r="F5448" s="89" t="str">
        <v/>
      </c>
      <c r="G5448" s="89" t="str">
        <f ca="1"/>
        <v/>
      </c>
    </row>
    <row r="5449" spans="1:7" x14ac:dyDescent="0.3">
      <c r="A5449" s="89" t="str">
        <v/>
      </c>
      <c r="B5449" s="89" t="str">
        <v>Primeros auxilios y Reanimación Cardio Pulmonar (RCP)</v>
      </c>
      <c r="C5449" s="90" t="str">
        <v/>
      </c>
      <c r="D5449" s="89" t="str">
        <v>Periódica</v>
      </c>
      <c r="E5449" s="89">
        <v>365</v>
      </c>
      <c r="F5449" s="89" t="str">
        <v/>
      </c>
      <c r="G5449" s="89" t="str">
        <f ca="1"/>
        <v/>
      </c>
    </row>
    <row r="5450" spans="1:7" x14ac:dyDescent="0.3">
      <c r="A5450" s="89" t="str">
        <v/>
      </c>
      <c r="B5450" s="89" t="str">
        <v>Prevención cardiovascular (factores de riesgo y señales de alarma)</v>
      </c>
      <c r="C5450" s="90" t="str">
        <v/>
      </c>
      <c r="D5450" s="89" t="str">
        <v>Periódica</v>
      </c>
      <c r="E5450" s="89">
        <v>365</v>
      </c>
      <c r="F5450" s="89" t="str">
        <v/>
      </c>
      <c r="G5450" s="89" t="str">
        <f ca="1"/>
        <v/>
      </c>
    </row>
    <row r="5451" spans="1:7" x14ac:dyDescent="0.3">
      <c r="A5451" s="89" t="str">
        <v/>
      </c>
      <c r="B5451" s="89" t="str">
        <v>Efectos del tabaco sobre la salud</v>
      </c>
      <c r="C5451" s="90" t="str">
        <v/>
      </c>
      <c r="D5451" s="89" t="str">
        <v>Periódica</v>
      </c>
      <c r="E5451" s="89">
        <v>365</v>
      </c>
      <c r="F5451" s="89" t="str">
        <v/>
      </c>
      <c r="G5451" s="89" t="str">
        <f ca="1"/>
        <v/>
      </c>
    </row>
    <row r="5452" spans="1:7" x14ac:dyDescent="0.3">
      <c r="A5452" s="89" t="str">
        <v/>
      </c>
      <c r="B5452" s="89" t="str">
        <v>Cargadora (Op. Montacargas)</v>
      </c>
      <c r="C5452" s="90" t="str">
        <v/>
      </c>
      <c r="D5452" s="89" t="str">
        <v>Periódica</v>
      </c>
      <c r="E5452" s="89">
        <v>365</v>
      </c>
      <c r="F5452" s="89" t="str">
        <v/>
      </c>
      <c r="G5452" s="89" t="str">
        <f ca="1"/>
        <v/>
      </c>
    </row>
    <row r="5453" spans="1:7" x14ac:dyDescent="0.3">
      <c r="A5453" s="89" t="str">
        <v/>
      </c>
      <c r="B5453" s="89">
        <v>0</v>
      </c>
      <c r="C5453" s="90" t="str">
        <v/>
      </c>
      <c r="D5453" s="89" t="str">
        <v/>
      </c>
      <c r="E5453" s="89" t="str">
        <v/>
      </c>
      <c r="F5453" s="89" t="str">
        <v/>
      </c>
      <c r="G5453" s="89" t="str">
        <f ca="1"/>
        <v/>
      </c>
    </row>
    <row r="5454" spans="1:7" x14ac:dyDescent="0.3">
      <c r="A5454" s="89" t="str">
        <v/>
      </c>
      <c r="B5454" s="89">
        <v>0</v>
      </c>
      <c r="C5454" s="90" t="str">
        <v/>
      </c>
      <c r="D5454" s="89" t="str">
        <v/>
      </c>
      <c r="E5454" s="89" t="str">
        <v/>
      </c>
      <c r="F5454" s="89" t="str">
        <v/>
      </c>
      <c r="G5454" s="89" t="str">
        <f ca="1"/>
        <v/>
      </c>
    </row>
    <row r="5455" spans="1:7" x14ac:dyDescent="0.3">
      <c r="A5455" s="89" t="str">
        <v/>
      </c>
      <c r="B5455" s="89">
        <v>0</v>
      </c>
      <c r="C5455" s="90" t="str">
        <v/>
      </c>
      <c r="D5455" s="89" t="str">
        <v/>
      </c>
      <c r="E5455" s="89" t="str">
        <v/>
      </c>
      <c r="F5455" s="89" t="str">
        <v/>
      </c>
      <c r="G5455" s="89" t="str">
        <f ca="1"/>
        <v/>
      </c>
    </row>
    <row r="5456" spans="1:7" x14ac:dyDescent="0.3">
      <c r="A5456" s="89" t="str">
        <v/>
      </c>
      <c r="B5456" s="89">
        <v>0</v>
      </c>
      <c r="C5456" s="90" t="str">
        <v/>
      </c>
      <c r="D5456" s="89" t="str">
        <v/>
      </c>
      <c r="E5456" s="89" t="str">
        <v/>
      </c>
      <c r="F5456" s="89" t="str">
        <v/>
      </c>
      <c r="G5456" s="89" t="str">
        <f ca="1"/>
        <v/>
      </c>
    </row>
    <row r="5457" spans="1:7" x14ac:dyDescent="0.3">
      <c r="A5457" s="89" t="str">
        <v/>
      </c>
      <c r="B5457" s="89">
        <v>0</v>
      </c>
      <c r="C5457" s="90" t="str">
        <v/>
      </c>
      <c r="D5457" s="89" t="str">
        <v/>
      </c>
      <c r="E5457" s="89" t="str">
        <v/>
      </c>
      <c r="F5457" s="89" t="str">
        <v/>
      </c>
      <c r="G5457" s="89" t="str">
        <f ca="1"/>
        <v/>
      </c>
    </row>
    <row r="5458" spans="1:7" x14ac:dyDescent="0.3">
      <c r="A5458" s="89" t="str">
        <v/>
      </c>
      <c r="B5458" s="89">
        <v>0</v>
      </c>
      <c r="C5458" s="90" t="str">
        <v/>
      </c>
      <c r="D5458" s="89" t="str">
        <v/>
      </c>
      <c r="E5458" s="89" t="str">
        <v/>
      </c>
      <c r="F5458" s="89" t="str">
        <v/>
      </c>
      <c r="G5458" s="89" t="str">
        <f ca="1"/>
        <v/>
      </c>
    </row>
    <row r="5459" spans="1:7" x14ac:dyDescent="0.3">
      <c r="A5459" s="89" t="str">
        <v/>
      </c>
      <c r="B5459" s="89">
        <v>0</v>
      </c>
      <c r="C5459" s="90" t="str">
        <v/>
      </c>
      <c r="D5459" s="89" t="str">
        <v/>
      </c>
      <c r="E5459" s="89" t="str">
        <v/>
      </c>
      <c r="F5459" s="89" t="str">
        <v/>
      </c>
      <c r="G5459" s="89" t="str">
        <f ca="1"/>
        <v/>
      </c>
    </row>
    <row r="5460" spans="1:7" x14ac:dyDescent="0.3">
      <c r="A5460" s="89" t="str">
        <v/>
      </c>
      <c r="B5460" s="89">
        <v>0</v>
      </c>
      <c r="C5460" s="90" t="str">
        <v/>
      </c>
      <c r="D5460" s="89" t="str">
        <v/>
      </c>
      <c r="E5460" s="89" t="str">
        <v/>
      </c>
      <c r="F5460" s="89" t="str">
        <v/>
      </c>
      <c r="G5460" s="89" t="str">
        <f ca="1"/>
        <v/>
      </c>
    </row>
    <row r="5461" spans="1:7" x14ac:dyDescent="0.3">
      <c r="A5461" s="89" t="str">
        <v/>
      </c>
      <c r="B5461" s="89">
        <v>0</v>
      </c>
      <c r="C5461" s="90" t="str">
        <v/>
      </c>
      <c r="D5461" s="89" t="str">
        <v/>
      </c>
      <c r="E5461" s="89" t="str">
        <v/>
      </c>
      <c r="F5461" s="89" t="str">
        <v/>
      </c>
      <c r="G5461" s="89" t="str">
        <f ca="1"/>
        <v/>
      </c>
    </row>
    <row r="5462" spans="1:7" x14ac:dyDescent="0.3">
      <c r="A5462" s="89" t="str">
        <v/>
      </c>
      <c r="B5462" s="89" t="str">
        <v>Programa de Aire</v>
      </c>
      <c r="C5462" s="90" t="str">
        <v/>
      </c>
      <c r="D5462" s="89" t="str">
        <v>Evento</v>
      </c>
      <c r="E5462" s="89">
        <v>0</v>
      </c>
      <c r="F5462" s="89" t="str">
        <v/>
      </c>
      <c r="G5462" s="89" t="str">
        <f ca="1"/>
        <v/>
      </c>
    </row>
    <row r="5463" spans="1:7" x14ac:dyDescent="0.3">
      <c r="A5463" s="89" t="str">
        <v/>
      </c>
      <c r="B5463" s="89" t="str">
        <v>Conciencia Ambiental</v>
      </c>
      <c r="C5463" s="90" t="str">
        <v/>
      </c>
      <c r="D5463" s="89" t="str">
        <v>Periódica</v>
      </c>
      <c r="E5463" s="89">
        <v>365</v>
      </c>
      <c r="F5463" s="89" t="str">
        <v/>
      </c>
      <c r="G5463" s="89" t="str">
        <f ca="1"/>
        <v/>
      </c>
    </row>
    <row r="5464" spans="1:7" x14ac:dyDescent="0.3">
      <c r="A5464" s="89" t="str">
        <v/>
      </c>
      <c r="B5464" s="89" t="str">
        <v xml:space="preserve">Control de Documentos e Informacion de HSE </v>
      </c>
      <c r="C5464" s="90" t="str">
        <v/>
      </c>
      <c r="D5464" s="89" t="str">
        <v>Evento</v>
      </c>
      <c r="E5464" s="89">
        <v>0</v>
      </c>
      <c r="F5464" s="89" t="str">
        <v/>
      </c>
      <c r="G5464" s="89" t="str">
        <f ca="1"/>
        <v/>
      </c>
    </row>
    <row r="5465" spans="1:7" x14ac:dyDescent="0.3">
      <c r="A5465" s="89" t="str">
        <v/>
      </c>
      <c r="B5465" s="89" t="str">
        <v xml:space="preserve"> Acciones Correctivas y Preventivas (CAPA)</v>
      </c>
      <c r="C5465" s="90" t="str">
        <v/>
      </c>
      <c r="D5465" s="89" t="str">
        <v>Evento</v>
      </c>
      <c r="E5465" s="89">
        <v>0</v>
      </c>
      <c r="F5465" s="89" t="str">
        <v/>
      </c>
      <c r="G5465" s="89" t="str">
        <f ca="1"/>
        <v/>
      </c>
    </row>
    <row r="5466" spans="1:7" x14ac:dyDescent="0.3">
      <c r="A5466" s="89" t="str">
        <v/>
      </c>
      <c r="B5466" s="89" t="str">
        <v>Seguridad Basada en el Comportamiento (Observation Program) // HSMS.043 / Autoridad de Detener el Trabajo</v>
      </c>
      <c r="C5466" s="90" t="str">
        <v/>
      </c>
      <c r="D5466" s="89" t="str">
        <v>Periódica</v>
      </c>
      <c r="E5466" s="89">
        <v>365</v>
      </c>
      <c r="F5466" s="89" t="str">
        <v/>
      </c>
      <c r="G5466" s="89" t="str">
        <f ca="1"/>
        <v/>
      </c>
    </row>
    <row r="5467" spans="1:7" x14ac:dyDescent="0.3">
      <c r="A5467" s="89" t="str">
        <v/>
      </c>
      <c r="B5467" s="89" t="str">
        <v>Identificacion de Peligros y Evaluacion de Riesgos</v>
      </c>
      <c r="C5467" s="90" t="str">
        <v/>
      </c>
      <c r="D5467" s="89" t="str">
        <v>Evento</v>
      </c>
      <c r="E5467" s="89">
        <v>0</v>
      </c>
      <c r="F5467" s="89" t="str">
        <v/>
      </c>
      <c r="G5467" s="89" t="str">
        <f ca="1"/>
        <v/>
      </c>
    </row>
    <row r="5468" spans="1:7" x14ac:dyDescent="0.3">
      <c r="A5468" s="89" t="str">
        <v/>
      </c>
      <c r="B5468" s="89" t="str">
        <v xml:space="preserve"> Plan de Respuesta ante Eemergencias / HSMS.010 /Primeros Axulios &amp; RCP/DEA / HSMSWT-002 / Patogenos Trasnmitidos por la Sangre</v>
      </c>
      <c r="C5468" s="90" t="str">
        <v/>
      </c>
      <c r="D5468" s="89" t="str">
        <v>Periódica</v>
      </c>
      <c r="E5468" s="89">
        <v>365</v>
      </c>
      <c r="F5468" s="89" t="str">
        <v/>
      </c>
      <c r="G5468" s="89" t="str">
        <f ca="1"/>
        <v/>
      </c>
    </row>
    <row r="5469" spans="1:7" x14ac:dyDescent="0.3">
      <c r="A5469" s="89" t="str">
        <v/>
      </c>
      <c r="B5469" s="89" t="str">
        <v>Reporte y Gestion de Incidentes HSE (Todos)</v>
      </c>
      <c r="C5469" s="90" t="str">
        <v/>
      </c>
      <c r="D5469" s="89" t="str">
        <v>Periódica</v>
      </c>
      <c r="E5469" s="89">
        <v>365</v>
      </c>
      <c r="F5469" s="89" t="str">
        <v/>
      </c>
      <c r="G5469" s="89" t="str">
        <f ca="1"/>
        <v/>
      </c>
    </row>
    <row r="5470" spans="1:7" x14ac:dyDescent="0.3">
      <c r="A5470" s="89" t="str">
        <v/>
      </c>
      <c r="B5470" s="89" t="str">
        <v>Reporte, Gestion e Investigacion de Incidentes HSE (supervisores / investigadores (rol))</v>
      </c>
      <c r="C5470" s="90" t="str">
        <v/>
      </c>
      <c r="D5470" s="89" t="str">
        <v>Periódica</v>
      </c>
      <c r="E5470" s="89">
        <v>1095</v>
      </c>
      <c r="F5470" s="89" t="str">
        <v/>
      </c>
      <c r="G5470" s="89" t="str">
        <f ca="1"/>
        <v/>
      </c>
    </row>
    <row r="5471" spans="1:7" x14ac:dyDescent="0.3">
      <c r="A5471" s="89" t="str">
        <v/>
      </c>
      <c r="B5471" s="89" t="str">
        <v>Gruas y Equipos de Izaje (Todos)</v>
      </c>
      <c r="C5471" s="90" t="str">
        <v/>
      </c>
      <c r="D5471" s="89" t="str">
        <v>Periódica</v>
      </c>
      <c r="E5471" s="89">
        <v>365</v>
      </c>
      <c r="F5471" s="89" t="str">
        <v/>
      </c>
      <c r="G5471" s="89" t="str">
        <f ca="1"/>
        <v/>
      </c>
    </row>
    <row r="5472" spans="1:7" x14ac:dyDescent="0.3">
      <c r="A5472" s="89" t="str">
        <v/>
      </c>
      <c r="B5472" s="89" t="str">
        <v>HSMS.007 / Gruas y Equipos de Izaje (Operadores)</v>
      </c>
      <c r="C5472" s="90" t="str">
        <v/>
      </c>
      <c r="D5472" s="89" t="str">
        <v>Periódica</v>
      </c>
      <c r="E5472" s="89">
        <v>365</v>
      </c>
      <c r="F5472" s="89" t="str">
        <v/>
      </c>
      <c r="G5472" s="89" t="str">
        <f ca="1"/>
        <v/>
      </c>
    </row>
    <row r="5473" spans="1:7" x14ac:dyDescent="0.3">
      <c r="A5473" s="89" t="str">
        <v/>
      </c>
      <c r="B5473" s="89" t="str">
        <v>Proteccion Contra Incendios (Todos)</v>
      </c>
      <c r="C5473" s="90" t="str">
        <v/>
      </c>
      <c r="D5473" s="89" t="str">
        <v>Periódica</v>
      </c>
      <c r="E5473" s="89">
        <v>365</v>
      </c>
      <c r="F5473" s="89" t="str">
        <v/>
      </c>
      <c r="G5473" s="89" t="str">
        <f ca="1"/>
        <v/>
      </c>
    </row>
    <row r="5474" spans="1:7" x14ac:dyDescent="0.3">
      <c r="A5474" s="89" t="str">
        <v/>
      </c>
      <c r="B5474" s="89" t="str">
        <v>Proteccion Contra Incendios (Brigadistas)</v>
      </c>
      <c r="C5474" s="90" t="str">
        <v/>
      </c>
      <c r="D5474" s="89" t="str">
        <v>Periódica</v>
      </c>
      <c r="E5474" s="89">
        <v>365</v>
      </c>
      <c r="F5474" s="89" t="str">
        <v/>
      </c>
      <c r="G5474" s="89" t="str">
        <f ca="1"/>
        <v/>
      </c>
    </row>
    <row r="5475" spans="1:7" x14ac:dyDescent="0.3">
      <c r="A5475" s="89" t="str">
        <v/>
      </c>
      <c r="B5475" s="89" t="str">
        <v>Primeros Auxilios (Brigadistas)</v>
      </c>
      <c r="C5475" s="90" t="str">
        <v/>
      </c>
      <c r="D5475" s="89" t="str">
        <v>Periódica</v>
      </c>
      <c r="E5475" s="89">
        <v>365</v>
      </c>
      <c r="F5475" s="89" t="str">
        <v/>
      </c>
      <c r="G5475" s="89" t="str">
        <f ca="1"/>
        <v/>
      </c>
    </row>
    <row r="5476" spans="1:7" x14ac:dyDescent="0.3">
      <c r="A5476" s="89" t="str">
        <v/>
      </c>
      <c r="B5476" s="89" t="str">
        <v>Seguridad Electrica (Todos)</v>
      </c>
      <c r="C5476" s="90" t="str">
        <v/>
      </c>
      <c r="D5476" s="89" t="str">
        <v>Periódica</v>
      </c>
      <c r="E5476" s="89">
        <v>365</v>
      </c>
      <c r="F5476" s="89" t="str">
        <v/>
      </c>
      <c r="G5476" s="89" t="str">
        <f ca="1"/>
        <v/>
      </c>
    </row>
    <row r="5477" spans="1:7" x14ac:dyDescent="0.3">
      <c r="A5477" s="89" t="str">
        <v/>
      </c>
      <c r="B5477" s="89" t="str">
        <v>Seguridad Electrica (Personal Autorizado)</v>
      </c>
      <c r="C5477" s="90" t="str">
        <v/>
      </c>
      <c r="D5477" s="89" t="str">
        <v>Periódica</v>
      </c>
      <c r="E5477" s="89">
        <v>1095</v>
      </c>
      <c r="F5477" s="89" t="str">
        <v/>
      </c>
      <c r="G5477" s="89" t="str">
        <f ca="1"/>
        <v/>
      </c>
    </row>
    <row r="5478" spans="1:7" x14ac:dyDescent="0.3">
      <c r="A5478" s="89" t="str">
        <v/>
      </c>
      <c r="B5478" s="89" t="str">
        <v>Camiones Industriales Motorizados (PIT) (Todos)</v>
      </c>
      <c r="C5478" s="90" t="str">
        <v/>
      </c>
      <c r="D5478" s="89" t="str">
        <v>Periódica</v>
      </c>
      <c r="E5478" s="89">
        <v>365</v>
      </c>
      <c r="F5478" s="89" t="str">
        <v/>
      </c>
      <c r="G5478" s="89" t="str">
        <f ca="1"/>
        <v/>
      </c>
    </row>
    <row r="5479" spans="1:7" x14ac:dyDescent="0.3">
      <c r="A5479" s="89" t="str">
        <v/>
      </c>
      <c r="B5479" s="89" t="str">
        <v>Camiones Industriales Motorizados (PIT) (Op. Montacargas)</v>
      </c>
      <c r="C5479" s="90" t="str">
        <v/>
      </c>
      <c r="D5479" s="89" t="str">
        <v>Periódica</v>
      </c>
      <c r="E5479" s="89">
        <v>365</v>
      </c>
      <c r="F5479" s="89" t="str">
        <v/>
      </c>
      <c r="G5479" s="89" t="str">
        <f ca="1"/>
        <v/>
      </c>
    </row>
    <row r="5480" spans="1:7" x14ac:dyDescent="0.3">
      <c r="A5480" s="89" t="str">
        <v/>
      </c>
      <c r="B5480" s="89" t="str">
        <v>Control de Energias Peligrosas (LOTO) (Todos)</v>
      </c>
      <c r="C5480" s="90" t="str">
        <v/>
      </c>
      <c r="D5480" s="89" t="str">
        <v>Evento</v>
      </c>
      <c r="E5480" s="89">
        <v>0</v>
      </c>
      <c r="F5480" s="89" t="str">
        <v/>
      </c>
      <c r="G5480" s="89" t="str">
        <f ca="1"/>
        <v/>
      </c>
    </row>
    <row r="5481" spans="1:7" x14ac:dyDescent="0.3">
      <c r="A5481" s="89" t="str">
        <v/>
      </c>
      <c r="B5481" s="89" t="str">
        <v>Control de Energias Peligrosas (LOTO) (Empleados Autorizados)</v>
      </c>
      <c r="C5481" s="90" t="str">
        <v/>
      </c>
      <c r="D5481" s="89" t="str">
        <v>Periódica</v>
      </c>
      <c r="E5481" s="89">
        <v>365</v>
      </c>
      <c r="F5481" s="89" t="str">
        <v/>
      </c>
      <c r="G5481" s="89" t="str">
        <f ca="1"/>
        <v/>
      </c>
    </row>
    <row r="5482" spans="1:7" x14ac:dyDescent="0.3">
      <c r="A5482" s="89" t="str">
        <v/>
      </c>
      <c r="B5482" s="89" t="str">
        <v>Seguridad aplicada al Pozo &amp; Yacimiento</v>
      </c>
      <c r="C5482" s="90" t="str">
        <v/>
      </c>
      <c r="D5482" s="89" t="str">
        <v>Periódica</v>
      </c>
      <c r="E5482" s="89">
        <v>365</v>
      </c>
      <c r="F5482" s="89" t="str">
        <v/>
      </c>
      <c r="G5482" s="89" t="str">
        <f ca="1"/>
        <v/>
      </c>
    </row>
    <row r="5483" spans="1:7" x14ac:dyDescent="0.3">
      <c r="A5483" s="89" t="str">
        <v/>
      </c>
      <c r="B5483" s="89" t="str">
        <v>Las Reglas que Salvan Vidas</v>
      </c>
      <c r="C5483" s="90" t="str">
        <v/>
      </c>
      <c r="D5483" s="89" t="str">
        <v>Periódica</v>
      </c>
      <c r="E5483" s="89">
        <v>365</v>
      </c>
      <c r="F5483" s="89" t="str">
        <v/>
      </c>
      <c r="G5483" s="89" t="str">
        <f ca="1"/>
        <v/>
      </c>
    </row>
    <row r="5484" spans="1:7" x14ac:dyDescent="0.3">
      <c r="A5484" s="89" t="str">
        <v/>
      </c>
      <c r="B5484" s="89" t="str">
        <v xml:space="preserve">Resguardo de Maquinas &amp; Equipos </v>
      </c>
      <c r="C5484" s="90" t="str">
        <v/>
      </c>
      <c r="D5484" s="89" t="str">
        <v>Periódica</v>
      </c>
      <c r="E5484" s="89">
        <v>365</v>
      </c>
      <c r="F5484" s="89" t="str">
        <v/>
      </c>
      <c r="G5484" s="89" t="str">
        <f ca="1"/>
        <v/>
      </c>
    </row>
    <row r="5485" spans="1:7" x14ac:dyDescent="0.3">
      <c r="A5485" s="89" t="str">
        <v/>
      </c>
      <c r="B5485" s="89" t="str">
        <v>Conduccion y Gestion de Viajes (Todos)</v>
      </c>
      <c r="C5485" s="90" t="str">
        <v/>
      </c>
      <c r="D5485" s="89" t="str">
        <v>Periódica</v>
      </c>
      <c r="E5485" s="89">
        <v>730</v>
      </c>
      <c r="F5485" s="89" t="str">
        <v/>
      </c>
      <c r="G5485" s="89" t="str">
        <f ca="1"/>
        <v/>
      </c>
    </row>
    <row r="5486" spans="1:7" x14ac:dyDescent="0.3">
      <c r="A5486" s="89" t="str">
        <v/>
      </c>
      <c r="B5486" s="89" t="str">
        <v>Conduccion y Gestion de Viajes (Conductores)</v>
      </c>
      <c r="C5486" s="90" t="str">
        <v/>
      </c>
      <c r="D5486" s="89" t="str">
        <v>Periódica</v>
      </c>
      <c r="E5486" s="89">
        <v>1095</v>
      </c>
      <c r="F5486" s="89" t="str">
        <v/>
      </c>
      <c r="G5486" s="89" t="str">
        <f ca="1"/>
        <v/>
      </c>
    </row>
    <row r="5487" spans="1:7" x14ac:dyDescent="0.3">
      <c r="A5487" s="89" t="str">
        <v/>
      </c>
      <c r="B5487" s="89" t="str">
        <v>Patogenos Transmitidos por la Sangre</v>
      </c>
      <c r="C5487" s="90" t="str">
        <v/>
      </c>
      <c r="D5487" s="89" t="str">
        <v>Periódica</v>
      </c>
      <c r="E5487" s="89">
        <v>365</v>
      </c>
      <c r="F5487" s="89" t="str">
        <v/>
      </c>
      <c r="G5487" s="89" t="str">
        <f ca="1"/>
        <v/>
      </c>
    </row>
    <row r="5488" spans="1:7" x14ac:dyDescent="0.3">
      <c r="A5488" s="89" t="str">
        <v/>
      </c>
      <c r="B5488" s="89" t="str">
        <v>Conservacion Auditiva</v>
      </c>
      <c r="C5488" s="90" t="str">
        <v/>
      </c>
      <c r="D5488" s="89" t="str">
        <v>Periódica</v>
      </c>
      <c r="E5488" s="89">
        <v>365</v>
      </c>
      <c r="F5488" s="89" t="str">
        <v/>
      </c>
      <c r="G5488" s="89" t="str">
        <f ca="1"/>
        <v/>
      </c>
    </row>
    <row r="5489" spans="1:7" x14ac:dyDescent="0.3">
      <c r="A5489" s="89" t="str">
        <v/>
      </c>
      <c r="B5489" s="89" t="str">
        <v xml:space="preserve">Ergonomia //  / Levantamiento &amp; Seguridad en la Espalda </v>
      </c>
      <c r="C5489" s="90" t="str">
        <v/>
      </c>
      <c r="D5489" s="89" t="str">
        <v>Periódica</v>
      </c>
      <c r="E5489" s="89">
        <v>365</v>
      </c>
      <c r="F5489" s="89" t="str">
        <v/>
      </c>
      <c r="G5489" s="89" t="str">
        <f ca="1"/>
        <v/>
      </c>
    </row>
    <row r="5490" spans="1:7" x14ac:dyDescent="0.3">
      <c r="A5490" s="89" t="str">
        <v/>
      </c>
      <c r="B5490" s="89" t="str">
        <v>Superficies Elevadas (Todos)</v>
      </c>
      <c r="C5490" s="90" t="str">
        <v/>
      </c>
      <c r="D5490" s="89" t="str">
        <v>Periódica</v>
      </c>
      <c r="E5490" s="89">
        <v>365</v>
      </c>
      <c r="F5490" s="89" t="str">
        <v/>
      </c>
      <c r="G5490" s="89" t="str">
        <f ca="1"/>
        <v/>
      </c>
    </row>
    <row r="5491" spans="1:7" x14ac:dyDescent="0.3">
      <c r="A5491" s="89" t="str">
        <v/>
      </c>
      <c r="B5491" s="89" t="str">
        <v>Superficies Elevadas (Personal Habilitado)</v>
      </c>
      <c r="C5491" s="90" t="str">
        <v/>
      </c>
      <c r="D5491" s="89" t="str">
        <v>Periódica</v>
      </c>
      <c r="E5491" s="89">
        <v>365</v>
      </c>
      <c r="F5491" s="89" t="str">
        <v/>
      </c>
      <c r="G5491" s="89" t="str">
        <f ca="1"/>
        <v/>
      </c>
    </row>
    <row r="5492" spans="1:7" x14ac:dyDescent="0.3">
      <c r="A5492" s="89" t="str">
        <v/>
      </c>
      <c r="B5492" s="89" t="str">
        <v>Seguridad Quimica (Todos)</v>
      </c>
      <c r="C5492" s="90" t="str">
        <v/>
      </c>
      <c r="D5492" s="89" t="str">
        <v>Periódica</v>
      </c>
      <c r="E5492" s="89">
        <v>730</v>
      </c>
      <c r="F5492" s="89" t="str">
        <v/>
      </c>
      <c r="G5492" s="89" t="str">
        <f ca="1"/>
        <v/>
      </c>
    </row>
    <row r="5493" spans="1:7" x14ac:dyDescent="0.3">
      <c r="A5493" s="89" t="str">
        <v/>
      </c>
      <c r="B5493" s="89" t="str">
        <v>Seguridad Quimica (Mantenimiento)</v>
      </c>
      <c r="C5493" s="90" t="str">
        <v/>
      </c>
      <c r="D5493" s="89" t="str">
        <v>Periódica</v>
      </c>
      <c r="E5493" s="89">
        <v>365</v>
      </c>
      <c r="F5493" s="89" t="str">
        <v/>
      </c>
      <c r="G5493" s="89" t="str">
        <f ca="1"/>
        <v/>
      </c>
    </row>
    <row r="5494" spans="1:7" x14ac:dyDescent="0.3">
      <c r="A5494" s="89" t="str">
        <v/>
      </c>
      <c r="B5494" s="89" t="str">
        <v>Seguridad Quimica (Contratistas)</v>
      </c>
      <c r="C5494" s="90" t="str">
        <v/>
      </c>
      <c r="D5494" s="89" t="str">
        <v>Periódica</v>
      </c>
      <c r="E5494" s="89">
        <v>365</v>
      </c>
      <c r="F5494" s="89" t="str">
        <v/>
      </c>
      <c r="G5494" s="89" t="str">
        <f ca="1"/>
        <v/>
      </c>
    </row>
    <row r="5495" spans="1:7" x14ac:dyDescent="0.3">
      <c r="A5495" s="89" t="str">
        <v/>
      </c>
      <c r="B5495" s="89" t="str">
        <v>Seguridad para Trabajos en Caliente</v>
      </c>
      <c r="C5495" s="90" t="str">
        <v/>
      </c>
      <c r="D5495" s="89" t="str">
        <v>Periódica</v>
      </c>
      <c r="E5495" s="89">
        <v>365</v>
      </c>
      <c r="F5495" s="89" t="str">
        <v/>
      </c>
      <c r="G5495" s="89" t="str">
        <f ca="1"/>
        <v/>
      </c>
    </row>
    <row r="5496" spans="1:7" x14ac:dyDescent="0.3">
      <c r="A5496" s="89" t="str">
        <v/>
      </c>
      <c r="B5496" s="89" t="str">
        <v>Seguridad con la Radiacion</v>
      </c>
      <c r="C5496" s="90" t="str">
        <v/>
      </c>
      <c r="D5496" s="89" t="str">
        <v>Periódica</v>
      </c>
      <c r="E5496" s="89">
        <v>365</v>
      </c>
      <c r="F5496" s="89" t="str">
        <v/>
      </c>
      <c r="G5496" s="89" t="str">
        <f ca="1"/>
        <v/>
      </c>
    </row>
    <row r="5497" spans="1:7" x14ac:dyDescent="0.3">
      <c r="A5497" s="89" t="str">
        <v/>
      </c>
      <c r="B5497" s="89" t="str">
        <v>Equipo de Proteccion Personal (PPE)</v>
      </c>
      <c r="C5497" s="90" t="str">
        <v/>
      </c>
      <c r="D5497" s="89" t="str">
        <v>Periódica</v>
      </c>
      <c r="E5497" s="89">
        <v>365</v>
      </c>
      <c r="F5497" s="89" t="str">
        <v/>
      </c>
      <c r="G5497" s="89" t="str">
        <f ca="1"/>
        <v/>
      </c>
    </row>
    <row r="5498" spans="1:7" x14ac:dyDescent="0.3">
      <c r="A5498" s="89" t="str">
        <v/>
      </c>
      <c r="B5498" s="89" t="str">
        <v>Proteccion Respiratoria</v>
      </c>
      <c r="C5498" s="90" t="str">
        <v/>
      </c>
      <c r="D5498" s="89" t="str">
        <v>Periódica</v>
      </c>
      <c r="E5498" s="89">
        <v>365</v>
      </c>
      <c r="F5498" s="89" t="str">
        <v/>
      </c>
      <c r="G5498" s="89" t="str">
        <f ca="1"/>
        <v/>
      </c>
    </row>
    <row r="5499" spans="1:7" x14ac:dyDescent="0.3">
      <c r="A5499" s="89" t="str">
        <v/>
      </c>
      <c r="B5499" s="89" t="str">
        <v xml:space="preserve">Seguridad con Escaleras </v>
      </c>
      <c r="C5499" s="90" t="str">
        <v/>
      </c>
      <c r="D5499" s="89" t="str">
        <v>Periódica</v>
      </c>
      <c r="E5499" s="89">
        <v>365</v>
      </c>
      <c r="F5499" s="89" t="str">
        <v/>
      </c>
      <c r="G5499" s="89" t="str">
        <f ca="1"/>
        <v/>
      </c>
    </row>
    <row r="5500" spans="1:7" x14ac:dyDescent="0.3">
      <c r="A5500" s="89" t="str">
        <v/>
      </c>
      <c r="B5500" s="89" t="str">
        <v>Seguridad con Escaleras // Estantes de Almacenamiento</v>
      </c>
      <c r="C5500" s="90" t="str">
        <v/>
      </c>
      <c r="D5500" s="89" t="str">
        <v>Periódica</v>
      </c>
      <c r="E5500" s="89">
        <v>365</v>
      </c>
      <c r="F5500" s="89" t="str">
        <v/>
      </c>
      <c r="G5500" s="89" t="str">
        <f ca="1"/>
        <v/>
      </c>
    </row>
    <row r="5501" spans="1:7" x14ac:dyDescent="0.3">
      <c r="A5501" s="89" t="str">
        <v/>
      </c>
      <c r="B5501" s="89" t="str">
        <v>Responsabilidades del Supervisor</v>
      </c>
      <c r="C5501" s="90" t="str">
        <v/>
      </c>
      <c r="D5501" s="89" t="str">
        <v>Periódica</v>
      </c>
      <c r="E5501" s="89">
        <v>365</v>
      </c>
      <c r="F5501" s="89" t="str">
        <v/>
      </c>
      <c r="G5501" s="89" t="str">
        <f ca="1"/>
        <v/>
      </c>
    </row>
    <row r="5502" spans="1:7" x14ac:dyDescent="0.3">
      <c r="A5502" s="89" t="str">
        <v/>
      </c>
      <c r="B5502" s="89" t="str">
        <v>Espacios Confinados (Todos)</v>
      </c>
      <c r="C5502" s="90" t="str">
        <v/>
      </c>
      <c r="D5502" s="89" t="str">
        <v>Periódica</v>
      </c>
      <c r="E5502" s="89">
        <v>365</v>
      </c>
      <c r="F5502" s="89" t="str">
        <v/>
      </c>
      <c r="G5502" s="89" t="str">
        <f ca="1"/>
        <v/>
      </c>
    </row>
    <row r="5503" spans="1:7" x14ac:dyDescent="0.3">
      <c r="A5503" s="89" t="str">
        <v/>
      </c>
      <c r="B5503" s="89" t="str">
        <v>HSMS.017 / Espacios Confinados (Entrantes)</v>
      </c>
      <c r="C5503" s="90" t="str">
        <v/>
      </c>
      <c r="D5503" s="89" t="str">
        <v>Evento</v>
      </c>
      <c r="E5503" s="89">
        <v>0</v>
      </c>
      <c r="F5503" s="89" t="str">
        <v/>
      </c>
      <c r="G5503" s="89" t="str">
        <f ca="1"/>
        <v/>
      </c>
    </row>
    <row r="5504" spans="1:7" x14ac:dyDescent="0.3">
      <c r="A5504" s="89" t="str">
        <v/>
      </c>
      <c r="B5504" s="89" t="str">
        <v>Programa de Agua (Todos)</v>
      </c>
      <c r="C5504" s="90" t="str">
        <v/>
      </c>
      <c r="D5504" s="89" t="str">
        <v>Evento</v>
      </c>
      <c r="E5504" s="89">
        <v>0</v>
      </c>
      <c r="F5504" s="89" t="str">
        <v/>
      </c>
      <c r="G5504" s="89" t="str">
        <f ca="1"/>
        <v/>
      </c>
    </row>
    <row r="5505" spans="1:7" x14ac:dyDescent="0.3">
      <c r="A5505" s="89" t="str">
        <v/>
      </c>
      <c r="B5505" s="89" t="str">
        <v>Programa de Agua (HSE)</v>
      </c>
      <c r="C5505" s="90" t="str">
        <v/>
      </c>
      <c r="D5505" s="89" t="str">
        <v>Evento</v>
      </c>
      <c r="E5505" s="89">
        <v>0</v>
      </c>
      <c r="F5505" s="89" t="str">
        <v/>
      </c>
      <c r="G5505" s="89" t="str">
        <f ca="1"/>
        <v/>
      </c>
    </row>
    <row r="5506" spans="1:7" x14ac:dyDescent="0.3">
      <c r="A5506" s="89" t="str">
        <v/>
      </c>
      <c r="B5506" s="89" t="str">
        <v>HIV/SIDA y otras enfermedades de transmisión sexual (ETS)</v>
      </c>
      <c r="C5506" s="90" t="str">
        <v/>
      </c>
      <c r="D5506" s="89" t="str">
        <v>Periódica</v>
      </c>
      <c r="E5506" s="89">
        <v>365</v>
      </c>
      <c r="F5506" s="89" t="str">
        <v/>
      </c>
      <c r="G5506" s="89" t="str">
        <f ca="1"/>
        <v/>
      </c>
    </row>
    <row r="5507" spans="1:7" x14ac:dyDescent="0.3">
      <c r="A5507" s="89" t="str">
        <v/>
      </c>
      <c r="B5507" s="89" t="str">
        <v>Drogas de abuso (concientización y prevención)</v>
      </c>
      <c r="C5507" s="90" t="str">
        <v/>
      </c>
      <c r="D5507" s="89" t="str">
        <v>Periódica</v>
      </c>
      <c r="E5507" s="89">
        <v>365</v>
      </c>
      <c r="F5507" s="89" t="str">
        <v/>
      </c>
      <c r="G5507" s="89" t="str">
        <f ca="1"/>
        <v/>
      </c>
    </row>
    <row r="5508" spans="1:7" x14ac:dyDescent="0.3">
      <c r="A5508" s="89" t="str">
        <v/>
      </c>
      <c r="B5508" s="89" t="str">
        <v>Vida saludable (hábitos, autocuidado y bienestar)</v>
      </c>
      <c r="C5508" s="90" t="str">
        <v/>
      </c>
      <c r="D5508" s="89" t="str">
        <v>Periódica</v>
      </c>
      <c r="E5508" s="89">
        <v>365</v>
      </c>
      <c r="F5508" s="89" t="str">
        <v/>
      </c>
      <c r="G5508" s="89" t="str">
        <f ca="1"/>
        <v/>
      </c>
    </row>
    <row r="5509" spans="1:7" x14ac:dyDescent="0.3">
      <c r="A5509" s="89" t="str">
        <v/>
      </c>
      <c r="B5509" s="89" t="str">
        <v>Primeros auxilios y Reanimación Cardio Pulmonar (RCP)</v>
      </c>
      <c r="C5509" s="90" t="str">
        <v/>
      </c>
      <c r="D5509" s="89" t="str">
        <v>Periódica</v>
      </c>
      <c r="E5509" s="89">
        <v>365</v>
      </c>
      <c r="F5509" s="89" t="str">
        <v/>
      </c>
      <c r="G5509" s="89" t="str">
        <f ca="1"/>
        <v/>
      </c>
    </row>
    <row r="5510" spans="1:7" x14ac:dyDescent="0.3">
      <c r="A5510" s="89" t="str">
        <v/>
      </c>
      <c r="B5510" s="89" t="str">
        <v>Prevención cardiovascular (factores de riesgo y señales de alarma)</v>
      </c>
      <c r="C5510" s="90" t="str">
        <v/>
      </c>
      <c r="D5510" s="89" t="str">
        <v>Periódica</v>
      </c>
      <c r="E5510" s="89">
        <v>365</v>
      </c>
      <c r="F5510" s="89" t="str">
        <v/>
      </c>
      <c r="G5510" s="89" t="str">
        <f ca="1"/>
        <v/>
      </c>
    </row>
    <row r="5511" spans="1:7" x14ac:dyDescent="0.3">
      <c r="A5511" s="89" t="str">
        <v/>
      </c>
      <c r="B5511" s="89" t="str">
        <v>Efectos del tabaco sobre la salud</v>
      </c>
      <c r="C5511" s="90" t="str">
        <v/>
      </c>
      <c r="D5511" s="89" t="str">
        <v>Periódica</v>
      </c>
      <c r="E5511" s="89">
        <v>365</v>
      </c>
      <c r="F5511" s="89" t="str">
        <v/>
      </c>
      <c r="G5511" s="89" t="str">
        <f ca="1"/>
        <v/>
      </c>
    </row>
    <row r="5512" spans="1:7" x14ac:dyDescent="0.3">
      <c r="A5512" s="89" t="str">
        <v/>
      </c>
      <c r="B5512" s="89" t="str">
        <v>Cargadora (Op. Montacargas)</v>
      </c>
      <c r="C5512" s="90" t="str">
        <v/>
      </c>
      <c r="D5512" s="89" t="str">
        <v>Periódica</v>
      </c>
      <c r="E5512" s="89">
        <v>365</v>
      </c>
      <c r="F5512" s="89" t="str">
        <v/>
      </c>
      <c r="G5512" s="89" t="str">
        <f ca="1"/>
        <v/>
      </c>
    </row>
    <row r="5513" spans="1:7" x14ac:dyDescent="0.3">
      <c r="A5513" s="89" t="str">
        <v/>
      </c>
      <c r="B5513" s="89">
        <v>0</v>
      </c>
      <c r="C5513" s="90" t="str">
        <v/>
      </c>
      <c r="D5513" s="89" t="str">
        <v/>
      </c>
      <c r="E5513" s="89" t="str">
        <v/>
      </c>
      <c r="F5513" s="89" t="str">
        <v/>
      </c>
      <c r="G5513" s="89" t="str">
        <f ca="1"/>
        <v/>
      </c>
    </row>
    <row r="5514" spans="1:7" x14ac:dyDescent="0.3">
      <c r="A5514" s="89" t="str">
        <v/>
      </c>
      <c r="B5514" s="89">
        <v>0</v>
      </c>
      <c r="C5514" s="90" t="str">
        <v/>
      </c>
      <c r="D5514" s="89" t="str">
        <v/>
      </c>
      <c r="E5514" s="89" t="str">
        <v/>
      </c>
      <c r="F5514" s="89" t="str">
        <v/>
      </c>
      <c r="G5514" s="89" t="str">
        <f ca="1"/>
        <v/>
      </c>
    </row>
    <row r="5515" spans="1:7" x14ac:dyDescent="0.3">
      <c r="A5515" s="89" t="str">
        <v/>
      </c>
      <c r="B5515" s="89">
        <v>0</v>
      </c>
      <c r="C5515" s="90" t="str">
        <v/>
      </c>
      <c r="D5515" s="89" t="str">
        <v/>
      </c>
      <c r="E5515" s="89" t="str">
        <v/>
      </c>
      <c r="F5515" s="89" t="str">
        <v/>
      </c>
      <c r="G5515" s="89" t="str">
        <f ca="1"/>
        <v/>
      </c>
    </row>
    <row r="5516" spans="1:7" x14ac:dyDescent="0.3">
      <c r="A5516" s="89" t="str">
        <v/>
      </c>
      <c r="B5516" s="89">
        <v>0</v>
      </c>
      <c r="C5516" s="90" t="str">
        <v/>
      </c>
      <c r="D5516" s="89" t="str">
        <v/>
      </c>
      <c r="E5516" s="89" t="str">
        <v/>
      </c>
      <c r="F5516" s="89" t="str">
        <v/>
      </c>
      <c r="G5516" s="89" t="str">
        <f ca="1"/>
        <v/>
      </c>
    </row>
    <row r="5517" spans="1:7" x14ac:dyDescent="0.3">
      <c r="A5517" s="89" t="str">
        <v/>
      </c>
      <c r="B5517" s="89">
        <v>0</v>
      </c>
      <c r="C5517" s="90" t="str">
        <v/>
      </c>
      <c r="D5517" s="89" t="str">
        <v/>
      </c>
      <c r="E5517" s="89" t="str">
        <v/>
      </c>
      <c r="F5517" s="89" t="str">
        <v/>
      </c>
      <c r="G5517" s="89" t="str">
        <f ca="1"/>
        <v/>
      </c>
    </row>
    <row r="5518" spans="1:7" x14ac:dyDescent="0.3">
      <c r="A5518" s="89" t="str">
        <v/>
      </c>
      <c r="B5518" s="89">
        <v>0</v>
      </c>
      <c r="C5518" s="90" t="str">
        <v/>
      </c>
      <c r="D5518" s="89" t="str">
        <v/>
      </c>
      <c r="E5518" s="89" t="str">
        <v/>
      </c>
      <c r="F5518" s="89" t="str">
        <v/>
      </c>
      <c r="G5518" s="89" t="str">
        <f ca="1"/>
        <v/>
      </c>
    </row>
    <row r="5519" spans="1:7" x14ac:dyDescent="0.3">
      <c r="A5519" s="89" t="str">
        <v/>
      </c>
      <c r="B5519" s="89">
        <v>0</v>
      </c>
      <c r="C5519" s="90" t="str">
        <v/>
      </c>
      <c r="D5519" s="89" t="str">
        <v/>
      </c>
      <c r="E5519" s="89" t="str">
        <v/>
      </c>
      <c r="F5519" s="89" t="str">
        <v/>
      </c>
      <c r="G5519" s="89" t="str">
        <f ca="1"/>
        <v/>
      </c>
    </row>
    <row r="5520" spans="1:7" x14ac:dyDescent="0.3">
      <c r="A5520" s="89" t="str">
        <v/>
      </c>
      <c r="B5520" s="89">
        <v>0</v>
      </c>
      <c r="C5520" s="90" t="str">
        <v/>
      </c>
      <c r="D5520" s="89" t="str">
        <v/>
      </c>
      <c r="E5520" s="89" t="str">
        <v/>
      </c>
      <c r="F5520" s="89" t="str">
        <v/>
      </c>
      <c r="G5520" s="89" t="str">
        <f ca="1"/>
        <v/>
      </c>
    </row>
    <row r="5521" spans="1:7" x14ac:dyDescent="0.3">
      <c r="A5521" s="89" t="str">
        <v/>
      </c>
      <c r="B5521" s="89">
        <v>0</v>
      </c>
      <c r="C5521" s="90" t="str">
        <v/>
      </c>
      <c r="D5521" s="89" t="str">
        <v/>
      </c>
      <c r="E5521" s="89" t="str">
        <v/>
      </c>
      <c r="F5521" s="89" t="str">
        <v/>
      </c>
      <c r="G5521" s="89" t="str">
        <f ca="1"/>
        <v/>
      </c>
    </row>
    <row r="5522" spans="1:7" x14ac:dyDescent="0.3">
      <c r="A5522" s="89" t="str">
        <v/>
      </c>
      <c r="B5522" s="89" t="str">
        <v>Programa de Aire</v>
      </c>
      <c r="C5522" s="90" t="str">
        <v/>
      </c>
      <c r="D5522" s="89" t="str">
        <v>Evento</v>
      </c>
      <c r="E5522" s="89">
        <v>0</v>
      </c>
      <c r="F5522" s="89" t="str">
        <v/>
      </c>
      <c r="G5522" s="89" t="str">
        <f ca="1"/>
        <v/>
      </c>
    </row>
    <row r="5523" spans="1:7" x14ac:dyDescent="0.3">
      <c r="A5523" s="89" t="str">
        <v/>
      </c>
      <c r="B5523" s="89" t="str">
        <v>Conciencia Ambiental</v>
      </c>
      <c r="C5523" s="90" t="str">
        <v/>
      </c>
      <c r="D5523" s="89" t="str">
        <v>Periódica</v>
      </c>
      <c r="E5523" s="89">
        <v>365</v>
      </c>
      <c r="F5523" s="89" t="str">
        <v/>
      </c>
      <c r="G5523" s="89" t="str">
        <f ca="1"/>
        <v/>
      </c>
    </row>
    <row r="5524" spans="1:7" x14ac:dyDescent="0.3">
      <c r="A5524" s="89" t="str">
        <v/>
      </c>
      <c r="B5524" s="89" t="str">
        <v xml:space="preserve">Control de Documentos e Informacion de HSE </v>
      </c>
      <c r="C5524" s="90" t="str">
        <v/>
      </c>
      <c r="D5524" s="89" t="str">
        <v>Evento</v>
      </c>
      <c r="E5524" s="89">
        <v>0</v>
      </c>
      <c r="F5524" s="89" t="str">
        <v/>
      </c>
      <c r="G5524" s="89" t="str">
        <f ca="1"/>
        <v/>
      </c>
    </row>
    <row r="5525" spans="1:7" x14ac:dyDescent="0.3">
      <c r="A5525" s="89" t="str">
        <v/>
      </c>
      <c r="B5525" s="89" t="str">
        <v xml:space="preserve"> Acciones Correctivas y Preventivas (CAPA)</v>
      </c>
      <c r="C5525" s="90" t="str">
        <v/>
      </c>
      <c r="D5525" s="89" t="str">
        <v>Evento</v>
      </c>
      <c r="E5525" s="89">
        <v>0</v>
      </c>
      <c r="F5525" s="89" t="str">
        <v/>
      </c>
      <c r="G5525" s="89" t="str">
        <f ca="1"/>
        <v/>
      </c>
    </row>
    <row r="5526" spans="1:7" x14ac:dyDescent="0.3">
      <c r="A5526" s="89" t="str">
        <v/>
      </c>
      <c r="B5526" s="89" t="str">
        <v>Seguridad Basada en el Comportamiento (Observation Program) // HSMS.043 / Autoridad de Detener el Trabajo</v>
      </c>
      <c r="C5526" s="90" t="str">
        <v/>
      </c>
      <c r="D5526" s="89" t="str">
        <v>Periódica</v>
      </c>
      <c r="E5526" s="89">
        <v>365</v>
      </c>
      <c r="F5526" s="89" t="str">
        <v/>
      </c>
      <c r="G5526" s="89" t="str">
        <f ca="1"/>
        <v/>
      </c>
    </row>
    <row r="5527" spans="1:7" x14ac:dyDescent="0.3">
      <c r="A5527" s="89" t="str">
        <v/>
      </c>
      <c r="B5527" s="89" t="str">
        <v>Identificacion de Peligros y Evaluacion de Riesgos</v>
      </c>
      <c r="C5527" s="90" t="str">
        <v/>
      </c>
      <c r="D5527" s="89" t="str">
        <v>Evento</v>
      </c>
      <c r="E5527" s="89">
        <v>0</v>
      </c>
      <c r="F5527" s="89" t="str">
        <v/>
      </c>
      <c r="G5527" s="89" t="str">
        <f ca="1"/>
        <v/>
      </c>
    </row>
    <row r="5528" spans="1:7" x14ac:dyDescent="0.3">
      <c r="A5528" s="89" t="str">
        <v/>
      </c>
      <c r="B5528" s="89" t="str">
        <v xml:space="preserve"> Plan de Respuesta ante Eemergencias / HSMS.010 /Primeros Axulios &amp; RCP/DEA / HSMSWT-002 / Patogenos Trasnmitidos por la Sangre</v>
      </c>
      <c r="C5528" s="90" t="str">
        <v/>
      </c>
      <c r="D5528" s="89" t="str">
        <v>Periódica</v>
      </c>
      <c r="E5528" s="89">
        <v>365</v>
      </c>
      <c r="F5528" s="89" t="str">
        <v/>
      </c>
      <c r="G5528" s="89" t="str">
        <f ca="1"/>
        <v/>
      </c>
    </row>
    <row r="5529" spans="1:7" x14ac:dyDescent="0.3">
      <c r="A5529" s="89" t="str">
        <v/>
      </c>
      <c r="B5529" s="89" t="str">
        <v>Reporte y Gestion de Incidentes HSE (Todos)</v>
      </c>
      <c r="C5529" s="90" t="str">
        <v/>
      </c>
      <c r="D5529" s="89" t="str">
        <v>Periódica</v>
      </c>
      <c r="E5529" s="89">
        <v>365</v>
      </c>
      <c r="F5529" s="89" t="str">
        <v/>
      </c>
      <c r="G5529" s="89" t="str">
        <f ca="1"/>
        <v/>
      </c>
    </row>
    <row r="5530" spans="1:7" x14ac:dyDescent="0.3">
      <c r="A5530" s="89" t="str">
        <v/>
      </c>
      <c r="B5530" s="89" t="str">
        <v>Reporte, Gestion e Investigacion de Incidentes HSE (supervisores / investigadores (rol))</v>
      </c>
      <c r="C5530" s="90" t="str">
        <v/>
      </c>
      <c r="D5530" s="89" t="str">
        <v>Periódica</v>
      </c>
      <c r="E5530" s="89">
        <v>1095</v>
      </c>
      <c r="F5530" s="89" t="str">
        <v/>
      </c>
      <c r="G5530" s="89" t="str">
        <f ca="1"/>
        <v/>
      </c>
    </row>
    <row r="5531" spans="1:7" x14ac:dyDescent="0.3">
      <c r="A5531" s="89" t="str">
        <v/>
      </c>
      <c r="B5531" s="89" t="str">
        <v>Gruas y Equipos de Izaje (Todos)</v>
      </c>
      <c r="C5531" s="90" t="str">
        <v/>
      </c>
      <c r="D5531" s="89" t="str">
        <v>Periódica</v>
      </c>
      <c r="E5531" s="89">
        <v>365</v>
      </c>
      <c r="F5531" s="89" t="str">
        <v/>
      </c>
      <c r="G5531" s="89" t="str">
        <f ca="1"/>
        <v/>
      </c>
    </row>
    <row r="5532" spans="1:7" x14ac:dyDescent="0.3">
      <c r="A5532" s="89" t="str">
        <v/>
      </c>
      <c r="B5532" s="89" t="str">
        <v>HSMS.007 / Gruas y Equipos de Izaje (Operadores)</v>
      </c>
      <c r="C5532" s="90" t="str">
        <v/>
      </c>
      <c r="D5532" s="89" t="str">
        <v>Periódica</v>
      </c>
      <c r="E5532" s="89">
        <v>365</v>
      </c>
      <c r="F5532" s="89" t="str">
        <v/>
      </c>
      <c r="G5532" s="89" t="str">
        <f ca="1"/>
        <v/>
      </c>
    </row>
    <row r="5533" spans="1:7" x14ac:dyDescent="0.3">
      <c r="A5533" s="89" t="str">
        <v/>
      </c>
      <c r="B5533" s="89" t="str">
        <v>Proteccion Contra Incendios (Todos)</v>
      </c>
      <c r="C5533" s="90" t="str">
        <v/>
      </c>
      <c r="D5533" s="89" t="str">
        <v>Periódica</v>
      </c>
      <c r="E5533" s="89">
        <v>365</v>
      </c>
      <c r="F5533" s="89" t="str">
        <v/>
      </c>
      <c r="G5533" s="89" t="str">
        <f ca="1"/>
        <v/>
      </c>
    </row>
    <row r="5534" spans="1:7" x14ac:dyDescent="0.3">
      <c r="A5534" s="89" t="str">
        <v/>
      </c>
      <c r="B5534" s="89" t="str">
        <v>Proteccion Contra Incendios (Brigadistas)</v>
      </c>
      <c r="C5534" s="90" t="str">
        <v/>
      </c>
      <c r="D5534" s="89" t="str">
        <v>Periódica</v>
      </c>
      <c r="E5534" s="89">
        <v>365</v>
      </c>
      <c r="F5534" s="89" t="str">
        <v/>
      </c>
      <c r="G5534" s="89" t="str">
        <f ca="1"/>
        <v/>
      </c>
    </row>
    <row r="5535" spans="1:7" x14ac:dyDescent="0.3">
      <c r="A5535" s="89" t="str">
        <v/>
      </c>
      <c r="B5535" s="89" t="str">
        <v>Primeros Auxilios (Brigadistas)</v>
      </c>
      <c r="C5535" s="90" t="str">
        <v/>
      </c>
      <c r="D5535" s="89" t="str">
        <v>Periódica</v>
      </c>
      <c r="E5535" s="89">
        <v>365</v>
      </c>
      <c r="F5535" s="89" t="str">
        <v/>
      </c>
      <c r="G5535" s="89" t="str">
        <f ca="1"/>
        <v/>
      </c>
    </row>
    <row r="5536" spans="1:7" x14ac:dyDescent="0.3">
      <c r="A5536" s="89" t="str">
        <v/>
      </c>
      <c r="B5536" s="89" t="str">
        <v>Seguridad Electrica (Todos)</v>
      </c>
      <c r="C5536" s="90" t="str">
        <v/>
      </c>
      <c r="D5536" s="89" t="str">
        <v>Periódica</v>
      </c>
      <c r="E5536" s="89">
        <v>365</v>
      </c>
      <c r="F5536" s="89" t="str">
        <v/>
      </c>
      <c r="G5536" s="89" t="str">
        <f ca="1"/>
        <v/>
      </c>
    </row>
    <row r="5537" spans="1:7" x14ac:dyDescent="0.3">
      <c r="A5537" s="89" t="str">
        <v/>
      </c>
      <c r="B5537" s="89" t="str">
        <v>Seguridad Electrica (Personal Autorizado)</v>
      </c>
      <c r="C5537" s="90" t="str">
        <v/>
      </c>
      <c r="D5537" s="89" t="str">
        <v>Periódica</v>
      </c>
      <c r="E5537" s="89">
        <v>1095</v>
      </c>
      <c r="F5537" s="89" t="str">
        <v/>
      </c>
      <c r="G5537" s="89" t="str">
        <f ca="1"/>
        <v/>
      </c>
    </row>
    <row r="5538" spans="1:7" x14ac:dyDescent="0.3">
      <c r="A5538" s="89" t="str">
        <v/>
      </c>
      <c r="B5538" s="89" t="str">
        <v>Camiones Industriales Motorizados (PIT) (Todos)</v>
      </c>
      <c r="C5538" s="90" t="str">
        <v/>
      </c>
      <c r="D5538" s="89" t="str">
        <v>Periódica</v>
      </c>
      <c r="E5538" s="89">
        <v>365</v>
      </c>
      <c r="F5538" s="89" t="str">
        <v/>
      </c>
      <c r="G5538" s="89" t="str">
        <f ca="1"/>
        <v/>
      </c>
    </row>
    <row r="5539" spans="1:7" x14ac:dyDescent="0.3">
      <c r="A5539" s="89" t="str">
        <v/>
      </c>
      <c r="B5539" s="89" t="str">
        <v>Camiones Industriales Motorizados (PIT) (Op. Montacargas)</v>
      </c>
      <c r="C5539" s="90" t="str">
        <v/>
      </c>
      <c r="D5539" s="89" t="str">
        <v>Periódica</v>
      </c>
      <c r="E5539" s="89">
        <v>365</v>
      </c>
      <c r="F5539" s="89" t="str">
        <v/>
      </c>
      <c r="G5539" s="89" t="str">
        <f ca="1"/>
        <v/>
      </c>
    </row>
    <row r="5540" spans="1:7" x14ac:dyDescent="0.3">
      <c r="A5540" s="89" t="str">
        <v/>
      </c>
      <c r="B5540" s="89" t="str">
        <v>Control de Energias Peligrosas (LOTO) (Todos)</v>
      </c>
      <c r="C5540" s="90" t="str">
        <v/>
      </c>
      <c r="D5540" s="89" t="str">
        <v>Evento</v>
      </c>
      <c r="E5540" s="89">
        <v>0</v>
      </c>
      <c r="F5540" s="89" t="str">
        <v/>
      </c>
      <c r="G5540" s="89" t="str">
        <f ca="1"/>
        <v/>
      </c>
    </row>
    <row r="5541" spans="1:7" x14ac:dyDescent="0.3">
      <c r="A5541" s="89" t="str">
        <v/>
      </c>
      <c r="B5541" s="89" t="str">
        <v>Control de Energias Peligrosas (LOTO) (Empleados Autorizados)</v>
      </c>
      <c r="C5541" s="90" t="str">
        <v/>
      </c>
      <c r="D5541" s="89" t="str">
        <v>Periódica</v>
      </c>
      <c r="E5541" s="89">
        <v>365</v>
      </c>
      <c r="F5541" s="89" t="str">
        <v/>
      </c>
      <c r="G5541" s="89" t="str">
        <f ca="1"/>
        <v/>
      </c>
    </row>
    <row r="5542" spans="1:7" x14ac:dyDescent="0.3">
      <c r="A5542" s="89" t="str">
        <v/>
      </c>
      <c r="B5542" s="89" t="str">
        <v>Seguridad aplicada al Pozo &amp; Yacimiento</v>
      </c>
      <c r="C5542" s="90" t="str">
        <v/>
      </c>
      <c r="D5542" s="89" t="str">
        <v>Periódica</v>
      </c>
      <c r="E5542" s="89">
        <v>365</v>
      </c>
      <c r="F5542" s="89" t="str">
        <v/>
      </c>
      <c r="G5542" s="89" t="str">
        <f ca="1"/>
        <v/>
      </c>
    </row>
    <row r="5543" spans="1:7" x14ac:dyDescent="0.3">
      <c r="A5543" s="89" t="str">
        <v/>
      </c>
      <c r="B5543" s="89" t="str">
        <v>Las Reglas que Salvan Vidas</v>
      </c>
      <c r="C5543" s="90" t="str">
        <v/>
      </c>
      <c r="D5543" s="89" t="str">
        <v>Periódica</v>
      </c>
      <c r="E5543" s="89">
        <v>365</v>
      </c>
      <c r="F5543" s="89" t="str">
        <v/>
      </c>
      <c r="G5543" s="89" t="str">
        <f ca="1"/>
        <v/>
      </c>
    </row>
    <row r="5544" spans="1:7" x14ac:dyDescent="0.3">
      <c r="A5544" s="89" t="str">
        <v/>
      </c>
      <c r="B5544" s="89" t="str">
        <v xml:space="preserve">Resguardo de Maquinas &amp; Equipos </v>
      </c>
      <c r="C5544" s="90" t="str">
        <v/>
      </c>
      <c r="D5544" s="89" t="str">
        <v>Periódica</v>
      </c>
      <c r="E5544" s="89">
        <v>365</v>
      </c>
      <c r="F5544" s="89" t="str">
        <v/>
      </c>
      <c r="G5544" s="89" t="str">
        <f ca="1"/>
        <v/>
      </c>
    </row>
    <row r="5545" spans="1:7" x14ac:dyDescent="0.3">
      <c r="A5545" s="89" t="str">
        <v/>
      </c>
      <c r="B5545" s="89" t="str">
        <v>Conduccion y Gestion de Viajes (Todos)</v>
      </c>
      <c r="C5545" s="90" t="str">
        <v/>
      </c>
      <c r="D5545" s="89" t="str">
        <v>Periódica</v>
      </c>
      <c r="E5545" s="89">
        <v>730</v>
      </c>
      <c r="F5545" s="89" t="str">
        <v/>
      </c>
      <c r="G5545" s="89" t="str">
        <f ca="1"/>
        <v/>
      </c>
    </row>
    <row r="5546" spans="1:7" x14ac:dyDescent="0.3">
      <c r="A5546" s="89" t="str">
        <v/>
      </c>
      <c r="B5546" s="89" t="str">
        <v>Conduccion y Gestion de Viajes (Conductores)</v>
      </c>
      <c r="C5546" s="90" t="str">
        <v/>
      </c>
      <c r="D5546" s="89" t="str">
        <v>Periódica</v>
      </c>
      <c r="E5546" s="89">
        <v>1095</v>
      </c>
      <c r="F5546" s="89" t="str">
        <v/>
      </c>
      <c r="G5546" s="89" t="str">
        <f ca="1"/>
        <v/>
      </c>
    </row>
    <row r="5547" spans="1:7" x14ac:dyDescent="0.3">
      <c r="A5547" s="89" t="str">
        <v/>
      </c>
      <c r="B5547" s="89" t="str">
        <v>Patogenos Transmitidos por la Sangre</v>
      </c>
      <c r="C5547" s="90" t="str">
        <v/>
      </c>
      <c r="D5547" s="89" t="str">
        <v>Periódica</v>
      </c>
      <c r="E5547" s="89">
        <v>365</v>
      </c>
      <c r="F5547" s="89" t="str">
        <v/>
      </c>
      <c r="G5547" s="89" t="str">
        <f ca="1"/>
        <v/>
      </c>
    </row>
    <row r="5548" spans="1:7" x14ac:dyDescent="0.3">
      <c r="A5548" s="89" t="str">
        <v/>
      </c>
      <c r="B5548" s="89" t="str">
        <v>Conservacion Auditiva</v>
      </c>
      <c r="C5548" s="90" t="str">
        <v/>
      </c>
      <c r="D5548" s="89" t="str">
        <v>Periódica</v>
      </c>
      <c r="E5548" s="89">
        <v>365</v>
      </c>
      <c r="F5548" s="89" t="str">
        <v/>
      </c>
      <c r="G5548" s="89" t="str">
        <f ca="1"/>
        <v/>
      </c>
    </row>
    <row r="5549" spans="1:7" x14ac:dyDescent="0.3">
      <c r="A5549" s="89" t="str">
        <v/>
      </c>
      <c r="B5549" s="89" t="str">
        <v xml:space="preserve">Ergonomia //  / Levantamiento &amp; Seguridad en la Espalda </v>
      </c>
      <c r="C5549" s="90" t="str">
        <v/>
      </c>
      <c r="D5549" s="89" t="str">
        <v>Periódica</v>
      </c>
      <c r="E5549" s="89">
        <v>365</v>
      </c>
      <c r="F5549" s="89" t="str">
        <v/>
      </c>
      <c r="G5549" s="89" t="str">
        <f ca="1"/>
        <v/>
      </c>
    </row>
    <row r="5550" spans="1:7" x14ac:dyDescent="0.3">
      <c r="A5550" s="89" t="str">
        <v/>
      </c>
      <c r="B5550" s="89" t="str">
        <v>Superficies Elevadas (Todos)</v>
      </c>
      <c r="C5550" s="90" t="str">
        <v/>
      </c>
      <c r="D5550" s="89" t="str">
        <v>Periódica</v>
      </c>
      <c r="E5550" s="89">
        <v>365</v>
      </c>
      <c r="F5550" s="89" t="str">
        <v/>
      </c>
      <c r="G5550" s="89" t="str">
        <f ca="1"/>
        <v/>
      </c>
    </row>
    <row r="5551" spans="1:7" x14ac:dyDescent="0.3">
      <c r="A5551" s="89" t="str">
        <v/>
      </c>
      <c r="B5551" s="89" t="str">
        <v>Superficies Elevadas (Personal Habilitado)</v>
      </c>
      <c r="C5551" s="90" t="str">
        <v/>
      </c>
      <c r="D5551" s="89" t="str">
        <v>Periódica</v>
      </c>
      <c r="E5551" s="89">
        <v>365</v>
      </c>
      <c r="F5551" s="89" t="str">
        <v/>
      </c>
      <c r="G5551" s="89" t="str">
        <f ca="1"/>
        <v/>
      </c>
    </row>
    <row r="5552" spans="1:7" x14ac:dyDescent="0.3">
      <c r="A5552" s="89" t="str">
        <v/>
      </c>
      <c r="B5552" s="89" t="str">
        <v>Seguridad Quimica (Todos)</v>
      </c>
      <c r="C5552" s="90" t="str">
        <v/>
      </c>
      <c r="D5552" s="89" t="str">
        <v>Periódica</v>
      </c>
      <c r="E5552" s="89">
        <v>730</v>
      </c>
      <c r="F5552" s="89" t="str">
        <v/>
      </c>
      <c r="G5552" s="89" t="str">
        <f ca="1"/>
        <v/>
      </c>
    </row>
    <row r="5553" spans="1:7" x14ac:dyDescent="0.3">
      <c r="A5553" s="89" t="str">
        <v/>
      </c>
      <c r="B5553" s="89" t="str">
        <v>Seguridad Quimica (Mantenimiento)</v>
      </c>
      <c r="C5553" s="90" t="str">
        <v/>
      </c>
      <c r="D5553" s="89" t="str">
        <v>Periódica</v>
      </c>
      <c r="E5553" s="89">
        <v>365</v>
      </c>
      <c r="F5553" s="89" t="str">
        <v/>
      </c>
      <c r="G5553" s="89" t="str">
        <f ca="1"/>
        <v/>
      </c>
    </row>
    <row r="5554" spans="1:7" x14ac:dyDescent="0.3">
      <c r="A5554" s="89" t="str">
        <v/>
      </c>
      <c r="B5554" s="89" t="str">
        <v>Seguridad Quimica (Contratistas)</v>
      </c>
      <c r="C5554" s="90" t="str">
        <v/>
      </c>
      <c r="D5554" s="89" t="str">
        <v>Periódica</v>
      </c>
      <c r="E5554" s="89">
        <v>365</v>
      </c>
      <c r="F5554" s="89" t="str">
        <v/>
      </c>
      <c r="G5554" s="89" t="str">
        <f ca="1"/>
        <v/>
      </c>
    </row>
    <row r="5555" spans="1:7" x14ac:dyDescent="0.3">
      <c r="A5555" s="89" t="str">
        <v/>
      </c>
      <c r="B5555" s="89" t="str">
        <v>Seguridad para Trabajos en Caliente</v>
      </c>
      <c r="C5555" s="90" t="str">
        <v/>
      </c>
      <c r="D5555" s="89" t="str">
        <v>Periódica</v>
      </c>
      <c r="E5555" s="89">
        <v>365</v>
      </c>
      <c r="F5555" s="89" t="str">
        <v/>
      </c>
      <c r="G5555" s="89" t="str">
        <f ca="1"/>
        <v/>
      </c>
    </row>
    <row r="5556" spans="1:7" x14ac:dyDescent="0.3">
      <c r="A5556" s="89" t="str">
        <v/>
      </c>
      <c r="B5556" s="89" t="str">
        <v>Seguridad con la Radiacion</v>
      </c>
      <c r="C5556" s="90" t="str">
        <v/>
      </c>
      <c r="D5556" s="89" t="str">
        <v>Periódica</v>
      </c>
      <c r="E5556" s="89">
        <v>365</v>
      </c>
      <c r="F5556" s="89" t="str">
        <v/>
      </c>
      <c r="G5556" s="89" t="str">
        <f ca="1"/>
        <v/>
      </c>
    </row>
    <row r="5557" spans="1:7" x14ac:dyDescent="0.3">
      <c r="A5557" s="89" t="str">
        <v/>
      </c>
      <c r="B5557" s="89" t="str">
        <v>Equipo de Proteccion Personal (PPE)</v>
      </c>
      <c r="C5557" s="90" t="str">
        <v/>
      </c>
      <c r="D5557" s="89" t="str">
        <v>Periódica</v>
      </c>
      <c r="E5557" s="89">
        <v>365</v>
      </c>
      <c r="F5557" s="89" t="str">
        <v/>
      </c>
      <c r="G5557" s="89" t="str">
        <f ca="1"/>
        <v/>
      </c>
    </row>
    <row r="5558" spans="1:7" x14ac:dyDescent="0.3">
      <c r="A5558" s="89" t="str">
        <v/>
      </c>
      <c r="B5558" s="89" t="str">
        <v>Proteccion Respiratoria</v>
      </c>
      <c r="C5558" s="90" t="str">
        <v/>
      </c>
      <c r="D5558" s="89" t="str">
        <v>Periódica</v>
      </c>
      <c r="E5558" s="89">
        <v>365</v>
      </c>
      <c r="F5558" s="89" t="str">
        <v/>
      </c>
      <c r="G5558" s="89" t="str">
        <f ca="1"/>
        <v/>
      </c>
    </row>
    <row r="5559" spans="1:7" x14ac:dyDescent="0.3">
      <c r="A5559" s="89" t="str">
        <v/>
      </c>
      <c r="B5559" s="89" t="str">
        <v xml:space="preserve">Seguridad con Escaleras </v>
      </c>
      <c r="C5559" s="90" t="str">
        <v/>
      </c>
      <c r="D5559" s="89" t="str">
        <v>Periódica</v>
      </c>
      <c r="E5559" s="89">
        <v>365</v>
      </c>
      <c r="F5559" s="89" t="str">
        <v/>
      </c>
      <c r="G5559" s="89" t="str">
        <f ca="1"/>
        <v/>
      </c>
    </row>
    <row r="5560" spans="1:7" x14ac:dyDescent="0.3">
      <c r="A5560" s="89" t="str">
        <v/>
      </c>
      <c r="B5560" s="89" t="str">
        <v>Seguridad con Escaleras // Estantes de Almacenamiento</v>
      </c>
      <c r="C5560" s="90" t="str">
        <v/>
      </c>
      <c r="D5560" s="89" t="str">
        <v>Periódica</v>
      </c>
      <c r="E5560" s="89">
        <v>365</v>
      </c>
      <c r="F5560" s="89" t="str">
        <v/>
      </c>
      <c r="G5560" s="89" t="str">
        <f ca="1"/>
        <v/>
      </c>
    </row>
    <row r="5561" spans="1:7" x14ac:dyDescent="0.3">
      <c r="A5561" s="89" t="str">
        <v/>
      </c>
      <c r="B5561" s="89" t="str">
        <v>Responsabilidades del Supervisor</v>
      </c>
      <c r="C5561" s="90" t="str">
        <v/>
      </c>
      <c r="D5561" s="89" t="str">
        <v>Periódica</v>
      </c>
      <c r="E5561" s="89">
        <v>365</v>
      </c>
      <c r="F5561" s="89" t="str">
        <v/>
      </c>
      <c r="G5561" s="89" t="str">
        <f ca="1"/>
        <v/>
      </c>
    </row>
    <row r="5562" spans="1:7" x14ac:dyDescent="0.3">
      <c r="A5562" s="89" t="str">
        <v/>
      </c>
      <c r="B5562" s="89" t="str">
        <v>Espacios Confinados (Todos)</v>
      </c>
      <c r="C5562" s="90" t="str">
        <v/>
      </c>
      <c r="D5562" s="89" t="str">
        <v>Periódica</v>
      </c>
      <c r="E5562" s="89">
        <v>365</v>
      </c>
      <c r="F5562" s="89" t="str">
        <v/>
      </c>
      <c r="G5562" s="89" t="str">
        <f ca="1"/>
        <v/>
      </c>
    </row>
    <row r="5563" spans="1:7" x14ac:dyDescent="0.3">
      <c r="A5563" s="89" t="str">
        <v/>
      </c>
      <c r="B5563" s="89" t="str">
        <v>HSMS.017 / Espacios Confinados (Entrantes)</v>
      </c>
      <c r="C5563" s="90" t="str">
        <v/>
      </c>
      <c r="D5563" s="89" t="str">
        <v>Evento</v>
      </c>
      <c r="E5563" s="89">
        <v>0</v>
      </c>
      <c r="F5563" s="89" t="str">
        <v/>
      </c>
      <c r="G5563" s="89" t="str">
        <f ca="1"/>
        <v/>
      </c>
    </row>
    <row r="5564" spans="1:7" x14ac:dyDescent="0.3">
      <c r="A5564" s="89" t="str">
        <v/>
      </c>
      <c r="B5564" s="89" t="str">
        <v>Programa de Agua (Todos)</v>
      </c>
      <c r="C5564" s="90" t="str">
        <v/>
      </c>
      <c r="D5564" s="89" t="str">
        <v>Evento</v>
      </c>
      <c r="E5564" s="89">
        <v>0</v>
      </c>
      <c r="F5564" s="89" t="str">
        <v/>
      </c>
      <c r="G5564" s="89" t="str">
        <f ca="1"/>
        <v/>
      </c>
    </row>
    <row r="5565" spans="1:7" x14ac:dyDescent="0.3">
      <c r="A5565" s="89" t="str">
        <v/>
      </c>
      <c r="B5565" s="89" t="str">
        <v>Programa de Agua (HSE)</v>
      </c>
      <c r="C5565" s="90" t="str">
        <v/>
      </c>
      <c r="D5565" s="89" t="str">
        <v>Evento</v>
      </c>
      <c r="E5565" s="89">
        <v>0</v>
      </c>
      <c r="F5565" s="89" t="str">
        <v/>
      </c>
      <c r="G5565" s="89" t="str">
        <f ca="1"/>
        <v/>
      </c>
    </row>
    <row r="5566" spans="1:7" x14ac:dyDescent="0.3">
      <c r="A5566" s="89" t="str">
        <v/>
      </c>
      <c r="B5566" s="89" t="str">
        <v>HIV/SIDA y otras enfermedades de transmisión sexual (ETS)</v>
      </c>
      <c r="C5566" s="90" t="str">
        <v/>
      </c>
      <c r="D5566" s="89" t="str">
        <v>Periódica</v>
      </c>
      <c r="E5566" s="89">
        <v>365</v>
      </c>
      <c r="F5566" s="89" t="str">
        <v/>
      </c>
      <c r="G5566" s="89" t="str">
        <f ca="1"/>
        <v/>
      </c>
    </row>
    <row r="5567" spans="1:7" x14ac:dyDescent="0.3">
      <c r="A5567" s="89" t="str">
        <v/>
      </c>
      <c r="B5567" s="89" t="str">
        <v>Drogas de abuso (concientización y prevención)</v>
      </c>
      <c r="C5567" s="90" t="str">
        <v/>
      </c>
      <c r="D5567" s="89" t="str">
        <v>Periódica</v>
      </c>
      <c r="E5567" s="89">
        <v>365</v>
      </c>
      <c r="F5567" s="89" t="str">
        <v/>
      </c>
      <c r="G5567" s="89" t="str">
        <f ca="1"/>
        <v/>
      </c>
    </row>
    <row r="5568" spans="1:7" x14ac:dyDescent="0.3">
      <c r="A5568" s="89" t="str">
        <v/>
      </c>
      <c r="B5568" s="89" t="str">
        <v>Vida saludable (hábitos, autocuidado y bienestar)</v>
      </c>
      <c r="C5568" s="90" t="str">
        <v/>
      </c>
      <c r="D5568" s="89" t="str">
        <v>Periódica</v>
      </c>
      <c r="E5568" s="89">
        <v>365</v>
      </c>
      <c r="F5568" s="89" t="str">
        <v/>
      </c>
      <c r="G5568" s="89" t="str">
        <f ca="1"/>
        <v/>
      </c>
    </row>
    <row r="5569" spans="1:7" x14ac:dyDescent="0.3">
      <c r="A5569" s="89" t="str">
        <v/>
      </c>
      <c r="B5569" s="89" t="str">
        <v>Primeros auxilios y Reanimación Cardio Pulmonar (RCP)</v>
      </c>
      <c r="C5569" s="90" t="str">
        <v/>
      </c>
      <c r="D5569" s="89" t="str">
        <v>Periódica</v>
      </c>
      <c r="E5569" s="89">
        <v>365</v>
      </c>
      <c r="F5569" s="89" t="str">
        <v/>
      </c>
      <c r="G5569" s="89" t="str">
        <f ca="1"/>
        <v/>
      </c>
    </row>
    <row r="5570" spans="1:7" x14ac:dyDescent="0.3">
      <c r="A5570" s="89" t="str">
        <v/>
      </c>
      <c r="B5570" s="89" t="str">
        <v>Prevención cardiovascular (factores de riesgo y señales de alarma)</v>
      </c>
      <c r="C5570" s="90" t="str">
        <v/>
      </c>
      <c r="D5570" s="89" t="str">
        <v>Periódica</v>
      </c>
      <c r="E5570" s="89">
        <v>365</v>
      </c>
      <c r="F5570" s="89" t="str">
        <v/>
      </c>
      <c r="G5570" s="89" t="str">
        <f ca="1"/>
        <v/>
      </c>
    </row>
    <row r="5571" spans="1:7" x14ac:dyDescent="0.3">
      <c r="A5571" s="89" t="str">
        <v/>
      </c>
      <c r="B5571" s="89" t="str">
        <v>Efectos del tabaco sobre la salud</v>
      </c>
      <c r="C5571" s="90" t="str">
        <v/>
      </c>
      <c r="D5571" s="89" t="str">
        <v>Periódica</v>
      </c>
      <c r="E5571" s="89">
        <v>365</v>
      </c>
      <c r="F5571" s="89" t="str">
        <v/>
      </c>
      <c r="G5571" s="89" t="str">
        <f ca="1"/>
        <v/>
      </c>
    </row>
    <row r="5572" spans="1:7" x14ac:dyDescent="0.3">
      <c r="A5572" s="89" t="str">
        <v/>
      </c>
      <c r="B5572" s="89" t="str">
        <v>Cargadora (Op. Montacargas)</v>
      </c>
      <c r="C5572" s="90" t="str">
        <v/>
      </c>
      <c r="D5572" s="89" t="str">
        <v>Periódica</v>
      </c>
      <c r="E5572" s="89">
        <v>365</v>
      </c>
      <c r="F5572" s="89" t="str">
        <v/>
      </c>
      <c r="G5572" s="89" t="str">
        <f ca="1"/>
        <v/>
      </c>
    </row>
    <row r="5573" spans="1:7" x14ac:dyDescent="0.3">
      <c r="A5573" s="89" t="str">
        <v/>
      </c>
      <c r="B5573" s="89">
        <v>0</v>
      </c>
      <c r="C5573" s="90" t="str">
        <v/>
      </c>
      <c r="D5573" s="89" t="str">
        <v/>
      </c>
      <c r="E5573" s="89" t="str">
        <v/>
      </c>
      <c r="F5573" s="89" t="str">
        <v/>
      </c>
      <c r="G5573" s="89" t="str">
        <f ca="1"/>
        <v/>
      </c>
    </row>
    <row r="5574" spans="1:7" x14ac:dyDescent="0.3">
      <c r="A5574" s="89" t="str">
        <v/>
      </c>
      <c r="B5574" s="89">
        <v>0</v>
      </c>
      <c r="C5574" s="90" t="str">
        <v/>
      </c>
      <c r="D5574" s="89" t="str">
        <v/>
      </c>
      <c r="E5574" s="89" t="str">
        <v/>
      </c>
      <c r="F5574" s="89" t="str">
        <v/>
      </c>
      <c r="G5574" s="89" t="str">
        <f ca="1"/>
        <v/>
      </c>
    </row>
    <row r="5575" spans="1:7" x14ac:dyDescent="0.3">
      <c r="A5575" s="89" t="str">
        <v/>
      </c>
      <c r="B5575" s="89">
        <v>0</v>
      </c>
      <c r="C5575" s="90" t="str">
        <v/>
      </c>
      <c r="D5575" s="89" t="str">
        <v/>
      </c>
      <c r="E5575" s="89" t="str">
        <v/>
      </c>
      <c r="F5575" s="89" t="str">
        <v/>
      </c>
      <c r="G5575" s="89" t="str">
        <f ca="1"/>
        <v/>
      </c>
    </row>
    <row r="5576" spans="1:7" x14ac:dyDescent="0.3">
      <c r="A5576" s="89" t="str">
        <v/>
      </c>
      <c r="B5576" s="89">
        <v>0</v>
      </c>
      <c r="C5576" s="90" t="str">
        <v/>
      </c>
      <c r="D5576" s="89" t="str">
        <v/>
      </c>
      <c r="E5576" s="89" t="str">
        <v/>
      </c>
      <c r="F5576" s="89" t="str">
        <v/>
      </c>
      <c r="G5576" s="89" t="str">
        <f ca="1"/>
        <v/>
      </c>
    </row>
    <row r="5577" spans="1:7" x14ac:dyDescent="0.3">
      <c r="A5577" s="89" t="str">
        <v/>
      </c>
      <c r="B5577" s="89">
        <v>0</v>
      </c>
      <c r="C5577" s="90" t="str">
        <v/>
      </c>
      <c r="D5577" s="89" t="str">
        <v/>
      </c>
      <c r="E5577" s="89" t="str">
        <v/>
      </c>
      <c r="F5577" s="89" t="str">
        <v/>
      </c>
      <c r="G5577" s="89" t="str">
        <f ca="1"/>
        <v/>
      </c>
    </row>
    <row r="5578" spans="1:7" x14ac:dyDescent="0.3">
      <c r="A5578" s="89" t="str">
        <v/>
      </c>
      <c r="B5578" s="89">
        <v>0</v>
      </c>
      <c r="C5578" s="90" t="str">
        <v/>
      </c>
      <c r="D5578" s="89" t="str">
        <v/>
      </c>
      <c r="E5578" s="89" t="str">
        <v/>
      </c>
      <c r="F5578" s="89" t="str">
        <v/>
      </c>
      <c r="G5578" s="89" t="str">
        <f ca="1"/>
        <v/>
      </c>
    </row>
    <row r="5579" spans="1:7" x14ac:dyDescent="0.3">
      <c r="A5579" s="89" t="str">
        <v/>
      </c>
      <c r="B5579" s="89">
        <v>0</v>
      </c>
      <c r="C5579" s="90" t="str">
        <v/>
      </c>
      <c r="D5579" s="89" t="str">
        <v/>
      </c>
      <c r="E5579" s="89" t="str">
        <v/>
      </c>
      <c r="F5579" s="89" t="str">
        <v/>
      </c>
      <c r="G5579" s="89" t="str">
        <f ca="1"/>
        <v/>
      </c>
    </row>
    <row r="5580" spans="1:7" x14ac:dyDescent="0.3">
      <c r="A5580" s="89" t="str">
        <v/>
      </c>
      <c r="B5580" s="89">
        <v>0</v>
      </c>
      <c r="C5580" s="90" t="str">
        <v/>
      </c>
      <c r="D5580" s="89" t="str">
        <v/>
      </c>
      <c r="E5580" s="89" t="str">
        <v/>
      </c>
      <c r="F5580" s="89" t="str">
        <v/>
      </c>
      <c r="G5580" s="89" t="str">
        <f ca="1"/>
        <v/>
      </c>
    </row>
    <row r="5581" spans="1:7" x14ac:dyDescent="0.3">
      <c r="A5581" s="89" t="str">
        <v/>
      </c>
      <c r="B5581" s="89">
        <v>0</v>
      </c>
      <c r="C5581" s="90" t="str">
        <v/>
      </c>
      <c r="D5581" s="89" t="str">
        <v/>
      </c>
      <c r="E5581" s="89" t="str">
        <v/>
      </c>
      <c r="F5581" s="89" t="str">
        <v/>
      </c>
      <c r="G5581" s="89" t="str">
        <f ca="1"/>
        <v/>
      </c>
    </row>
    <row r="5582" spans="1:7" x14ac:dyDescent="0.3">
      <c r="A5582" s="89" t="str">
        <v/>
      </c>
      <c r="B5582" s="89" t="str">
        <v>Programa de Aire</v>
      </c>
      <c r="C5582" s="90" t="str">
        <v/>
      </c>
      <c r="D5582" s="89" t="str">
        <v>Evento</v>
      </c>
      <c r="E5582" s="89">
        <v>0</v>
      </c>
      <c r="F5582" s="89" t="str">
        <v/>
      </c>
      <c r="G5582" s="89" t="str">
        <f ca="1"/>
        <v/>
      </c>
    </row>
    <row r="5583" spans="1:7" x14ac:dyDescent="0.3">
      <c r="A5583" s="89" t="str">
        <v/>
      </c>
      <c r="B5583" s="89" t="str">
        <v>Conciencia Ambiental</v>
      </c>
      <c r="C5583" s="90" t="str">
        <v/>
      </c>
      <c r="D5583" s="89" t="str">
        <v>Periódica</v>
      </c>
      <c r="E5583" s="89">
        <v>365</v>
      </c>
      <c r="F5583" s="89" t="str">
        <v/>
      </c>
      <c r="G5583" s="89" t="str">
        <f ca="1"/>
        <v/>
      </c>
    </row>
    <row r="5584" spans="1:7" x14ac:dyDescent="0.3">
      <c r="A5584" s="89" t="str">
        <v/>
      </c>
      <c r="B5584" s="89" t="str">
        <v xml:space="preserve">Control de Documentos e Informacion de HSE </v>
      </c>
      <c r="C5584" s="90" t="str">
        <v/>
      </c>
      <c r="D5584" s="89" t="str">
        <v>Evento</v>
      </c>
      <c r="E5584" s="89">
        <v>0</v>
      </c>
      <c r="F5584" s="89" t="str">
        <v/>
      </c>
      <c r="G5584" s="89" t="str">
        <f ca="1"/>
        <v/>
      </c>
    </row>
    <row r="5585" spans="1:7" x14ac:dyDescent="0.3">
      <c r="A5585" s="89" t="str">
        <v/>
      </c>
      <c r="B5585" s="89" t="str">
        <v xml:space="preserve"> Acciones Correctivas y Preventivas (CAPA)</v>
      </c>
      <c r="C5585" s="90" t="str">
        <v/>
      </c>
      <c r="D5585" s="89" t="str">
        <v>Evento</v>
      </c>
      <c r="E5585" s="89">
        <v>0</v>
      </c>
      <c r="F5585" s="89" t="str">
        <v/>
      </c>
      <c r="G5585" s="89" t="str">
        <f ca="1"/>
        <v/>
      </c>
    </row>
    <row r="5586" spans="1:7" x14ac:dyDescent="0.3">
      <c r="A5586" s="89" t="str">
        <v/>
      </c>
      <c r="B5586" s="89" t="str">
        <v>Seguridad Basada en el Comportamiento (Observation Program) // HSMS.043 / Autoridad de Detener el Trabajo</v>
      </c>
      <c r="C5586" s="90" t="str">
        <v/>
      </c>
      <c r="D5586" s="89" t="str">
        <v>Periódica</v>
      </c>
      <c r="E5586" s="89">
        <v>365</v>
      </c>
      <c r="F5586" s="89" t="str">
        <v/>
      </c>
      <c r="G5586" s="89" t="str">
        <f ca="1"/>
        <v/>
      </c>
    </row>
    <row r="5587" spans="1:7" x14ac:dyDescent="0.3">
      <c r="A5587" s="89" t="str">
        <v/>
      </c>
      <c r="B5587" s="89" t="str">
        <v>Identificacion de Peligros y Evaluacion de Riesgos</v>
      </c>
      <c r="C5587" s="90" t="str">
        <v/>
      </c>
      <c r="D5587" s="89" t="str">
        <v>Evento</v>
      </c>
      <c r="E5587" s="89">
        <v>0</v>
      </c>
      <c r="F5587" s="89" t="str">
        <v/>
      </c>
      <c r="G5587" s="89" t="str">
        <f ca="1"/>
        <v/>
      </c>
    </row>
    <row r="5588" spans="1:7" x14ac:dyDescent="0.3">
      <c r="A5588" s="89" t="str">
        <v/>
      </c>
      <c r="B5588" s="89" t="str">
        <v xml:space="preserve"> Plan de Respuesta ante Eemergencias / HSMS.010 /Primeros Axulios &amp; RCP/DEA / HSMSWT-002 / Patogenos Trasnmitidos por la Sangre</v>
      </c>
      <c r="C5588" s="90" t="str">
        <v/>
      </c>
      <c r="D5588" s="89" t="str">
        <v>Periódica</v>
      </c>
      <c r="E5588" s="89">
        <v>365</v>
      </c>
      <c r="F5588" s="89" t="str">
        <v/>
      </c>
      <c r="G5588" s="89" t="str">
        <f ca="1"/>
        <v/>
      </c>
    </row>
    <row r="5589" spans="1:7" x14ac:dyDescent="0.3">
      <c r="A5589" s="89" t="str">
        <v/>
      </c>
      <c r="B5589" s="89" t="str">
        <v>Reporte y Gestion de Incidentes HSE (Todos)</v>
      </c>
      <c r="C5589" s="90" t="str">
        <v/>
      </c>
      <c r="D5589" s="89" t="str">
        <v>Periódica</v>
      </c>
      <c r="E5589" s="89">
        <v>365</v>
      </c>
      <c r="F5589" s="89" t="str">
        <v/>
      </c>
      <c r="G5589" s="89" t="str">
        <f ca="1"/>
        <v/>
      </c>
    </row>
    <row r="5590" spans="1:7" x14ac:dyDescent="0.3">
      <c r="A5590" s="89" t="str">
        <v/>
      </c>
      <c r="B5590" s="89" t="str">
        <v>Reporte, Gestion e Investigacion de Incidentes HSE (supervisores / investigadores (rol))</v>
      </c>
      <c r="C5590" s="90" t="str">
        <v/>
      </c>
      <c r="D5590" s="89" t="str">
        <v>Periódica</v>
      </c>
      <c r="E5590" s="89">
        <v>1095</v>
      </c>
      <c r="F5590" s="89" t="str">
        <v/>
      </c>
      <c r="G5590" s="89" t="str">
        <f ca="1"/>
        <v/>
      </c>
    </row>
    <row r="5591" spans="1:7" x14ac:dyDescent="0.3">
      <c r="A5591" s="89" t="str">
        <v/>
      </c>
      <c r="B5591" s="89" t="str">
        <v>Gruas y Equipos de Izaje (Todos)</v>
      </c>
      <c r="C5591" s="90" t="str">
        <v/>
      </c>
      <c r="D5591" s="89" t="str">
        <v>Periódica</v>
      </c>
      <c r="E5591" s="89">
        <v>365</v>
      </c>
      <c r="F5591" s="89" t="str">
        <v/>
      </c>
      <c r="G5591" s="89" t="str">
        <f ca="1"/>
        <v/>
      </c>
    </row>
    <row r="5592" spans="1:7" x14ac:dyDescent="0.3">
      <c r="A5592" s="89" t="str">
        <v/>
      </c>
      <c r="B5592" s="89" t="str">
        <v>HSMS.007 / Gruas y Equipos de Izaje (Operadores)</v>
      </c>
      <c r="C5592" s="90" t="str">
        <v/>
      </c>
      <c r="D5592" s="89" t="str">
        <v>Periódica</v>
      </c>
      <c r="E5592" s="89">
        <v>365</v>
      </c>
      <c r="F5592" s="89" t="str">
        <v/>
      </c>
      <c r="G5592" s="89" t="str">
        <f ca="1"/>
        <v/>
      </c>
    </row>
    <row r="5593" spans="1:7" x14ac:dyDescent="0.3">
      <c r="A5593" s="89" t="str">
        <v/>
      </c>
      <c r="B5593" s="89" t="str">
        <v>Proteccion Contra Incendios (Todos)</v>
      </c>
      <c r="C5593" s="90" t="str">
        <v/>
      </c>
      <c r="D5593" s="89" t="str">
        <v>Periódica</v>
      </c>
      <c r="E5593" s="89">
        <v>365</v>
      </c>
      <c r="F5593" s="89" t="str">
        <v/>
      </c>
      <c r="G5593" s="89" t="str">
        <f ca="1"/>
        <v/>
      </c>
    </row>
    <row r="5594" spans="1:7" x14ac:dyDescent="0.3">
      <c r="A5594" s="89" t="str">
        <v/>
      </c>
      <c r="B5594" s="89" t="str">
        <v>Proteccion Contra Incendios (Brigadistas)</v>
      </c>
      <c r="C5594" s="90" t="str">
        <v/>
      </c>
      <c r="D5594" s="89" t="str">
        <v>Periódica</v>
      </c>
      <c r="E5594" s="89">
        <v>365</v>
      </c>
      <c r="F5594" s="89" t="str">
        <v/>
      </c>
      <c r="G5594" s="89" t="str">
        <f ca="1"/>
        <v/>
      </c>
    </row>
    <row r="5595" spans="1:7" x14ac:dyDescent="0.3">
      <c r="A5595" s="89" t="str">
        <v/>
      </c>
      <c r="B5595" s="89" t="str">
        <v>Primeros Auxilios (Brigadistas)</v>
      </c>
      <c r="C5595" s="90" t="str">
        <v/>
      </c>
      <c r="D5595" s="89" t="str">
        <v>Periódica</v>
      </c>
      <c r="E5595" s="89">
        <v>365</v>
      </c>
      <c r="F5595" s="89" t="str">
        <v/>
      </c>
      <c r="G5595" s="89" t="str">
        <f ca="1"/>
        <v/>
      </c>
    </row>
    <row r="5596" spans="1:7" x14ac:dyDescent="0.3">
      <c r="A5596" s="89" t="str">
        <v/>
      </c>
      <c r="B5596" s="89" t="str">
        <v>Seguridad Electrica (Todos)</v>
      </c>
      <c r="C5596" s="90" t="str">
        <v/>
      </c>
      <c r="D5596" s="89" t="str">
        <v>Periódica</v>
      </c>
      <c r="E5596" s="89">
        <v>365</v>
      </c>
      <c r="F5596" s="89" t="str">
        <v/>
      </c>
      <c r="G5596" s="89" t="str">
        <f ca="1"/>
        <v/>
      </c>
    </row>
    <row r="5597" spans="1:7" x14ac:dyDescent="0.3">
      <c r="A5597" s="89" t="str">
        <v/>
      </c>
      <c r="B5597" s="89" t="str">
        <v>Seguridad Electrica (Personal Autorizado)</v>
      </c>
      <c r="C5597" s="90" t="str">
        <v/>
      </c>
      <c r="D5597" s="89" t="str">
        <v>Periódica</v>
      </c>
      <c r="E5597" s="89">
        <v>1095</v>
      </c>
      <c r="F5597" s="89" t="str">
        <v/>
      </c>
      <c r="G5597" s="89" t="str">
        <f ca="1"/>
        <v/>
      </c>
    </row>
    <row r="5598" spans="1:7" x14ac:dyDescent="0.3">
      <c r="A5598" s="89" t="str">
        <v/>
      </c>
      <c r="B5598" s="89" t="str">
        <v>Camiones Industriales Motorizados (PIT) (Todos)</v>
      </c>
      <c r="C5598" s="90" t="str">
        <v/>
      </c>
      <c r="D5598" s="89" t="str">
        <v>Periódica</v>
      </c>
      <c r="E5598" s="89">
        <v>365</v>
      </c>
      <c r="F5598" s="89" t="str">
        <v/>
      </c>
      <c r="G5598" s="89" t="str">
        <f ca="1"/>
        <v/>
      </c>
    </row>
    <row r="5599" spans="1:7" x14ac:dyDescent="0.3">
      <c r="A5599" s="89" t="str">
        <v/>
      </c>
      <c r="B5599" s="89" t="str">
        <v>Camiones Industriales Motorizados (PIT) (Op. Montacargas)</v>
      </c>
      <c r="C5599" s="90" t="str">
        <v/>
      </c>
      <c r="D5599" s="89" t="str">
        <v>Periódica</v>
      </c>
      <c r="E5599" s="89">
        <v>365</v>
      </c>
      <c r="F5599" s="89" t="str">
        <v/>
      </c>
      <c r="G5599" s="89" t="str">
        <f ca="1"/>
        <v/>
      </c>
    </row>
    <row r="5600" spans="1:7" x14ac:dyDescent="0.3">
      <c r="A5600" s="89" t="str">
        <v/>
      </c>
      <c r="B5600" s="89" t="str">
        <v>Control de Energias Peligrosas (LOTO) (Todos)</v>
      </c>
      <c r="C5600" s="90" t="str">
        <v/>
      </c>
      <c r="D5600" s="89" t="str">
        <v>Evento</v>
      </c>
      <c r="E5600" s="89">
        <v>0</v>
      </c>
      <c r="F5600" s="89" t="str">
        <v/>
      </c>
      <c r="G5600" s="89" t="str">
        <f ca="1"/>
        <v/>
      </c>
    </row>
    <row r="5601" spans="1:7" x14ac:dyDescent="0.3">
      <c r="A5601" s="89" t="str">
        <v/>
      </c>
      <c r="B5601" s="89" t="str">
        <v>Control de Energias Peligrosas (LOTO) (Empleados Autorizados)</v>
      </c>
      <c r="C5601" s="90" t="str">
        <v/>
      </c>
      <c r="D5601" s="89" t="str">
        <v>Periódica</v>
      </c>
      <c r="E5601" s="89">
        <v>365</v>
      </c>
      <c r="F5601" s="89" t="str">
        <v/>
      </c>
      <c r="G5601" s="89" t="str">
        <f ca="1"/>
        <v/>
      </c>
    </row>
    <row r="5602" spans="1:7" x14ac:dyDescent="0.3">
      <c r="A5602" s="89" t="str">
        <v/>
      </c>
      <c r="B5602" s="89" t="str">
        <v>Seguridad aplicada al Pozo &amp; Yacimiento</v>
      </c>
      <c r="C5602" s="90" t="str">
        <v/>
      </c>
      <c r="D5602" s="89" t="str">
        <v>Periódica</v>
      </c>
      <c r="E5602" s="89">
        <v>365</v>
      </c>
      <c r="F5602" s="89" t="str">
        <v/>
      </c>
      <c r="G5602" s="89" t="str">
        <f ca="1"/>
        <v/>
      </c>
    </row>
    <row r="5603" spans="1:7" x14ac:dyDescent="0.3">
      <c r="A5603" s="89" t="str">
        <v/>
      </c>
      <c r="B5603" s="89" t="str">
        <v>Las Reglas que Salvan Vidas</v>
      </c>
      <c r="C5603" s="90" t="str">
        <v/>
      </c>
      <c r="D5603" s="89" t="str">
        <v>Periódica</v>
      </c>
      <c r="E5603" s="89">
        <v>365</v>
      </c>
      <c r="F5603" s="89" t="str">
        <v/>
      </c>
      <c r="G5603" s="89" t="str">
        <f ca="1"/>
        <v/>
      </c>
    </row>
    <row r="5604" spans="1:7" x14ac:dyDescent="0.3">
      <c r="A5604" s="89" t="str">
        <v/>
      </c>
      <c r="B5604" s="89" t="str">
        <v xml:space="preserve">Resguardo de Maquinas &amp; Equipos </v>
      </c>
      <c r="C5604" s="90" t="str">
        <v/>
      </c>
      <c r="D5604" s="89" t="str">
        <v>Periódica</v>
      </c>
      <c r="E5604" s="89">
        <v>365</v>
      </c>
      <c r="F5604" s="89" t="str">
        <v/>
      </c>
      <c r="G5604" s="89" t="str">
        <f ca="1"/>
        <v/>
      </c>
    </row>
    <row r="5605" spans="1:7" x14ac:dyDescent="0.3">
      <c r="A5605" s="89" t="str">
        <v/>
      </c>
      <c r="B5605" s="89" t="str">
        <v>Conduccion y Gestion de Viajes (Todos)</v>
      </c>
      <c r="C5605" s="90" t="str">
        <v/>
      </c>
      <c r="D5605" s="89" t="str">
        <v>Periódica</v>
      </c>
      <c r="E5605" s="89">
        <v>730</v>
      </c>
      <c r="F5605" s="89" t="str">
        <v/>
      </c>
      <c r="G5605" s="89" t="str">
        <f ca="1"/>
        <v/>
      </c>
    </row>
    <row r="5606" spans="1:7" x14ac:dyDescent="0.3">
      <c r="A5606" s="89" t="str">
        <v/>
      </c>
      <c r="B5606" s="89" t="str">
        <v>Conduccion y Gestion de Viajes (Conductores)</v>
      </c>
      <c r="C5606" s="90" t="str">
        <v/>
      </c>
      <c r="D5606" s="89" t="str">
        <v>Periódica</v>
      </c>
      <c r="E5606" s="89">
        <v>1095</v>
      </c>
      <c r="F5606" s="89" t="str">
        <v/>
      </c>
      <c r="G5606" s="89" t="str">
        <f ca="1"/>
        <v/>
      </c>
    </row>
    <row r="5607" spans="1:7" x14ac:dyDescent="0.3">
      <c r="A5607" s="89" t="str">
        <v/>
      </c>
      <c r="B5607" s="89" t="str">
        <v>Patogenos Transmitidos por la Sangre</v>
      </c>
      <c r="C5607" s="90" t="str">
        <v/>
      </c>
      <c r="D5607" s="89" t="str">
        <v>Periódica</v>
      </c>
      <c r="E5607" s="89">
        <v>365</v>
      </c>
      <c r="F5607" s="89" t="str">
        <v/>
      </c>
      <c r="G5607" s="89" t="str">
        <f ca="1"/>
        <v/>
      </c>
    </row>
    <row r="5608" spans="1:7" x14ac:dyDescent="0.3">
      <c r="A5608" s="89" t="str">
        <v/>
      </c>
      <c r="B5608" s="89" t="str">
        <v>Conservacion Auditiva</v>
      </c>
      <c r="C5608" s="90" t="str">
        <v/>
      </c>
      <c r="D5608" s="89" t="str">
        <v>Periódica</v>
      </c>
      <c r="E5608" s="89">
        <v>365</v>
      </c>
      <c r="F5608" s="89" t="str">
        <v/>
      </c>
      <c r="G5608" s="89" t="str">
        <f ca="1"/>
        <v/>
      </c>
    </row>
    <row r="5609" spans="1:7" x14ac:dyDescent="0.3">
      <c r="A5609" s="89" t="str">
        <v/>
      </c>
      <c r="B5609" s="89" t="str">
        <v xml:space="preserve">Ergonomia //  / Levantamiento &amp; Seguridad en la Espalda </v>
      </c>
      <c r="C5609" s="90" t="str">
        <v/>
      </c>
      <c r="D5609" s="89" t="str">
        <v>Periódica</v>
      </c>
      <c r="E5609" s="89">
        <v>365</v>
      </c>
      <c r="F5609" s="89" t="str">
        <v/>
      </c>
      <c r="G5609" s="89" t="str">
        <f ca="1"/>
        <v/>
      </c>
    </row>
    <row r="5610" spans="1:7" x14ac:dyDescent="0.3">
      <c r="A5610" s="89" t="str">
        <v/>
      </c>
      <c r="B5610" s="89" t="str">
        <v>Superficies Elevadas (Todos)</v>
      </c>
      <c r="C5610" s="90" t="str">
        <v/>
      </c>
      <c r="D5610" s="89" t="str">
        <v>Periódica</v>
      </c>
      <c r="E5610" s="89">
        <v>365</v>
      </c>
      <c r="F5610" s="89" t="str">
        <v/>
      </c>
      <c r="G5610" s="89" t="str">
        <f ca="1"/>
        <v/>
      </c>
    </row>
    <row r="5611" spans="1:7" x14ac:dyDescent="0.3">
      <c r="A5611" s="89" t="str">
        <v/>
      </c>
      <c r="B5611" s="89" t="str">
        <v>Superficies Elevadas (Personal Habilitado)</v>
      </c>
      <c r="C5611" s="90" t="str">
        <v/>
      </c>
      <c r="D5611" s="89" t="str">
        <v>Periódica</v>
      </c>
      <c r="E5611" s="89">
        <v>365</v>
      </c>
      <c r="F5611" s="89" t="str">
        <v/>
      </c>
      <c r="G5611" s="89" t="str">
        <f ca="1"/>
        <v/>
      </c>
    </row>
    <row r="5612" spans="1:7" x14ac:dyDescent="0.3">
      <c r="A5612" s="89" t="str">
        <v/>
      </c>
      <c r="B5612" s="89" t="str">
        <v>Seguridad Quimica (Todos)</v>
      </c>
      <c r="C5612" s="90" t="str">
        <v/>
      </c>
      <c r="D5612" s="89" t="str">
        <v>Periódica</v>
      </c>
      <c r="E5612" s="89">
        <v>730</v>
      </c>
      <c r="F5612" s="89" t="str">
        <v/>
      </c>
      <c r="G5612" s="89" t="str">
        <f ca="1"/>
        <v/>
      </c>
    </row>
    <row r="5613" spans="1:7" x14ac:dyDescent="0.3">
      <c r="A5613" s="89" t="str">
        <v/>
      </c>
      <c r="B5613" s="89" t="str">
        <v>Seguridad Quimica (Mantenimiento)</v>
      </c>
      <c r="C5613" s="90" t="str">
        <v/>
      </c>
      <c r="D5613" s="89" t="str">
        <v>Periódica</v>
      </c>
      <c r="E5613" s="89">
        <v>365</v>
      </c>
      <c r="F5613" s="89" t="str">
        <v/>
      </c>
      <c r="G5613" s="89" t="str">
        <f ca="1"/>
        <v/>
      </c>
    </row>
    <row r="5614" spans="1:7" x14ac:dyDescent="0.3">
      <c r="A5614" s="89" t="str">
        <v/>
      </c>
      <c r="B5614" s="89" t="str">
        <v>Seguridad Quimica (Contratistas)</v>
      </c>
      <c r="C5614" s="90" t="str">
        <v/>
      </c>
      <c r="D5614" s="89" t="str">
        <v>Periódica</v>
      </c>
      <c r="E5614" s="89">
        <v>365</v>
      </c>
      <c r="F5614" s="89" t="str">
        <v/>
      </c>
      <c r="G5614" s="89" t="str">
        <f ca="1"/>
        <v/>
      </c>
    </row>
    <row r="5615" spans="1:7" x14ac:dyDescent="0.3">
      <c r="A5615" s="89" t="str">
        <v/>
      </c>
      <c r="B5615" s="89" t="str">
        <v>Seguridad para Trabajos en Caliente</v>
      </c>
      <c r="C5615" s="90" t="str">
        <v/>
      </c>
      <c r="D5615" s="89" t="str">
        <v>Periódica</v>
      </c>
      <c r="E5615" s="89">
        <v>365</v>
      </c>
      <c r="F5615" s="89" t="str">
        <v/>
      </c>
      <c r="G5615" s="89" t="str">
        <f ca="1"/>
        <v/>
      </c>
    </row>
    <row r="5616" spans="1:7" x14ac:dyDescent="0.3">
      <c r="A5616" s="89" t="str">
        <v/>
      </c>
      <c r="B5616" s="89" t="str">
        <v>Seguridad con la Radiacion</v>
      </c>
      <c r="C5616" s="90" t="str">
        <v/>
      </c>
      <c r="D5616" s="89" t="str">
        <v>Periódica</v>
      </c>
      <c r="E5616" s="89">
        <v>365</v>
      </c>
      <c r="F5616" s="89" t="str">
        <v/>
      </c>
      <c r="G5616" s="89" t="str">
        <f ca="1"/>
        <v/>
      </c>
    </row>
    <row r="5617" spans="1:7" x14ac:dyDescent="0.3">
      <c r="A5617" s="89" t="str">
        <v/>
      </c>
      <c r="B5617" s="89" t="str">
        <v>Equipo de Proteccion Personal (PPE)</v>
      </c>
      <c r="C5617" s="90" t="str">
        <v/>
      </c>
      <c r="D5617" s="89" t="str">
        <v>Periódica</v>
      </c>
      <c r="E5617" s="89">
        <v>365</v>
      </c>
      <c r="F5617" s="89" t="str">
        <v/>
      </c>
      <c r="G5617" s="89" t="str">
        <f ca="1"/>
        <v/>
      </c>
    </row>
    <row r="5618" spans="1:7" x14ac:dyDescent="0.3">
      <c r="A5618" s="89" t="str">
        <v/>
      </c>
      <c r="B5618" s="89" t="str">
        <v>Proteccion Respiratoria</v>
      </c>
      <c r="C5618" s="90" t="str">
        <v/>
      </c>
      <c r="D5618" s="89" t="str">
        <v>Periódica</v>
      </c>
      <c r="E5618" s="89">
        <v>365</v>
      </c>
      <c r="F5618" s="89" t="str">
        <v/>
      </c>
      <c r="G5618" s="89" t="str">
        <f ca="1"/>
        <v/>
      </c>
    </row>
    <row r="5619" spans="1:7" x14ac:dyDescent="0.3">
      <c r="A5619" s="89" t="str">
        <v/>
      </c>
      <c r="B5619" s="89" t="str">
        <v xml:space="preserve">Seguridad con Escaleras </v>
      </c>
      <c r="C5619" s="90" t="str">
        <v/>
      </c>
      <c r="D5619" s="89" t="str">
        <v>Periódica</v>
      </c>
      <c r="E5619" s="89">
        <v>365</v>
      </c>
      <c r="F5619" s="89" t="str">
        <v/>
      </c>
      <c r="G5619" s="89" t="str">
        <f ca="1"/>
        <v/>
      </c>
    </row>
    <row r="5620" spans="1:7" x14ac:dyDescent="0.3">
      <c r="A5620" s="89" t="str">
        <v/>
      </c>
      <c r="B5620" s="89" t="str">
        <v>Seguridad con Escaleras // Estantes de Almacenamiento</v>
      </c>
      <c r="C5620" s="90" t="str">
        <v/>
      </c>
      <c r="D5620" s="89" t="str">
        <v>Periódica</v>
      </c>
      <c r="E5620" s="89">
        <v>365</v>
      </c>
      <c r="F5620" s="89" t="str">
        <v/>
      </c>
      <c r="G5620" s="89" t="str">
        <f ca="1"/>
        <v/>
      </c>
    </row>
    <row r="5621" spans="1:7" x14ac:dyDescent="0.3">
      <c r="A5621" s="89" t="str">
        <v/>
      </c>
      <c r="B5621" s="89" t="str">
        <v>Responsabilidades del Supervisor</v>
      </c>
      <c r="C5621" s="90" t="str">
        <v/>
      </c>
      <c r="D5621" s="89" t="str">
        <v>Periódica</v>
      </c>
      <c r="E5621" s="89">
        <v>365</v>
      </c>
      <c r="F5621" s="89" t="str">
        <v/>
      </c>
      <c r="G5621" s="89" t="str">
        <f ca="1"/>
        <v/>
      </c>
    </row>
    <row r="5622" spans="1:7" x14ac:dyDescent="0.3">
      <c r="A5622" s="89" t="str">
        <v/>
      </c>
      <c r="B5622" s="89" t="str">
        <v>Espacios Confinados (Todos)</v>
      </c>
      <c r="C5622" s="90" t="str">
        <v/>
      </c>
      <c r="D5622" s="89" t="str">
        <v>Periódica</v>
      </c>
      <c r="E5622" s="89">
        <v>365</v>
      </c>
      <c r="F5622" s="89" t="str">
        <v/>
      </c>
      <c r="G5622" s="89" t="str">
        <f ca="1"/>
        <v/>
      </c>
    </row>
    <row r="5623" spans="1:7" x14ac:dyDescent="0.3">
      <c r="A5623" s="89" t="str">
        <v/>
      </c>
      <c r="B5623" s="89" t="str">
        <v>HSMS.017 / Espacios Confinados (Entrantes)</v>
      </c>
      <c r="C5623" s="90" t="str">
        <v/>
      </c>
      <c r="D5623" s="89" t="str">
        <v>Evento</v>
      </c>
      <c r="E5623" s="89">
        <v>0</v>
      </c>
      <c r="F5623" s="89" t="str">
        <v/>
      </c>
      <c r="G5623" s="89" t="str">
        <f ca="1"/>
        <v/>
      </c>
    </row>
    <row r="5624" spans="1:7" x14ac:dyDescent="0.3">
      <c r="A5624" s="89" t="str">
        <v/>
      </c>
      <c r="B5624" s="89" t="str">
        <v>Programa de Agua (Todos)</v>
      </c>
      <c r="C5624" s="90" t="str">
        <v/>
      </c>
      <c r="D5624" s="89" t="str">
        <v>Evento</v>
      </c>
      <c r="E5624" s="89">
        <v>0</v>
      </c>
      <c r="F5624" s="89" t="str">
        <v/>
      </c>
      <c r="G5624" s="89" t="str">
        <f ca="1"/>
        <v/>
      </c>
    </row>
    <row r="5625" spans="1:7" x14ac:dyDescent="0.3">
      <c r="A5625" s="89" t="str">
        <v/>
      </c>
      <c r="B5625" s="89" t="str">
        <v>Programa de Agua (HSE)</v>
      </c>
      <c r="C5625" s="90" t="str">
        <v/>
      </c>
      <c r="D5625" s="89" t="str">
        <v>Evento</v>
      </c>
      <c r="E5625" s="89">
        <v>0</v>
      </c>
      <c r="F5625" s="89" t="str">
        <v/>
      </c>
      <c r="G5625" s="89" t="str">
        <f ca="1"/>
        <v/>
      </c>
    </row>
    <row r="5626" spans="1:7" x14ac:dyDescent="0.3">
      <c r="A5626" s="89" t="str">
        <v/>
      </c>
      <c r="B5626" s="89" t="str">
        <v>HIV/SIDA y otras enfermedades de transmisión sexual (ETS)</v>
      </c>
      <c r="C5626" s="90" t="str">
        <v/>
      </c>
      <c r="D5626" s="89" t="str">
        <v>Periódica</v>
      </c>
      <c r="E5626" s="89">
        <v>365</v>
      </c>
      <c r="F5626" s="89" t="str">
        <v/>
      </c>
      <c r="G5626" s="89" t="str">
        <f ca="1"/>
        <v/>
      </c>
    </row>
    <row r="5627" spans="1:7" x14ac:dyDescent="0.3">
      <c r="A5627" s="89" t="str">
        <v/>
      </c>
      <c r="B5627" s="89" t="str">
        <v>Drogas de abuso (concientización y prevención)</v>
      </c>
      <c r="C5627" s="90" t="str">
        <v/>
      </c>
      <c r="D5627" s="89" t="str">
        <v>Periódica</v>
      </c>
      <c r="E5627" s="89">
        <v>365</v>
      </c>
      <c r="F5627" s="89" t="str">
        <v/>
      </c>
      <c r="G5627" s="89" t="str">
        <f ca="1"/>
        <v/>
      </c>
    </row>
    <row r="5628" spans="1:7" x14ac:dyDescent="0.3">
      <c r="A5628" s="89" t="str">
        <v/>
      </c>
      <c r="B5628" s="89" t="str">
        <v>Vida saludable (hábitos, autocuidado y bienestar)</v>
      </c>
      <c r="C5628" s="90" t="str">
        <v/>
      </c>
      <c r="D5628" s="89" t="str">
        <v>Periódica</v>
      </c>
      <c r="E5628" s="89">
        <v>365</v>
      </c>
      <c r="F5628" s="89" t="str">
        <v/>
      </c>
      <c r="G5628" s="89" t="str">
        <f ca="1"/>
        <v/>
      </c>
    </row>
    <row r="5629" spans="1:7" x14ac:dyDescent="0.3">
      <c r="A5629" s="89" t="str">
        <v/>
      </c>
      <c r="B5629" s="89" t="str">
        <v>Primeros auxilios y Reanimación Cardio Pulmonar (RCP)</v>
      </c>
      <c r="C5629" s="90" t="str">
        <v/>
      </c>
      <c r="D5629" s="89" t="str">
        <v>Periódica</v>
      </c>
      <c r="E5629" s="89">
        <v>365</v>
      </c>
      <c r="F5629" s="89" t="str">
        <v/>
      </c>
      <c r="G5629" s="89" t="str">
        <f ca="1"/>
        <v/>
      </c>
    </row>
    <row r="5630" spans="1:7" x14ac:dyDescent="0.3">
      <c r="A5630" s="89" t="str">
        <v/>
      </c>
      <c r="B5630" s="89" t="str">
        <v>Prevención cardiovascular (factores de riesgo y señales de alarma)</v>
      </c>
      <c r="C5630" s="90" t="str">
        <v/>
      </c>
      <c r="D5630" s="89" t="str">
        <v>Periódica</v>
      </c>
      <c r="E5630" s="89">
        <v>365</v>
      </c>
      <c r="F5630" s="89" t="str">
        <v/>
      </c>
      <c r="G5630" s="89" t="str">
        <f ca="1"/>
        <v/>
      </c>
    </row>
    <row r="5631" spans="1:7" x14ac:dyDescent="0.3">
      <c r="A5631" s="89" t="str">
        <v/>
      </c>
      <c r="B5631" s="89" t="str">
        <v>Efectos del tabaco sobre la salud</v>
      </c>
      <c r="C5631" s="90" t="str">
        <v/>
      </c>
      <c r="D5631" s="89" t="str">
        <v>Periódica</v>
      </c>
      <c r="E5631" s="89">
        <v>365</v>
      </c>
      <c r="F5631" s="89" t="str">
        <v/>
      </c>
      <c r="G5631" s="89" t="str">
        <f ca="1"/>
        <v/>
      </c>
    </row>
    <row r="5632" spans="1:7" x14ac:dyDescent="0.3">
      <c r="A5632" s="89" t="str">
        <v/>
      </c>
      <c r="B5632" s="89" t="str">
        <v>Cargadora (Op. Montacargas)</v>
      </c>
      <c r="C5632" s="90" t="str">
        <v/>
      </c>
      <c r="D5632" s="89" t="str">
        <v>Periódica</v>
      </c>
      <c r="E5632" s="89">
        <v>365</v>
      </c>
      <c r="F5632" s="89" t="str">
        <v/>
      </c>
      <c r="G5632" s="89" t="str">
        <f ca="1"/>
        <v/>
      </c>
    </row>
    <row r="5633" spans="1:7" x14ac:dyDescent="0.3">
      <c r="A5633" s="89" t="str">
        <v/>
      </c>
      <c r="B5633" s="89">
        <v>0</v>
      </c>
      <c r="C5633" s="90" t="str">
        <v/>
      </c>
      <c r="D5633" s="89" t="str">
        <v/>
      </c>
      <c r="E5633" s="89" t="str">
        <v/>
      </c>
      <c r="F5633" s="89" t="str">
        <v/>
      </c>
      <c r="G5633" s="89" t="str">
        <f ca="1"/>
        <v/>
      </c>
    </row>
    <row r="5634" spans="1:7" x14ac:dyDescent="0.3">
      <c r="A5634" s="89" t="str">
        <v/>
      </c>
      <c r="B5634" s="89">
        <v>0</v>
      </c>
      <c r="C5634" s="90" t="str">
        <v/>
      </c>
      <c r="D5634" s="89" t="str">
        <v/>
      </c>
      <c r="E5634" s="89" t="str">
        <v/>
      </c>
      <c r="F5634" s="89" t="str">
        <v/>
      </c>
      <c r="G5634" s="89" t="str">
        <f ca="1"/>
        <v/>
      </c>
    </row>
    <row r="5635" spans="1:7" x14ac:dyDescent="0.3">
      <c r="A5635" s="89" t="str">
        <v/>
      </c>
      <c r="B5635" s="89">
        <v>0</v>
      </c>
      <c r="C5635" s="90" t="str">
        <v/>
      </c>
      <c r="D5635" s="89" t="str">
        <v/>
      </c>
      <c r="E5635" s="89" t="str">
        <v/>
      </c>
      <c r="F5635" s="89" t="str">
        <v/>
      </c>
      <c r="G5635" s="89" t="str">
        <f ca="1"/>
        <v/>
      </c>
    </row>
    <row r="5636" spans="1:7" x14ac:dyDescent="0.3">
      <c r="A5636" s="89" t="str">
        <v/>
      </c>
      <c r="B5636" s="89">
        <v>0</v>
      </c>
      <c r="C5636" s="90" t="str">
        <v/>
      </c>
      <c r="D5636" s="89" t="str">
        <v/>
      </c>
      <c r="E5636" s="89" t="str">
        <v/>
      </c>
      <c r="F5636" s="89" t="str">
        <v/>
      </c>
      <c r="G5636" s="89" t="str">
        <f ca="1"/>
        <v/>
      </c>
    </row>
    <row r="5637" spans="1:7" x14ac:dyDescent="0.3">
      <c r="A5637" s="89" t="str">
        <v/>
      </c>
      <c r="B5637" s="89">
        <v>0</v>
      </c>
      <c r="C5637" s="90" t="str">
        <v/>
      </c>
      <c r="D5637" s="89" t="str">
        <v/>
      </c>
      <c r="E5637" s="89" t="str">
        <v/>
      </c>
      <c r="F5637" s="89" t="str">
        <v/>
      </c>
      <c r="G5637" s="89" t="str">
        <f ca="1"/>
        <v/>
      </c>
    </row>
    <row r="5638" spans="1:7" x14ac:dyDescent="0.3">
      <c r="A5638" s="89" t="str">
        <v/>
      </c>
      <c r="B5638" s="89">
        <v>0</v>
      </c>
      <c r="C5638" s="90" t="str">
        <v/>
      </c>
      <c r="D5638" s="89" t="str">
        <v/>
      </c>
      <c r="E5638" s="89" t="str">
        <v/>
      </c>
      <c r="F5638" s="89" t="str">
        <v/>
      </c>
      <c r="G5638" s="89" t="str">
        <f ca="1"/>
        <v/>
      </c>
    </row>
    <row r="5639" spans="1:7" x14ac:dyDescent="0.3">
      <c r="A5639" s="89" t="str">
        <v/>
      </c>
      <c r="B5639" s="89">
        <v>0</v>
      </c>
      <c r="C5639" s="90" t="str">
        <v/>
      </c>
      <c r="D5639" s="89" t="str">
        <v/>
      </c>
      <c r="E5639" s="89" t="str">
        <v/>
      </c>
      <c r="F5639" s="89" t="str">
        <v/>
      </c>
      <c r="G5639" s="89" t="str">
        <f ca="1"/>
        <v/>
      </c>
    </row>
    <row r="5640" spans="1:7" x14ac:dyDescent="0.3">
      <c r="A5640" s="89" t="str">
        <v/>
      </c>
      <c r="B5640" s="89">
        <v>0</v>
      </c>
      <c r="C5640" s="90" t="str">
        <v/>
      </c>
      <c r="D5640" s="89" t="str">
        <v/>
      </c>
      <c r="E5640" s="89" t="str">
        <v/>
      </c>
      <c r="F5640" s="89" t="str">
        <v/>
      </c>
      <c r="G5640" s="89" t="str">
        <f ca="1"/>
        <v/>
      </c>
    </row>
    <row r="5641" spans="1:7" x14ac:dyDescent="0.3">
      <c r="A5641" s="89" t="str">
        <v/>
      </c>
      <c r="B5641" s="89">
        <v>0</v>
      </c>
      <c r="C5641" s="90" t="str">
        <v/>
      </c>
      <c r="D5641" s="89" t="str">
        <v/>
      </c>
      <c r="E5641" s="89" t="str">
        <v/>
      </c>
      <c r="F5641" s="89" t="str">
        <v/>
      </c>
      <c r="G5641" s="89" t="str">
        <f ca="1"/>
        <v/>
      </c>
    </row>
    <row r="5642" spans="1:7" x14ac:dyDescent="0.3">
      <c r="A5642" s="89" t="str">
        <v/>
      </c>
      <c r="B5642" s="89" t="str">
        <v>Programa de Aire</v>
      </c>
      <c r="C5642" s="90" t="str">
        <v/>
      </c>
      <c r="D5642" s="89" t="str">
        <v>Evento</v>
      </c>
      <c r="E5642" s="89">
        <v>0</v>
      </c>
      <c r="F5642" s="89" t="str">
        <v/>
      </c>
      <c r="G5642" s="89" t="str">
        <f ca="1"/>
        <v/>
      </c>
    </row>
    <row r="5643" spans="1:7" x14ac:dyDescent="0.3">
      <c r="A5643" s="89" t="str">
        <v/>
      </c>
      <c r="B5643" s="89" t="str">
        <v>Conciencia Ambiental</v>
      </c>
      <c r="C5643" s="90" t="str">
        <v/>
      </c>
      <c r="D5643" s="89" t="str">
        <v>Periódica</v>
      </c>
      <c r="E5643" s="89">
        <v>365</v>
      </c>
      <c r="F5643" s="89" t="str">
        <v/>
      </c>
      <c r="G5643" s="89" t="str">
        <f ca="1"/>
        <v/>
      </c>
    </row>
    <row r="5644" spans="1:7" x14ac:dyDescent="0.3">
      <c r="A5644" s="89" t="str">
        <v/>
      </c>
      <c r="B5644" s="89" t="str">
        <v xml:space="preserve">Control de Documentos e Informacion de HSE </v>
      </c>
      <c r="C5644" s="90" t="str">
        <v/>
      </c>
      <c r="D5644" s="89" t="str">
        <v>Evento</v>
      </c>
      <c r="E5644" s="89">
        <v>0</v>
      </c>
      <c r="F5644" s="89" t="str">
        <v/>
      </c>
      <c r="G5644" s="89" t="str">
        <f ca="1"/>
        <v/>
      </c>
    </row>
    <row r="5645" spans="1:7" x14ac:dyDescent="0.3">
      <c r="A5645" s="89" t="str">
        <v/>
      </c>
      <c r="B5645" s="89" t="str">
        <v xml:space="preserve"> Acciones Correctivas y Preventivas (CAPA)</v>
      </c>
      <c r="C5645" s="90" t="str">
        <v/>
      </c>
      <c r="D5645" s="89" t="str">
        <v>Evento</v>
      </c>
      <c r="E5645" s="89">
        <v>0</v>
      </c>
      <c r="F5645" s="89" t="str">
        <v/>
      </c>
      <c r="G5645" s="89" t="str">
        <f ca="1"/>
        <v/>
      </c>
    </row>
    <row r="5646" spans="1:7" x14ac:dyDescent="0.3">
      <c r="A5646" s="89" t="str">
        <v/>
      </c>
      <c r="B5646" s="89" t="str">
        <v>Seguridad Basada en el Comportamiento (Observation Program) // HSMS.043 / Autoridad de Detener el Trabajo</v>
      </c>
      <c r="C5646" s="90" t="str">
        <v/>
      </c>
      <c r="D5646" s="89" t="str">
        <v>Periódica</v>
      </c>
      <c r="E5646" s="89">
        <v>365</v>
      </c>
      <c r="F5646" s="89" t="str">
        <v/>
      </c>
      <c r="G5646" s="89" t="str">
        <f ca="1"/>
        <v/>
      </c>
    </row>
    <row r="5647" spans="1:7" x14ac:dyDescent="0.3">
      <c r="A5647" s="89" t="str">
        <v/>
      </c>
      <c r="B5647" s="89" t="str">
        <v>Identificacion de Peligros y Evaluacion de Riesgos</v>
      </c>
      <c r="C5647" s="90" t="str">
        <v/>
      </c>
      <c r="D5647" s="89" t="str">
        <v>Evento</v>
      </c>
      <c r="E5647" s="89">
        <v>0</v>
      </c>
      <c r="F5647" s="89" t="str">
        <v/>
      </c>
      <c r="G5647" s="89" t="str">
        <f ca="1"/>
        <v/>
      </c>
    </row>
    <row r="5648" spans="1:7" x14ac:dyDescent="0.3">
      <c r="A5648" s="89" t="str">
        <v/>
      </c>
      <c r="B5648" s="89" t="str">
        <v xml:space="preserve"> Plan de Respuesta ante Eemergencias / HSMS.010 /Primeros Axulios &amp; RCP/DEA / HSMSWT-002 / Patogenos Trasnmitidos por la Sangre</v>
      </c>
      <c r="C5648" s="90" t="str">
        <v/>
      </c>
      <c r="D5648" s="89" t="str">
        <v>Periódica</v>
      </c>
      <c r="E5648" s="89">
        <v>365</v>
      </c>
      <c r="F5648" s="89" t="str">
        <v/>
      </c>
      <c r="G5648" s="89" t="str">
        <f ca="1"/>
        <v/>
      </c>
    </row>
    <row r="5649" spans="1:7" x14ac:dyDescent="0.3">
      <c r="A5649" s="89" t="str">
        <v/>
      </c>
      <c r="B5649" s="89" t="str">
        <v>Reporte y Gestion de Incidentes HSE (Todos)</v>
      </c>
      <c r="C5649" s="90" t="str">
        <v/>
      </c>
      <c r="D5649" s="89" t="str">
        <v>Periódica</v>
      </c>
      <c r="E5649" s="89">
        <v>365</v>
      </c>
      <c r="F5649" s="89" t="str">
        <v/>
      </c>
      <c r="G5649" s="89" t="str">
        <f ca="1"/>
        <v/>
      </c>
    </row>
    <row r="5650" spans="1:7" x14ac:dyDescent="0.3">
      <c r="A5650" s="89" t="str">
        <v/>
      </c>
      <c r="B5650" s="89" t="str">
        <v>Reporte, Gestion e Investigacion de Incidentes HSE (supervisores / investigadores (rol))</v>
      </c>
      <c r="C5650" s="90" t="str">
        <v/>
      </c>
      <c r="D5650" s="89" t="str">
        <v>Periódica</v>
      </c>
      <c r="E5650" s="89">
        <v>1095</v>
      </c>
      <c r="F5650" s="89" t="str">
        <v/>
      </c>
      <c r="G5650" s="89" t="str">
        <f ca="1"/>
        <v/>
      </c>
    </row>
    <row r="5651" spans="1:7" x14ac:dyDescent="0.3">
      <c r="A5651" s="89" t="str">
        <v/>
      </c>
      <c r="B5651" s="89" t="str">
        <v>Gruas y Equipos de Izaje (Todos)</v>
      </c>
      <c r="C5651" s="90" t="str">
        <v/>
      </c>
      <c r="D5651" s="89" t="str">
        <v>Periódica</v>
      </c>
      <c r="E5651" s="89">
        <v>365</v>
      </c>
      <c r="F5651" s="89" t="str">
        <v/>
      </c>
      <c r="G5651" s="89" t="str">
        <f ca="1"/>
        <v/>
      </c>
    </row>
    <row r="5652" spans="1:7" x14ac:dyDescent="0.3">
      <c r="A5652" s="89" t="str">
        <v/>
      </c>
      <c r="B5652" s="89" t="str">
        <v>HSMS.007 / Gruas y Equipos de Izaje (Operadores)</v>
      </c>
      <c r="C5652" s="90" t="str">
        <v/>
      </c>
      <c r="D5652" s="89" t="str">
        <v>Periódica</v>
      </c>
      <c r="E5652" s="89">
        <v>365</v>
      </c>
      <c r="F5652" s="89" t="str">
        <v/>
      </c>
      <c r="G5652" s="89" t="str">
        <f ca="1"/>
        <v/>
      </c>
    </row>
    <row r="5653" spans="1:7" x14ac:dyDescent="0.3">
      <c r="A5653" s="89" t="str">
        <v/>
      </c>
      <c r="B5653" s="89" t="str">
        <v>Proteccion Contra Incendios (Todos)</v>
      </c>
      <c r="C5653" s="90" t="str">
        <v/>
      </c>
      <c r="D5653" s="89" t="str">
        <v>Periódica</v>
      </c>
      <c r="E5653" s="89">
        <v>365</v>
      </c>
      <c r="F5653" s="89" t="str">
        <v/>
      </c>
      <c r="G5653" s="89" t="str">
        <f ca="1"/>
        <v/>
      </c>
    </row>
    <row r="5654" spans="1:7" x14ac:dyDescent="0.3">
      <c r="A5654" s="89" t="str">
        <v/>
      </c>
      <c r="B5654" s="89" t="str">
        <v>Proteccion Contra Incendios (Brigadistas)</v>
      </c>
      <c r="C5654" s="90" t="str">
        <v/>
      </c>
      <c r="D5654" s="89" t="str">
        <v>Periódica</v>
      </c>
      <c r="E5654" s="89">
        <v>365</v>
      </c>
      <c r="F5654" s="89" t="str">
        <v/>
      </c>
      <c r="G5654" s="89" t="str">
        <f ca="1"/>
        <v/>
      </c>
    </row>
    <row r="5655" spans="1:7" x14ac:dyDescent="0.3">
      <c r="A5655" s="89" t="str">
        <v/>
      </c>
      <c r="B5655" s="89" t="str">
        <v>Primeros Auxilios (Brigadistas)</v>
      </c>
      <c r="C5655" s="90" t="str">
        <v/>
      </c>
      <c r="D5655" s="89" t="str">
        <v>Periódica</v>
      </c>
      <c r="E5655" s="89">
        <v>365</v>
      </c>
      <c r="F5655" s="89" t="str">
        <v/>
      </c>
      <c r="G5655" s="89" t="str">
        <f ca="1"/>
        <v/>
      </c>
    </row>
    <row r="5656" spans="1:7" x14ac:dyDescent="0.3">
      <c r="A5656" s="89" t="str">
        <v/>
      </c>
      <c r="B5656" s="89" t="str">
        <v>Seguridad Electrica (Todos)</v>
      </c>
      <c r="C5656" s="90" t="str">
        <v/>
      </c>
      <c r="D5656" s="89" t="str">
        <v>Periódica</v>
      </c>
      <c r="E5656" s="89">
        <v>365</v>
      </c>
      <c r="F5656" s="89" t="str">
        <v/>
      </c>
      <c r="G5656" s="89" t="str">
        <f ca="1"/>
        <v/>
      </c>
    </row>
    <row r="5657" spans="1:7" x14ac:dyDescent="0.3">
      <c r="A5657" s="89" t="str">
        <v/>
      </c>
      <c r="B5657" s="89" t="str">
        <v>Seguridad Electrica (Personal Autorizado)</v>
      </c>
      <c r="C5657" s="90" t="str">
        <v/>
      </c>
      <c r="D5657" s="89" t="str">
        <v>Periódica</v>
      </c>
      <c r="E5657" s="89">
        <v>1095</v>
      </c>
      <c r="F5657" s="89" t="str">
        <v/>
      </c>
      <c r="G5657" s="89" t="str">
        <f ca="1"/>
        <v/>
      </c>
    </row>
    <row r="5658" spans="1:7" x14ac:dyDescent="0.3">
      <c r="A5658" s="89" t="str">
        <v/>
      </c>
      <c r="B5658" s="89" t="str">
        <v>Camiones Industriales Motorizados (PIT) (Todos)</v>
      </c>
      <c r="C5658" s="90" t="str">
        <v/>
      </c>
      <c r="D5658" s="89" t="str">
        <v>Periódica</v>
      </c>
      <c r="E5658" s="89">
        <v>365</v>
      </c>
      <c r="F5658" s="89" t="str">
        <v/>
      </c>
      <c r="G5658" s="89" t="str">
        <f ca="1"/>
        <v/>
      </c>
    </row>
    <row r="5659" spans="1:7" x14ac:dyDescent="0.3">
      <c r="A5659" s="89" t="str">
        <v/>
      </c>
      <c r="B5659" s="89" t="str">
        <v>Camiones Industriales Motorizados (PIT) (Op. Montacargas)</v>
      </c>
      <c r="C5659" s="90" t="str">
        <v/>
      </c>
      <c r="D5659" s="89" t="str">
        <v>Periódica</v>
      </c>
      <c r="E5659" s="89">
        <v>365</v>
      </c>
      <c r="F5659" s="89" t="str">
        <v/>
      </c>
      <c r="G5659" s="89" t="str">
        <f ca="1"/>
        <v/>
      </c>
    </row>
    <row r="5660" spans="1:7" x14ac:dyDescent="0.3">
      <c r="A5660" s="89" t="str">
        <v/>
      </c>
      <c r="B5660" s="89" t="str">
        <v>Control de Energias Peligrosas (LOTO) (Todos)</v>
      </c>
      <c r="C5660" s="90" t="str">
        <v/>
      </c>
      <c r="D5660" s="89" t="str">
        <v>Evento</v>
      </c>
      <c r="E5660" s="89">
        <v>0</v>
      </c>
      <c r="F5660" s="89" t="str">
        <v/>
      </c>
      <c r="G5660" s="89" t="str">
        <f ca="1"/>
        <v/>
      </c>
    </row>
    <row r="5661" spans="1:7" x14ac:dyDescent="0.3">
      <c r="A5661" s="89" t="str">
        <v/>
      </c>
      <c r="B5661" s="89" t="str">
        <v>Control de Energias Peligrosas (LOTO) (Empleados Autorizados)</v>
      </c>
      <c r="C5661" s="90" t="str">
        <v/>
      </c>
      <c r="D5661" s="89" t="str">
        <v>Periódica</v>
      </c>
      <c r="E5661" s="89">
        <v>365</v>
      </c>
      <c r="F5661" s="89" t="str">
        <v/>
      </c>
      <c r="G5661" s="89" t="str">
        <f ca="1"/>
        <v/>
      </c>
    </row>
    <row r="5662" spans="1:7" x14ac:dyDescent="0.3">
      <c r="A5662" s="89" t="str">
        <v/>
      </c>
      <c r="B5662" s="89" t="str">
        <v>Seguridad aplicada al Pozo &amp; Yacimiento</v>
      </c>
      <c r="C5662" s="90" t="str">
        <v/>
      </c>
      <c r="D5662" s="89" t="str">
        <v>Periódica</v>
      </c>
      <c r="E5662" s="89">
        <v>365</v>
      </c>
      <c r="F5662" s="89" t="str">
        <v/>
      </c>
      <c r="G5662" s="89" t="str">
        <f ca="1"/>
        <v/>
      </c>
    </row>
    <row r="5663" spans="1:7" x14ac:dyDescent="0.3">
      <c r="A5663" s="89" t="str">
        <v/>
      </c>
      <c r="B5663" s="89" t="str">
        <v>Las Reglas que Salvan Vidas</v>
      </c>
      <c r="C5663" s="90" t="str">
        <v/>
      </c>
      <c r="D5663" s="89" t="str">
        <v>Periódica</v>
      </c>
      <c r="E5663" s="89">
        <v>365</v>
      </c>
      <c r="F5663" s="89" t="str">
        <v/>
      </c>
      <c r="G5663" s="89" t="str">
        <f ca="1"/>
        <v/>
      </c>
    </row>
    <row r="5664" spans="1:7" x14ac:dyDescent="0.3">
      <c r="A5664" s="89" t="str">
        <v/>
      </c>
      <c r="B5664" s="89" t="str">
        <v xml:space="preserve">Resguardo de Maquinas &amp; Equipos </v>
      </c>
      <c r="C5664" s="90" t="str">
        <v/>
      </c>
      <c r="D5664" s="89" t="str">
        <v>Periódica</v>
      </c>
      <c r="E5664" s="89">
        <v>365</v>
      </c>
      <c r="F5664" s="89" t="str">
        <v/>
      </c>
      <c r="G5664" s="89" t="str">
        <f ca="1"/>
        <v/>
      </c>
    </row>
    <row r="5665" spans="1:7" x14ac:dyDescent="0.3">
      <c r="A5665" s="89" t="str">
        <v/>
      </c>
      <c r="B5665" s="89" t="str">
        <v>Conduccion y Gestion de Viajes (Todos)</v>
      </c>
      <c r="C5665" s="90" t="str">
        <v/>
      </c>
      <c r="D5665" s="89" t="str">
        <v>Periódica</v>
      </c>
      <c r="E5665" s="89">
        <v>730</v>
      </c>
      <c r="F5665" s="89" t="str">
        <v/>
      </c>
      <c r="G5665" s="89" t="str">
        <f ca="1"/>
        <v/>
      </c>
    </row>
    <row r="5666" spans="1:7" x14ac:dyDescent="0.3">
      <c r="A5666" s="89" t="str">
        <v/>
      </c>
      <c r="B5666" s="89" t="str">
        <v>Conduccion y Gestion de Viajes (Conductores)</v>
      </c>
      <c r="C5666" s="90" t="str">
        <v/>
      </c>
      <c r="D5666" s="89" t="str">
        <v>Periódica</v>
      </c>
      <c r="E5666" s="89">
        <v>1095</v>
      </c>
      <c r="F5666" s="89" t="str">
        <v/>
      </c>
      <c r="G5666" s="89" t="str">
        <f ca="1"/>
        <v/>
      </c>
    </row>
    <row r="5667" spans="1:7" x14ac:dyDescent="0.3">
      <c r="A5667" s="89" t="str">
        <v/>
      </c>
      <c r="B5667" s="89" t="str">
        <v>Patogenos Transmitidos por la Sangre</v>
      </c>
      <c r="C5667" s="90" t="str">
        <v/>
      </c>
      <c r="D5667" s="89" t="str">
        <v>Periódica</v>
      </c>
      <c r="E5667" s="89">
        <v>365</v>
      </c>
      <c r="F5667" s="89" t="str">
        <v/>
      </c>
      <c r="G5667" s="89" t="str">
        <f ca="1"/>
        <v/>
      </c>
    </row>
    <row r="5668" spans="1:7" x14ac:dyDescent="0.3">
      <c r="A5668" s="89" t="str">
        <v/>
      </c>
      <c r="B5668" s="89" t="str">
        <v>Conservacion Auditiva</v>
      </c>
      <c r="C5668" s="90" t="str">
        <v/>
      </c>
      <c r="D5668" s="89" t="str">
        <v>Periódica</v>
      </c>
      <c r="E5668" s="89">
        <v>365</v>
      </c>
      <c r="F5668" s="89" t="str">
        <v/>
      </c>
      <c r="G5668" s="89" t="str">
        <f ca="1"/>
        <v/>
      </c>
    </row>
    <row r="5669" spans="1:7" x14ac:dyDescent="0.3">
      <c r="A5669" s="89" t="str">
        <v/>
      </c>
      <c r="B5669" s="89" t="str">
        <v xml:space="preserve">Ergonomia //  / Levantamiento &amp; Seguridad en la Espalda </v>
      </c>
      <c r="C5669" s="90" t="str">
        <v/>
      </c>
      <c r="D5669" s="89" t="str">
        <v>Periódica</v>
      </c>
      <c r="E5669" s="89">
        <v>365</v>
      </c>
      <c r="F5669" s="89" t="str">
        <v/>
      </c>
      <c r="G5669" s="89" t="str">
        <f ca="1"/>
        <v/>
      </c>
    </row>
    <row r="5670" spans="1:7" x14ac:dyDescent="0.3">
      <c r="A5670" s="89" t="str">
        <v/>
      </c>
      <c r="B5670" s="89" t="str">
        <v>Superficies Elevadas (Todos)</v>
      </c>
      <c r="C5670" s="90" t="str">
        <v/>
      </c>
      <c r="D5670" s="89" t="str">
        <v>Periódica</v>
      </c>
      <c r="E5670" s="89">
        <v>365</v>
      </c>
      <c r="F5670" s="89" t="str">
        <v/>
      </c>
      <c r="G5670" s="89" t="str">
        <f ca="1"/>
        <v/>
      </c>
    </row>
    <row r="5671" spans="1:7" x14ac:dyDescent="0.3">
      <c r="A5671" s="89" t="str">
        <v/>
      </c>
      <c r="B5671" s="89" t="str">
        <v>Superficies Elevadas (Personal Habilitado)</v>
      </c>
      <c r="C5671" s="90" t="str">
        <v/>
      </c>
      <c r="D5671" s="89" t="str">
        <v>Periódica</v>
      </c>
      <c r="E5671" s="89">
        <v>365</v>
      </c>
      <c r="F5671" s="89" t="str">
        <v/>
      </c>
      <c r="G5671" s="89" t="str">
        <f ca="1"/>
        <v/>
      </c>
    </row>
    <row r="5672" spans="1:7" x14ac:dyDescent="0.3">
      <c r="A5672" s="89" t="str">
        <v/>
      </c>
      <c r="B5672" s="89" t="str">
        <v>Seguridad Quimica (Todos)</v>
      </c>
      <c r="C5672" s="90" t="str">
        <v/>
      </c>
      <c r="D5672" s="89" t="str">
        <v>Periódica</v>
      </c>
      <c r="E5672" s="89">
        <v>730</v>
      </c>
      <c r="F5672" s="89" t="str">
        <v/>
      </c>
      <c r="G5672" s="89" t="str">
        <f ca="1"/>
        <v/>
      </c>
    </row>
    <row r="5673" spans="1:7" x14ac:dyDescent="0.3">
      <c r="A5673" s="89" t="str">
        <v/>
      </c>
      <c r="B5673" s="89" t="str">
        <v>Seguridad Quimica (Mantenimiento)</v>
      </c>
      <c r="C5673" s="90" t="str">
        <v/>
      </c>
      <c r="D5673" s="89" t="str">
        <v>Periódica</v>
      </c>
      <c r="E5673" s="89">
        <v>365</v>
      </c>
      <c r="F5673" s="89" t="str">
        <v/>
      </c>
      <c r="G5673" s="89" t="str">
        <f ca="1"/>
        <v/>
      </c>
    </row>
    <row r="5674" spans="1:7" x14ac:dyDescent="0.3">
      <c r="A5674" s="89" t="str">
        <v/>
      </c>
      <c r="B5674" s="89" t="str">
        <v>Seguridad Quimica (Contratistas)</v>
      </c>
      <c r="C5674" s="90" t="str">
        <v/>
      </c>
      <c r="D5674" s="89" t="str">
        <v>Periódica</v>
      </c>
      <c r="E5674" s="89">
        <v>365</v>
      </c>
      <c r="F5674" s="89" t="str">
        <v/>
      </c>
      <c r="G5674" s="89" t="str">
        <f ca="1"/>
        <v/>
      </c>
    </row>
    <row r="5675" spans="1:7" x14ac:dyDescent="0.3">
      <c r="A5675" s="89" t="str">
        <v/>
      </c>
      <c r="B5675" s="89" t="str">
        <v>Seguridad para Trabajos en Caliente</v>
      </c>
      <c r="C5675" s="90" t="str">
        <v/>
      </c>
      <c r="D5675" s="89" t="str">
        <v>Periódica</v>
      </c>
      <c r="E5675" s="89">
        <v>365</v>
      </c>
      <c r="F5675" s="89" t="str">
        <v/>
      </c>
      <c r="G5675" s="89" t="str">
        <f ca="1"/>
        <v/>
      </c>
    </row>
    <row r="5676" spans="1:7" x14ac:dyDescent="0.3">
      <c r="A5676" s="89" t="str">
        <v/>
      </c>
      <c r="B5676" s="89" t="str">
        <v>Seguridad con la Radiacion</v>
      </c>
      <c r="C5676" s="90" t="str">
        <v/>
      </c>
      <c r="D5676" s="89" t="str">
        <v>Periódica</v>
      </c>
      <c r="E5676" s="89">
        <v>365</v>
      </c>
      <c r="F5676" s="89" t="str">
        <v/>
      </c>
      <c r="G5676" s="89" t="str">
        <f ca="1"/>
        <v/>
      </c>
    </row>
    <row r="5677" spans="1:7" x14ac:dyDescent="0.3">
      <c r="A5677" s="89" t="str">
        <v/>
      </c>
      <c r="B5677" s="89" t="str">
        <v>Equipo de Proteccion Personal (PPE)</v>
      </c>
      <c r="C5677" s="90" t="str">
        <v/>
      </c>
      <c r="D5677" s="89" t="str">
        <v>Periódica</v>
      </c>
      <c r="E5677" s="89">
        <v>365</v>
      </c>
      <c r="F5677" s="89" t="str">
        <v/>
      </c>
      <c r="G5677" s="89" t="str">
        <f ca="1"/>
        <v/>
      </c>
    </row>
    <row r="5678" spans="1:7" x14ac:dyDescent="0.3">
      <c r="A5678" s="89" t="str">
        <v/>
      </c>
      <c r="B5678" s="89" t="str">
        <v>Proteccion Respiratoria</v>
      </c>
      <c r="C5678" s="90" t="str">
        <v/>
      </c>
      <c r="D5678" s="89" t="str">
        <v>Periódica</v>
      </c>
      <c r="E5678" s="89">
        <v>365</v>
      </c>
      <c r="F5678" s="89" t="str">
        <v/>
      </c>
      <c r="G5678" s="89" t="str">
        <f ca="1"/>
        <v/>
      </c>
    </row>
    <row r="5679" spans="1:7" x14ac:dyDescent="0.3">
      <c r="A5679" s="89" t="str">
        <v/>
      </c>
      <c r="B5679" s="89" t="str">
        <v xml:space="preserve">Seguridad con Escaleras </v>
      </c>
      <c r="C5679" s="90" t="str">
        <v/>
      </c>
      <c r="D5679" s="89" t="str">
        <v>Periódica</v>
      </c>
      <c r="E5679" s="89">
        <v>365</v>
      </c>
      <c r="F5679" s="89" t="str">
        <v/>
      </c>
      <c r="G5679" s="89" t="str">
        <f ca="1"/>
        <v/>
      </c>
    </row>
    <row r="5680" spans="1:7" x14ac:dyDescent="0.3">
      <c r="A5680" s="89" t="str">
        <v/>
      </c>
      <c r="B5680" s="89" t="str">
        <v>Seguridad con Escaleras // Estantes de Almacenamiento</v>
      </c>
      <c r="C5680" s="90" t="str">
        <v/>
      </c>
      <c r="D5680" s="89" t="str">
        <v>Periódica</v>
      </c>
      <c r="E5680" s="89">
        <v>365</v>
      </c>
      <c r="F5680" s="89" t="str">
        <v/>
      </c>
      <c r="G5680" s="89" t="str">
        <f ca="1"/>
        <v/>
      </c>
    </row>
    <row r="5681" spans="1:7" x14ac:dyDescent="0.3">
      <c r="A5681" s="89" t="str">
        <v/>
      </c>
      <c r="B5681" s="89" t="str">
        <v>Responsabilidades del Supervisor</v>
      </c>
      <c r="C5681" s="90" t="str">
        <v/>
      </c>
      <c r="D5681" s="89" t="str">
        <v>Periódica</v>
      </c>
      <c r="E5681" s="89">
        <v>365</v>
      </c>
      <c r="F5681" s="89" t="str">
        <v/>
      </c>
      <c r="G5681" s="89" t="str">
        <f ca="1"/>
        <v/>
      </c>
    </row>
    <row r="5682" spans="1:7" x14ac:dyDescent="0.3">
      <c r="A5682" s="89" t="str">
        <v/>
      </c>
      <c r="B5682" s="89" t="str">
        <v>Espacios Confinados (Todos)</v>
      </c>
      <c r="C5682" s="90" t="str">
        <v/>
      </c>
      <c r="D5682" s="89" t="str">
        <v>Periódica</v>
      </c>
      <c r="E5682" s="89">
        <v>365</v>
      </c>
      <c r="F5682" s="89" t="str">
        <v/>
      </c>
      <c r="G5682" s="89" t="str">
        <f ca="1"/>
        <v/>
      </c>
    </row>
    <row r="5683" spans="1:7" x14ac:dyDescent="0.3">
      <c r="A5683" s="89" t="str">
        <v/>
      </c>
      <c r="B5683" s="89" t="str">
        <v>HSMS.017 / Espacios Confinados (Entrantes)</v>
      </c>
      <c r="C5683" s="90" t="str">
        <v/>
      </c>
      <c r="D5683" s="89" t="str">
        <v>Evento</v>
      </c>
      <c r="E5683" s="89">
        <v>0</v>
      </c>
      <c r="F5683" s="89" t="str">
        <v/>
      </c>
      <c r="G5683" s="89" t="str">
        <f ca="1"/>
        <v/>
      </c>
    </row>
    <row r="5684" spans="1:7" x14ac:dyDescent="0.3">
      <c r="A5684" s="89" t="str">
        <v/>
      </c>
      <c r="B5684" s="89" t="str">
        <v>Programa de Agua (Todos)</v>
      </c>
      <c r="C5684" s="90" t="str">
        <v/>
      </c>
      <c r="D5684" s="89" t="str">
        <v>Evento</v>
      </c>
      <c r="E5684" s="89">
        <v>0</v>
      </c>
      <c r="F5684" s="89" t="str">
        <v/>
      </c>
      <c r="G5684" s="89" t="str">
        <f ca="1"/>
        <v/>
      </c>
    </row>
    <row r="5685" spans="1:7" x14ac:dyDescent="0.3">
      <c r="A5685" s="89" t="str">
        <v/>
      </c>
      <c r="B5685" s="89" t="str">
        <v>Programa de Agua (HSE)</v>
      </c>
      <c r="C5685" s="90" t="str">
        <v/>
      </c>
      <c r="D5685" s="89" t="str">
        <v>Evento</v>
      </c>
      <c r="E5685" s="89">
        <v>0</v>
      </c>
      <c r="F5685" s="89" t="str">
        <v/>
      </c>
      <c r="G5685" s="89" t="str">
        <f ca="1"/>
        <v/>
      </c>
    </row>
    <row r="5686" spans="1:7" x14ac:dyDescent="0.3">
      <c r="A5686" s="89" t="str">
        <v/>
      </c>
      <c r="B5686" s="89" t="str">
        <v>HIV/SIDA y otras enfermedades de transmisión sexual (ETS)</v>
      </c>
      <c r="C5686" s="90" t="str">
        <v/>
      </c>
      <c r="D5686" s="89" t="str">
        <v>Periódica</v>
      </c>
      <c r="E5686" s="89">
        <v>365</v>
      </c>
      <c r="F5686" s="89" t="str">
        <v/>
      </c>
      <c r="G5686" s="89" t="str">
        <f ca="1"/>
        <v/>
      </c>
    </row>
    <row r="5687" spans="1:7" x14ac:dyDescent="0.3">
      <c r="A5687" s="89" t="str">
        <v/>
      </c>
      <c r="B5687" s="89" t="str">
        <v>Drogas de abuso (concientización y prevención)</v>
      </c>
      <c r="C5687" s="90" t="str">
        <v/>
      </c>
      <c r="D5687" s="89" t="str">
        <v>Periódica</v>
      </c>
      <c r="E5687" s="89">
        <v>365</v>
      </c>
      <c r="F5687" s="89" t="str">
        <v/>
      </c>
      <c r="G5687" s="89" t="str">
        <f ca="1"/>
        <v/>
      </c>
    </row>
    <row r="5688" spans="1:7" x14ac:dyDescent="0.3">
      <c r="A5688" s="89" t="str">
        <v/>
      </c>
      <c r="B5688" s="89" t="str">
        <v>Vida saludable (hábitos, autocuidado y bienestar)</v>
      </c>
      <c r="C5688" s="90" t="str">
        <v/>
      </c>
      <c r="D5688" s="89" t="str">
        <v>Periódica</v>
      </c>
      <c r="E5688" s="89">
        <v>365</v>
      </c>
      <c r="F5688" s="89" t="str">
        <v/>
      </c>
      <c r="G5688" s="89" t="str">
        <f ca="1"/>
        <v/>
      </c>
    </row>
    <row r="5689" spans="1:7" x14ac:dyDescent="0.3">
      <c r="A5689" s="89" t="str">
        <v/>
      </c>
      <c r="B5689" s="89" t="str">
        <v>Primeros auxilios y Reanimación Cardio Pulmonar (RCP)</v>
      </c>
      <c r="C5689" s="90" t="str">
        <v/>
      </c>
      <c r="D5689" s="89" t="str">
        <v>Periódica</v>
      </c>
      <c r="E5689" s="89">
        <v>365</v>
      </c>
      <c r="F5689" s="89" t="str">
        <v/>
      </c>
      <c r="G5689" s="89" t="str">
        <f ca="1"/>
        <v/>
      </c>
    </row>
    <row r="5690" spans="1:7" x14ac:dyDescent="0.3">
      <c r="A5690" s="89" t="str">
        <v/>
      </c>
      <c r="B5690" s="89" t="str">
        <v>Prevención cardiovascular (factores de riesgo y señales de alarma)</v>
      </c>
      <c r="C5690" s="90" t="str">
        <v/>
      </c>
      <c r="D5690" s="89" t="str">
        <v>Periódica</v>
      </c>
      <c r="E5690" s="89">
        <v>365</v>
      </c>
      <c r="F5690" s="89" t="str">
        <v/>
      </c>
      <c r="G5690" s="89" t="str">
        <f ca="1"/>
        <v/>
      </c>
    </row>
    <row r="5691" spans="1:7" x14ac:dyDescent="0.3">
      <c r="A5691" s="89" t="str">
        <v/>
      </c>
      <c r="B5691" s="89" t="str">
        <v>Efectos del tabaco sobre la salud</v>
      </c>
      <c r="C5691" s="90" t="str">
        <v/>
      </c>
      <c r="D5691" s="89" t="str">
        <v>Periódica</v>
      </c>
      <c r="E5691" s="89">
        <v>365</v>
      </c>
      <c r="F5691" s="89" t="str">
        <v/>
      </c>
      <c r="G5691" s="89" t="str">
        <f ca="1"/>
        <v/>
      </c>
    </row>
    <row r="5692" spans="1:7" x14ac:dyDescent="0.3">
      <c r="A5692" s="89" t="str">
        <v/>
      </c>
      <c r="B5692" s="89" t="str">
        <v>Cargadora (Op. Montacargas)</v>
      </c>
      <c r="C5692" s="90" t="str">
        <v/>
      </c>
      <c r="D5692" s="89" t="str">
        <v>Periódica</v>
      </c>
      <c r="E5692" s="89">
        <v>365</v>
      </c>
      <c r="F5692" s="89" t="str">
        <v/>
      </c>
      <c r="G5692" s="89" t="str">
        <f ca="1"/>
        <v/>
      </c>
    </row>
    <row r="5693" spans="1:7" x14ac:dyDescent="0.3">
      <c r="A5693" s="89" t="str">
        <v/>
      </c>
      <c r="B5693" s="89">
        <v>0</v>
      </c>
      <c r="C5693" s="90" t="str">
        <v/>
      </c>
      <c r="D5693" s="89" t="str">
        <v/>
      </c>
      <c r="E5693" s="89" t="str">
        <v/>
      </c>
      <c r="F5693" s="89" t="str">
        <v/>
      </c>
      <c r="G5693" s="89" t="str">
        <f ca="1"/>
        <v/>
      </c>
    </row>
    <row r="5694" spans="1:7" x14ac:dyDescent="0.3">
      <c r="A5694" s="89" t="str">
        <v/>
      </c>
      <c r="B5694" s="89">
        <v>0</v>
      </c>
      <c r="C5694" s="90" t="str">
        <v/>
      </c>
      <c r="D5694" s="89" t="str">
        <v/>
      </c>
      <c r="E5694" s="89" t="str">
        <v/>
      </c>
      <c r="F5694" s="89" t="str">
        <v/>
      </c>
      <c r="G5694" s="89" t="str">
        <f ca="1"/>
        <v/>
      </c>
    </row>
    <row r="5695" spans="1:7" x14ac:dyDescent="0.3">
      <c r="A5695" s="89" t="str">
        <v/>
      </c>
      <c r="B5695" s="89">
        <v>0</v>
      </c>
      <c r="C5695" s="90" t="str">
        <v/>
      </c>
      <c r="D5695" s="89" t="str">
        <v/>
      </c>
      <c r="E5695" s="89" t="str">
        <v/>
      </c>
      <c r="F5695" s="89" t="str">
        <v/>
      </c>
      <c r="G5695" s="89" t="str">
        <f ca="1"/>
        <v/>
      </c>
    </row>
    <row r="5696" spans="1:7" x14ac:dyDescent="0.3">
      <c r="A5696" s="89" t="str">
        <v/>
      </c>
      <c r="B5696" s="89">
        <v>0</v>
      </c>
      <c r="C5696" s="90" t="str">
        <v/>
      </c>
      <c r="D5696" s="89" t="str">
        <v/>
      </c>
      <c r="E5696" s="89" t="str">
        <v/>
      </c>
      <c r="F5696" s="89" t="str">
        <v/>
      </c>
      <c r="G5696" s="89" t="str">
        <f ca="1"/>
        <v/>
      </c>
    </row>
    <row r="5697" spans="1:7" x14ac:dyDescent="0.3">
      <c r="A5697" s="89" t="str">
        <v/>
      </c>
      <c r="B5697" s="89">
        <v>0</v>
      </c>
      <c r="C5697" s="90" t="str">
        <v/>
      </c>
      <c r="D5697" s="89" t="str">
        <v/>
      </c>
      <c r="E5697" s="89" t="str">
        <v/>
      </c>
      <c r="F5697" s="89" t="str">
        <v/>
      </c>
      <c r="G5697" s="89" t="str">
        <f ca="1"/>
        <v/>
      </c>
    </row>
    <row r="5698" spans="1:7" x14ac:dyDescent="0.3">
      <c r="A5698" s="89" t="str">
        <v/>
      </c>
      <c r="B5698" s="89">
        <v>0</v>
      </c>
      <c r="C5698" s="90" t="str">
        <v/>
      </c>
      <c r="D5698" s="89" t="str">
        <v/>
      </c>
      <c r="E5698" s="89" t="str">
        <v/>
      </c>
      <c r="F5698" s="89" t="str">
        <v/>
      </c>
      <c r="G5698" s="89" t="str">
        <f ca="1"/>
        <v/>
      </c>
    </row>
    <row r="5699" spans="1:7" x14ac:dyDescent="0.3">
      <c r="A5699" s="89" t="str">
        <v/>
      </c>
      <c r="B5699" s="89">
        <v>0</v>
      </c>
      <c r="C5699" s="90" t="str">
        <v/>
      </c>
      <c r="D5699" s="89" t="str">
        <v/>
      </c>
      <c r="E5699" s="89" t="str">
        <v/>
      </c>
      <c r="F5699" s="89" t="str">
        <v/>
      </c>
      <c r="G5699" s="89" t="str">
        <f ca="1"/>
        <v/>
      </c>
    </row>
    <row r="5700" spans="1:7" x14ac:dyDescent="0.3">
      <c r="A5700" s="89" t="str">
        <v/>
      </c>
      <c r="B5700" s="89">
        <v>0</v>
      </c>
      <c r="C5700" s="90" t="str">
        <v/>
      </c>
      <c r="D5700" s="89" t="str">
        <v/>
      </c>
      <c r="E5700" s="89" t="str">
        <v/>
      </c>
      <c r="F5700" s="89" t="str">
        <v/>
      </c>
      <c r="G5700" s="89" t="str">
        <f ca="1"/>
        <v/>
      </c>
    </row>
    <row r="5701" spans="1:7" x14ac:dyDescent="0.3">
      <c r="A5701" s="89" t="str">
        <v/>
      </c>
      <c r="B5701" s="89">
        <v>0</v>
      </c>
      <c r="C5701" s="90" t="str">
        <v/>
      </c>
      <c r="D5701" s="89" t="str">
        <v/>
      </c>
      <c r="E5701" s="89" t="str">
        <v/>
      </c>
      <c r="F5701" s="89" t="str">
        <v/>
      </c>
      <c r="G5701" s="89" t="str">
        <f ca="1"/>
        <v/>
      </c>
    </row>
    <row r="5702" spans="1:7" x14ac:dyDescent="0.3">
      <c r="A5702" s="89" t="str">
        <v/>
      </c>
      <c r="B5702" s="89" t="str">
        <v>Programa de Aire</v>
      </c>
      <c r="C5702" s="90" t="str">
        <v/>
      </c>
      <c r="D5702" s="89" t="str">
        <v>Evento</v>
      </c>
      <c r="E5702" s="89">
        <v>0</v>
      </c>
      <c r="F5702" s="89" t="str">
        <v/>
      </c>
      <c r="G5702" s="89" t="str">
        <f ca="1"/>
        <v/>
      </c>
    </row>
    <row r="5703" spans="1:7" x14ac:dyDescent="0.3">
      <c r="A5703" s="89" t="str">
        <v/>
      </c>
      <c r="B5703" s="89" t="str">
        <v>Conciencia Ambiental</v>
      </c>
      <c r="C5703" s="90" t="str">
        <v/>
      </c>
      <c r="D5703" s="89" t="str">
        <v>Periódica</v>
      </c>
      <c r="E5703" s="89">
        <v>365</v>
      </c>
      <c r="F5703" s="89" t="str">
        <v/>
      </c>
      <c r="G5703" s="89" t="str">
        <f ca="1"/>
        <v/>
      </c>
    </row>
    <row r="5704" spans="1:7" x14ac:dyDescent="0.3">
      <c r="A5704" s="89" t="str">
        <v/>
      </c>
      <c r="B5704" s="89" t="str">
        <v xml:space="preserve">Control de Documentos e Informacion de HSE </v>
      </c>
      <c r="C5704" s="90" t="str">
        <v/>
      </c>
      <c r="D5704" s="89" t="str">
        <v>Evento</v>
      </c>
      <c r="E5704" s="89">
        <v>0</v>
      </c>
      <c r="F5704" s="89" t="str">
        <v/>
      </c>
      <c r="G5704" s="89" t="str">
        <f ca="1"/>
        <v/>
      </c>
    </row>
    <row r="5705" spans="1:7" x14ac:dyDescent="0.3">
      <c r="A5705" s="89" t="str">
        <v/>
      </c>
      <c r="B5705" s="89" t="str">
        <v xml:space="preserve"> Acciones Correctivas y Preventivas (CAPA)</v>
      </c>
      <c r="C5705" s="90" t="str">
        <v/>
      </c>
      <c r="D5705" s="89" t="str">
        <v>Evento</v>
      </c>
      <c r="E5705" s="89">
        <v>0</v>
      </c>
      <c r="F5705" s="89" t="str">
        <v/>
      </c>
      <c r="G5705" s="89" t="str">
        <f ca="1"/>
        <v/>
      </c>
    </row>
    <row r="5706" spans="1:7" x14ac:dyDescent="0.3">
      <c r="A5706" s="89" t="str">
        <v/>
      </c>
      <c r="B5706" s="89" t="str">
        <v>Seguridad Basada en el Comportamiento (Observation Program) // HSMS.043 / Autoridad de Detener el Trabajo</v>
      </c>
      <c r="C5706" s="90" t="str">
        <v/>
      </c>
      <c r="D5706" s="89" t="str">
        <v>Periódica</v>
      </c>
      <c r="E5706" s="89">
        <v>365</v>
      </c>
      <c r="F5706" s="89" t="str">
        <v/>
      </c>
      <c r="G5706" s="89" t="str">
        <f ca="1"/>
        <v/>
      </c>
    </row>
    <row r="5707" spans="1:7" x14ac:dyDescent="0.3">
      <c r="A5707" s="89" t="str">
        <v/>
      </c>
      <c r="B5707" s="89" t="str">
        <v>Identificacion de Peligros y Evaluacion de Riesgos</v>
      </c>
      <c r="C5707" s="90" t="str">
        <v/>
      </c>
      <c r="D5707" s="89" t="str">
        <v>Evento</v>
      </c>
      <c r="E5707" s="89">
        <v>0</v>
      </c>
      <c r="F5707" s="89" t="str">
        <v/>
      </c>
      <c r="G5707" s="89" t="str">
        <f ca="1"/>
        <v/>
      </c>
    </row>
    <row r="5708" spans="1:7" x14ac:dyDescent="0.3">
      <c r="A5708" s="89" t="str">
        <v/>
      </c>
      <c r="B5708" s="89" t="str">
        <v xml:space="preserve"> Plan de Respuesta ante Eemergencias / HSMS.010 /Primeros Axulios &amp; RCP/DEA / HSMSWT-002 / Patogenos Trasnmitidos por la Sangre</v>
      </c>
      <c r="C5708" s="90" t="str">
        <v/>
      </c>
      <c r="D5708" s="89" t="str">
        <v>Periódica</v>
      </c>
      <c r="E5708" s="89">
        <v>365</v>
      </c>
      <c r="F5708" s="89" t="str">
        <v/>
      </c>
      <c r="G5708" s="89" t="str">
        <f ca="1"/>
        <v/>
      </c>
    </row>
    <row r="5709" spans="1:7" x14ac:dyDescent="0.3">
      <c r="A5709" s="89" t="str">
        <v/>
      </c>
      <c r="B5709" s="89" t="str">
        <v>Reporte y Gestion de Incidentes HSE (Todos)</v>
      </c>
      <c r="C5709" s="90" t="str">
        <v/>
      </c>
      <c r="D5709" s="89" t="str">
        <v>Periódica</v>
      </c>
      <c r="E5709" s="89">
        <v>365</v>
      </c>
      <c r="F5709" s="89" t="str">
        <v/>
      </c>
      <c r="G5709" s="89" t="str">
        <f ca="1"/>
        <v/>
      </c>
    </row>
    <row r="5710" spans="1:7" x14ac:dyDescent="0.3">
      <c r="A5710" s="89" t="str">
        <v/>
      </c>
      <c r="B5710" s="89" t="str">
        <v>Reporte, Gestion e Investigacion de Incidentes HSE (supervisores / investigadores (rol))</v>
      </c>
      <c r="C5710" s="90" t="str">
        <v/>
      </c>
      <c r="D5710" s="89" t="str">
        <v>Periódica</v>
      </c>
      <c r="E5710" s="89">
        <v>1095</v>
      </c>
      <c r="F5710" s="89" t="str">
        <v/>
      </c>
      <c r="G5710" s="89" t="str">
        <f ca="1"/>
        <v/>
      </c>
    </row>
    <row r="5711" spans="1:7" x14ac:dyDescent="0.3">
      <c r="A5711" s="89" t="str">
        <v/>
      </c>
      <c r="B5711" s="89" t="str">
        <v>Gruas y Equipos de Izaje (Todos)</v>
      </c>
      <c r="C5711" s="90" t="str">
        <v/>
      </c>
      <c r="D5711" s="89" t="str">
        <v>Periódica</v>
      </c>
      <c r="E5711" s="89">
        <v>365</v>
      </c>
      <c r="F5711" s="89" t="str">
        <v/>
      </c>
      <c r="G5711" s="89" t="str">
        <f ca="1"/>
        <v/>
      </c>
    </row>
    <row r="5712" spans="1:7" x14ac:dyDescent="0.3">
      <c r="A5712" s="89" t="str">
        <v/>
      </c>
      <c r="B5712" s="89" t="str">
        <v>HSMS.007 / Gruas y Equipos de Izaje (Operadores)</v>
      </c>
      <c r="C5712" s="90" t="str">
        <v/>
      </c>
      <c r="D5712" s="89" t="str">
        <v>Periódica</v>
      </c>
      <c r="E5712" s="89">
        <v>365</v>
      </c>
      <c r="F5712" s="89" t="str">
        <v/>
      </c>
      <c r="G5712" s="89" t="str">
        <f ca="1"/>
        <v/>
      </c>
    </row>
    <row r="5713" spans="1:7" x14ac:dyDescent="0.3">
      <c r="A5713" s="89" t="str">
        <v/>
      </c>
      <c r="B5713" s="89" t="str">
        <v>Proteccion Contra Incendios (Todos)</v>
      </c>
      <c r="C5713" s="90" t="str">
        <v/>
      </c>
      <c r="D5713" s="89" t="str">
        <v>Periódica</v>
      </c>
      <c r="E5713" s="89">
        <v>365</v>
      </c>
      <c r="F5713" s="89" t="str">
        <v/>
      </c>
      <c r="G5713" s="89" t="str">
        <f ca="1"/>
        <v/>
      </c>
    </row>
    <row r="5714" spans="1:7" x14ac:dyDescent="0.3">
      <c r="A5714" s="89" t="str">
        <v/>
      </c>
      <c r="B5714" s="89" t="str">
        <v>Proteccion Contra Incendios (Brigadistas)</v>
      </c>
      <c r="C5714" s="90" t="str">
        <v/>
      </c>
      <c r="D5714" s="89" t="str">
        <v>Periódica</v>
      </c>
      <c r="E5714" s="89">
        <v>365</v>
      </c>
      <c r="F5714" s="89" t="str">
        <v/>
      </c>
      <c r="G5714" s="89" t="str">
        <f ca="1"/>
        <v/>
      </c>
    </row>
    <row r="5715" spans="1:7" x14ac:dyDescent="0.3">
      <c r="A5715" s="89" t="str">
        <v/>
      </c>
      <c r="B5715" s="89" t="str">
        <v>Primeros Auxilios (Brigadistas)</v>
      </c>
      <c r="C5715" s="90" t="str">
        <v/>
      </c>
      <c r="D5715" s="89" t="str">
        <v>Periódica</v>
      </c>
      <c r="E5715" s="89">
        <v>365</v>
      </c>
      <c r="F5715" s="89" t="str">
        <v/>
      </c>
      <c r="G5715" s="89" t="str">
        <f ca="1"/>
        <v/>
      </c>
    </row>
    <row r="5716" spans="1:7" x14ac:dyDescent="0.3">
      <c r="A5716" s="89" t="str">
        <v/>
      </c>
      <c r="B5716" s="89" t="str">
        <v>Seguridad Electrica (Todos)</v>
      </c>
      <c r="C5716" s="90" t="str">
        <v/>
      </c>
      <c r="D5716" s="89" t="str">
        <v>Periódica</v>
      </c>
      <c r="E5716" s="89">
        <v>365</v>
      </c>
      <c r="F5716" s="89" t="str">
        <v/>
      </c>
      <c r="G5716" s="89" t="str">
        <f ca="1"/>
        <v/>
      </c>
    </row>
    <row r="5717" spans="1:7" x14ac:dyDescent="0.3">
      <c r="A5717" s="89" t="str">
        <v/>
      </c>
      <c r="B5717" s="89" t="str">
        <v>Seguridad Electrica (Personal Autorizado)</v>
      </c>
      <c r="C5717" s="90" t="str">
        <v/>
      </c>
      <c r="D5717" s="89" t="str">
        <v>Periódica</v>
      </c>
      <c r="E5717" s="89">
        <v>1095</v>
      </c>
      <c r="F5717" s="89" t="str">
        <v/>
      </c>
      <c r="G5717" s="89" t="str">
        <f ca="1"/>
        <v/>
      </c>
    </row>
    <row r="5718" spans="1:7" x14ac:dyDescent="0.3">
      <c r="A5718" s="89" t="str">
        <v/>
      </c>
      <c r="B5718" s="89" t="str">
        <v>Camiones Industriales Motorizados (PIT) (Todos)</v>
      </c>
      <c r="C5718" s="90" t="str">
        <v/>
      </c>
      <c r="D5718" s="89" t="str">
        <v>Periódica</v>
      </c>
      <c r="E5718" s="89">
        <v>365</v>
      </c>
      <c r="F5718" s="89" t="str">
        <v/>
      </c>
      <c r="G5718" s="89" t="str">
        <f ca="1"/>
        <v/>
      </c>
    </row>
    <row r="5719" spans="1:7" x14ac:dyDescent="0.3">
      <c r="A5719" s="89" t="str">
        <v/>
      </c>
      <c r="B5719" s="89" t="str">
        <v>Camiones Industriales Motorizados (PIT) (Op. Montacargas)</v>
      </c>
      <c r="C5719" s="90" t="str">
        <v/>
      </c>
      <c r="D5719" s="89" t="str">
        <v>Periódica</v>
      </c>
      <c r="E5719" s="89">
        <v>365</v>
      </c>
      <c r="F5719" s="89" t="str">
        <v/>
      </c>
      <c r="G5719" s="89" t="str">
        <f ca="1"/>
        <v/>
      </c>
    </row>
    <row r="5720" spans="1:7" x14ac:dyDescent="0.3">
      <c r="A5720" s="89" t="str">
        <v/>
      </c>
      <c r="B5720" s="89" t="str">
        <v>Control de Energias Peligrosas (LOTO) (Todos)</v>
      </c>
      <c r="C5720" s="90" t="str">
        <v/>
      </c>
      <c r="D5720" s="89" t="str">
        <v>Evento</v>
      </c>
      <c r="E5720" s="89">
        <v>0</v>
      </c>
      <c r="F5720" s="89" t="str">
        <v/>
      </c>
      <c r="G5720" s="89" t="str">
        <f ca="1"/>
        <v/>
      </c>
    </row>
    <row r="5721" spans="1:7" x14ac:dyDescent="0.3">
      <c r="A5721" s="89" t="str">
        <v/>
      </c>
      <c r="B5721" s="89" t="str">
        <v>Control de Energias Peligrosas (LOTO) (Empleados Autorizados)</v>
      </c>
      <c r="C5721" s="90" t="str">
        <v/>
      </c>
      <c r="D5721" s="89" t="str">
        <v>Periódica</v>
      </c>
      <c r="E5721" s="89">
        <v>365</v>
      </c>
      <c r="F5721" s="89" t="str">
        <v/>
      </c>
      <c r="G5721" s="89" t="str">
        <f ca="1"/>
        <v/>
      </c>
    </row>
    <row r="5722" spans="1:7" x14ac:dyDescent="0.3">
      <c r="A5722" s="89" t="str">
        <v/>
      </c>
      <c r="B5722" s="89" t="str">
        <v>Seguridad aplicada al Pozo &amp; Yacimiento</v>
      </c>
      <c r="C5722" s="90" t="str">
        <v/>
      </c>
      <c r="D5722" s="89" t="str">
        <v>Periódica</v>
      </c>
      <c r="E5722" s="89">
        <v>365</v>
      </c>
      <c r="F5722" s="89" t="str">
        <v/>
      </c>
      <c r="G5722" s="89" t="str">
        <f ca="1"/>
        <v/>
      </c>
    </row>
    <row r="5723" spans="1:7" x14ac:dyDescent="0.3">
      <c r="A5723" s="89" t="str">
        <v/>
      </c>
      <c r="B5723" s="89" t="str">
        <v>Las Reglas que Salvan Vidas</v>
      </c>
      <c r="C5723" s="90" t="str">
        <v/>
      </c>
      <c r="D5723" s="89" t="str">
        <v>Periódica</v>
      </c>
      <c r="E5723" s="89">
        <v>365</v>
      </c>
      <c r="F5723" s="89" t="str">
        <v/>
      </c>
      <c r="G5723" s="89" t="str">
        <f ca="1"/>
        <v/>
      </c>
    </row>
    <row r="5724" spans="1:7" x14ac:dyDescent="0.3">
      <c r="A5724" s="89" t="str">
        <v/>
      </c>
      <c r="B5724" s="89" t="str">
        <v xml:space="preserve">Resguardo de Maquinas &amp; Equipos </v>
      </c>
      <c r="C5724" s="90" t="str">
        <v/>
      </c>
      <c r="D5724" s="89" t="str">
        <v>Periódica</v>
      </c>
      <c r="E5724" s="89">
        <v>365</v>
      </c>
      <c r="F5724" s="89" t="str">
        <v/>
      </c>
      <c r="G5724" s="89" t="str">
        <f ca="1"/>
        <v/>
      </c>
    </row>
    <row r="5725" spans="1:7" x14ac:dyDescent="0.3">
      <c r="A5725" s="89" t="str">
        <v/>
      </c>
      <c r="B5725" s="89" t="str">
        <v>Conduccion y Gestion de Viajes (Todos)</v>
      </c>
      <c r="C5725" s="90" t="str">
        <v/>
      </c>
      <c r="D5725" s="89" t="str">
        <v>Periódica</v>
      </c>
      <c r="E5725" s="89">
        <v>730</v>
      </c>
      <c r="F5725" s="89" t="str">
        <v/>
      </c>
      <c r="G5725" s="89" t="str">
        <f ca="1"/>
        <v/>
      </c>
    </row>
    <row r="5726" spans="1:7" x14ac:dyDescent="0.3">
      <c r="A5726" s="89" t="str">
        <v/>
      </c>
      <c r="B5726" s="89" t="str">
        <v>Conduccion y Gestion de Viajes (Conductores)</v>
      </c>
      <c r="C5726" s="90" t="str">
        <v/>
      </c>
      <c r="D5726" s="89" t="str">
        <v>Periódica</v>
      </c>
      <c r="E5726" s="89">
        <v>1095</v>
      </c>
      <c r="F5726" s="89" t="str">
        <v/>
      </c>
      <c r="G5726" s="89" t="str">
        <f ca="1"/>
        <v/>
      </c>
    </row>
    <row r="5727" spans="1:7" x14ac:dyDescent="0.3">
      <c r="A5727" s="89" t="str">
        <v/>
      </c>
      <c r="B5727" s="89" t="str">
        <v>Patogenos Transmitidos por la Sangre</v>
      </c>
      <c r="C5727" s="90" t="str">
        <v/>
      </c>
      <c r="D5727" s="89" t="str">
        <v>Periódica</v>
      </c>
      <c r="E5727" s="89">
        <v>365</v>
      </c>
      <c r="F5727" s="89" t="str">
        <v/>
      </c>
      <c r="G5727" s="89" t="str">
        <f ca="1"/>
        <v/>
      </c>
    </row>
    <row r="5728" spans="1:7" x14ac:dyDescent="0.3">
      <c r="A5728" s="89" t="str">
        <v/>
      </c>
      <c r="B5728" s="89" t="str">
        <v>Conservacion Auditiva</v>
      </c>
      <c r="C5728" s="90" t="str">
        <v/>
      </c>
      <c r="D5728" s="89" t="str">
        <v>Periódica</v>
      </c>
      <c r="E5728" s="89">
        <v>365</v>
      </c>
      <c r="F5728" s="89" t="str">
        <v/>
      </c>
      <c r="G5728" s="89" t="str">
        <f ca="1"/>
        <v/>
      </c>
    </row>
    <row r="5729" spans="1:7" x14ac:dyDescent="0.3">
      <c r="A5729" s="89" t="str">
        <v/>
      </c>
      <c r="B5729" s="89" t="str">
        <v xml:space="preserve">Ergonomia //  / Levantamiento &amp; Seguridad en la Espalda </v>
      </c>
      <c r="C5729" s="90" t="str">
        <v/>
      </c>
      <c r="D5729" s="89" t="str">
        <v>Periódica</v>
      </c>
      <c r="E5729" s="89">
        <v>365</v>
      </c>
      <c r="F5729" s="89" t="str">
        <v/>
      </c>
      <c r="G5729" s="89" t="str">
        <f ca="1"/>
        <v/>
      </c>
    </row>
    <row r="5730" spans="1:7" x14ac:dyDescent="0.3">
      <c r="A5730" s="89" t="str">
        <v/>
      </c>
      <c r="B5730" s="89" t="str">
        <v>Superficies Elevadas (Todos)</v>
      </c>
      <c r="C5730" s="90" t="str">
        <v/>
      </c>
      <c r="D5730" s="89" t="str">
        <v>Periódica</v>
      </c>
      <c r="E5730" s="89">
        <v>365</v>
      </c>
      <c r="F5730" s="89" t="str">
        <v/>
      </c>
      <c r="G5730" s="89" t="str">
        <f ca="1"/>
        <v/>
      </c>
    </row>
    <row r="5731" spans="1:7" x14ac:dyDescent="0.3">
      <c r="A5731" s="89" t="str">
        <v/>
      </c>
      <c r="B5731" s="89" t="str">
        <v>Superficies Elevadas (Personal Habilitado)</v>
      </c>
      <c r="C5731" s="90" t="str">
        <v/>
      </c>
      <c r="D5731" s="89" t="str">
        <v>Periódica</v>
      </c>
      <c r="E5731" s="89">
        <v>365</v>
      </c>
      <c r="F5731" s="89" t="str">
        <v/>
      </c>
      <c r="G5731" s="89" t="str">
        <f ca="1"/>
        <v/>
      </c>
    </row>
    <row r="5732" spans="1:7" x14ac:dyDescent="0.3">
      <c r="A5732" s="89" t="str">
        <v/>
      </c>
      <c r="B5732" s="89" t="str">
        <v>Seguridad Quimica (Todos)</v>
      </c>
      <c r="C5732" s="90" t="str">
        <v/>
      </c>
      <c r="D5732" s="89" t="str">
        <v>Periódica</v>
      </c>
      <c r="E5732" s="89">
        <v>730</v>
      </c>
      <c r="F5732" s="89" t="str">
        <v/>
      </c>
      <c r="G5732" s="89" t="str">
        <f ca="1"/>
        <v/>
      </c>
    </row>
    <row r="5733" spans="1:7" x14ac:dyDescent="0.3">
      <c r="A5733" s="89" t="str">
        <v/>
      </c>
      <c r="B5733" s="89" t="str">
        <v>Seguridad Quimica (Mantenimiento)</v>
      </c>
      <c r="C5733" s="90" t="str">
        <v/>
      </c>
      <c r="D5733" s="89" t="str">
        <v>Periódica</v>
      </c>
      <c r="E5733" s="89">
        <v>365</v>
      </c>
      <c r="F5733" s="89" t="str">
        <v/>
      </c>
      <c r="G5733" s="89" t="str">
        <f ca="1"/>
        <v/>
      </c>
    </row>
    <row r="5734" spans="1:7" x14ac:dyDescent="0.3">
      <c r="A5734" s="89" t="str">
        <v/>
      </c>
      <c r="B5734" s="89" t="str">
        <v>Seguridad Quimica (Contratistas)</v>
      </c>
      <c r="C5734" s="90" t="str">
        <v/>
      </c>
      <c r="D5734" s="89" t="str">
        <v>Periódica</v>
      </c>
      <c r="E5734" s="89">
        <v>365</v>
      </c>
      <c r="F5734" s="89" t="str">
        <v/>
      </c>
      <c r="G5734" s="89" t="str">
        <f ca="1"/>
        <v/>
      </c>
    </row>
    <row r="5735" spans="1:7" x14ac:dyDescent="0.3">
      <c r="A5735" s="89" t="str">
        <v/>
      </c>
      <c r="B5735" s="89" t="str">
        <v>Seguridad para Trabajos en Caliente</v>
      </c>
      <c r="C5735" s="90" t="str">
        <v/>
      </c>
      <c r="D5735" s="89" t="str">
        <v>Periódica</v>
      </c>
      <c r="E5735" s="89">
        <v>365</v>
      </c>
      <c r="F5735" s="89" t="str">
        <v/>
      </c>
      <c r="G5735" s="89" t="str">
        <f ca="1"/>
        <v/>
      </c>
    </row>
    <row r="5736" spans="1:7" x14ac:dyDescent="0.3">
      <c r="A5736" s="89" t="str">
        <v/>
      </c>
      <c r="B5736" s="89" t="str">
        <v>Seguridad con la Radiacion</v>
      </c>
      <c r="C5736" s="90" t="str">
        <v/>
      </c>
      <c r="D5736" s="89" t="str">
        <v>Periódica</v>
      </c>
      <c r="E5736" s="89">
        <v>365</v>
      </c>
      <c r="F5736" s="89" t="str">
        <v/>
      </c>
      <c r="G5736" s="89" t="str">
        <f ca="1"/>
        <v/>
      </c>
    </row>
    <row r="5737" spans="1:7" x14ac:dyDescent="0.3">
      <c r="A5737" s="89" t="str">
        <v/>
      </c>
      <c r="B5737" s="89" t="str">
        <v>Equipo de Proteccion Personal (PPE)</v>
      </c>
      <c r="C5737" s="90" t="str">
        <v/>
      </c>
      <c r="D5737" s="89" t="str">
        <v>Periódica</v>
      </c>
      <c r="E5737" s="89">
        <v>365</v>
      </c>
      <c r="F5737" s="89" t="str">
        <v/>
      </c>
      <c r="G5737" s="89" t="str">
        <f ca="1"/>
        <v/>
      </c>
    </row>
    <row r="5738" spans="1:7" x14ac:dyDescent="0.3">
      <c r="A5738" s="89" t="str">
        <v/>
      </c>
      <c r="B5738" s="89" t="str">
        <v>Proteccion Respiratoria</v>
      </c>
      <c r="C5738" s="90" t="str">
        <v/>
      </c>
      <c r="D5738" s="89" t="str">
        <v>Periódica</v>
      </c>
      <c r="E5738" s="89">
        <v>365</v>
      </c>
      <c r="F5738" s="89" t="str">
        <v/>
      </c>
      <c r="G5738" s="89" t="str">
        <f ca="1"/>
        <v/>
      </c>
    </row>
    <row r="5739" spans="1:7" x14ac:dyDescent="0.3">
      <c r="A5739" s="89" t="str">
        <v/>
      </c>
      <c r="B5739" s="89" t="str">
        <v xml:space="preserve">Seguridad con Escaleras </v>
      </c>
      <c r="C5739" s="90" t="str">
        <v/>
      </c>
      <c r="D5739" s="89" t="str">
        <v>Periódica</v>
      </c>
      <c r="E5739" s="89">
        <v>365</v>
      </c>
      <c r="F5739" s="89" t="str">
        <v/>
      </c>
      <c r="G5739" s="89" t="str">
        <f ca="1"/>
        <v/>
      </c>
    </row>
    <row r="5740" spans="1:7" x14ac:dyDescent="0.3">
      <c r="A5740" s="89" t="str">
        <v/>
      </c>
      <c r="B5740" s="89" t="str">
        <v>Seguridad con Escaleras // Estantes de Almacenamiento</v>
      </c>
      <c r="C5740" s="90" t="str">
        <v/>
      </c>
      <c r="D5740" s="89" t="str">
        <v>Periódica</v>
      </c>
      <c r="E5740" s="89">
        <v>365</v>
      </c>
      <c r="F5740" s="89" t="str">
        <v/>
      </c>
      <c r="G5740" s="89" t="str">
        <f ca="1"/>
        <v/>
      </c>
    </row>
    <row r="5741" spans="1:7" x14ac:dyDescent="0.3">
      <c r="A5741" s="89" t="str">
        <v/>
      </c>
      <c r="B5741" s="89" t="str">
        <v>Responsabilidades del Supervisor</v>
      </c>
      <c r="C5741" s="90" t="str">
        <v/>
      </c>
      <c r="D5741" s="89" t="str">
        <v>Periódica</v>
      </c>
      <c r="E5741" s="89">
        <v>365</v>
      </c>
      <c r="F5741" s="89" t="str">
        <v/>
      </c>
      <c r="G5741" s="89" t="str">
        <f ca="1"/>
        <v/>
      </c>
    </row>
    <row r="5742" spans="1:7" x14ac:dyDescent="0.3">
      <c r="A5742" s="89" t="str">
        <v/>
      </c>
      <c r="B5742" s="89" t="str">
        <v>Espacios Confinados (Todos)</v>
      </c>
      <c r="C5742" s="90" t="str">
        <v/>
      </c>
      <c r="D5742" s="89" t="str">
        <v>Periódica</v>
      </c>
      <c r="E5742" s="89">
        <v>365</v>
      </c>
      <c r="F5742" s="89" t="str">
        <v/>
      </c>
      <c r="G5742" s="89" t="str">
        <f ca="1"/>
        <v/>
      </c>
    </row>
    <row r="5743" spans="1:7" x14ac:dyDescent="0.3">
      <c r="A5743" s="89" t="str">
        <v/>
      </c>
      <c r="B5743" s="89" t="str">
        <v>HSMS.017 / Espacios Confinados (Entrantes)</v>
      </c>
      <c r="C5743" s="90" t="str">
        <v/>
      </c>
      <c r="D5743" s="89" t="str">
        <v>Evento</v>
      </c>
      <c r="E5743" s="89">
        <v>0</v>
      </c>
      <c r="F5743" s="89" t="str">
        <v/>
      </c>
      <c r="G5743" s="89" t="str">
        <f ca="1"/>
        <v/>
      </c>
    </row>
    <row r="5744" spans="1:7" x14ac:dyDescent="0.3">
      <c r="A5744" s="89" t="str">
        <v/>
      </c>
      <c r="B5744" s="89" t="str">
        <v>Programa de Agua (Todos)</v>
      </c>
      <c r="C5744" s="90" t="str">
        <v/>
      </c>
      <c r="D5744" s="89" t="str">
        <v>Evento</v>
      </c>
      <c r="E5744" s="89">
        <v>0</v>
      </c>
      <c r="F5744" s="89" t="str">
        <v/>
      </c>
      <c r="G5744" s="89" t="str">
        <f ca="1"/>
        <v/>
      </c>
    </row>
    <row r="5745" spans="1:7" x14ac:dyDescent="0.3">
      <c r="A5745" s="89" t="str">
        <v/>
      </c>
      <c r="B5745" s="89" t="str">
        <v>Programa de Agua (HSE)</v>
      </c>
      <c r="C5745" s="90" t="str">
        <v/>
      </c>
      <c r="D5745" s="89" t="str">
        <v>Evento</v>
      </c>
      <c r="E5745" s="89">
        <v>0</v>
      </c>
      <c r="F5745" s="89" t="str">
        <v/>
      </c>
      <c r="G5745" s="89" t="str">
        <f ca="1"/>
        <v/>
      </c>
    </row>
    <row r="5746" spans="1:7" x14ac:dyDescent="0.3">
      <c r="A5746" s="89" t="str">
        <v/>
      </c>
      <c r="B5746" s="89" t="str">
        <v>HIV/SIDA y otras enfermedades de transmisión sexual (ETS)</v>
      </c>
      <c r="C5746" s="90" t="str">
        <v/>
      </c>
      <c r="D5746" s="89" t="str">
        <v>Periódica</v>
      </c>
      <c r="E5746" s="89">
        <v>365</v>
      </c>
      <c r="F5746" s="89" t="str">
        <v/>
      </c>
      <c r="G5746" s="89" t="str">
        <f ca="1"/>
        <v/>
      </c>
    </row>
    <row r="5747" spans="1:7" x14ac:dyDescent="0.3">
      <c r="A5747" s="89" t="str">
        <v/>
      </c>
      <c r="B5747" s="89" t="str">
        <v>Drogas de abuso (concientización y prevención)</v>
      </c>
      <c r="C5747" s="90" t="str">
        <v/>
      </c>
      <c r="D5747" s="89" t="str">
        <v>Periódica</v>
      </c>
      <c r="E5747" s="89">
        <v>365</v>
      </c>
      <c r="F5747" s="89" t="str">
        <v/>
      </c>
      <c r="G5747" s="89" t="str">
        <f ca="1"/>
        <v/>
      </c>
    </row>
    <row r="5748" spans="1:7" x14ac:dyDescent="0.3">
      <c r="A5748" s="89" t="str">
        <v/>
      </c>
      <c r="B5748" s="89" t="str">
        <v>Vida saludable (hábitos, autocuidado y bienestar)</v>
      </c>
      <c r="C5748" s="90" t="str">
        <v/>
      </c>
      <c r="D5748" s="89" t="str">
        <v>Periódica</v>
      </c>
      <c r="E5748" s="89">
        <v>365</v>
      </c>
      <c r="F5748" s="89" t="str">
        <v/>
      </c>
      <c r="G5748" s="89" t="str">
        <f ca="1"/>
        <v/>
      </c>
    </row>
    <row r="5749" spans="1:7" x14ac:dyDescent="0.3">
      <c r="A5749" s="89" t="str">
        <v/>
      </c>
      <c r="B5749" s="89" t="str">
        <v>Primeros auxilios y Reanimación Cardio Pulmonar (RCP)</v>
      </c>
      <c r="C5749" s="90" t="str">
        <v/>
      </c>
      <c r="D5749" s="89" t="str">
        <v>Periódica</v>
      </c>
      <c r="E5749" s="89">
        <v>365</v>
      </c>
      <c r="F5749" s="89" t="str">
        <v/>
      </c>
      <c r="G5749" s="89" t="str">
        <f ca="1"/>
        <v/>
      </c>
    </row>
    <row r="5750" spans="1:7" x14ac:dyDescent="0.3">
      <c r="A5750" s="89" t="str">
        <v/>
      </c>
      <c r="B5750" s="89" t="str">
        <v>Prevención cardiovascular (factores de riesgo y señales de alarma)</v>
      </c>
      <c r="C5750" s="90" t="str">
        <v/>
      </c>
      <c r="D5750" s="89" t="str">
        <v>Periódica</v>
      </c>
      <c r="E5750" s="89">
        <v>365</v>
      </c>
      <c r="F5750" s="89" t="str">
        <v/>
      </c>
      <c r="G5750" s="89" t="str">
        <f ca="1"/>
        <v/>
      </c>
    </row>
    <row r="5751" spans="1:7" x14ac:dyDescent="0.3">
      <c r="A5751" s="89" t="str">
        <v/>
      </c>
      <c r="B5751" s="89" t="str">
        <v>Efectos del tabaco sobre la salud</v>
      </c>
      <c r="C5751" s="90" t="str">
        <v/>
      </c>
      <c r="D5751" s="89" t="str">
        <v>Periódica</v>
      </c>
      <c r="E5751" s="89">
        <v>365</v>
      </c>
      <c r="F5751" s="89" t="str">
        <v/>
      </c>
      <c r="G5751" s="89" t="str">
        <f ca="1"/>
        <v/>
      </c>
    </row>
    <row r="5752" spans="1:7" x14ac:dyDescent="0.3">
      <c r="A5752" s="89" t="str">
        <v/>
      </c>
      <c r="B5752" s="89" t="str">
        <v>Cargadora (Op. Montacargas)</v>
      </c>
      <c r="C5752" s="90" t="str">
        <v/>
      </c>
      <c r="D5752" s="89" t="str">
        <v>Periódica</v>
      </c>
      <c r="E5752" s="89">
        <v>365</v>
      </c>
      <c r="F5752" s="89" t="str">
        <v/>
      </c>
      <c r="G5752" s="89" t="str">
        <f ca="1"/>
        <v/>
      </c>
    </row>
    <row r="5753" spans="1:7" x14ac:dyDescent="0.3">
      <c r="A5753" s="89" t="str">
        <v/>
      </c>
      <c r="B5753" s="89">
        <v>0</v>
      </c>
      <c r="C5753" s="90" t="str">
        <v/>
      </c>
      <c r="D5753" s="89" t="str">
        <v/>
      </c>
      <c r="E5753" s="89" t="str">
        <v/>
      </c>
      <c r="F5753" s="89" t="str">
        <v/>
      </c>
      <c r="G5753" s="89" t="str">
        <f ca="1"/>
        <v/>
      </c>
    </row>
    <row r="5754" spans="1:7" x14ac:dyDescent="0.3">
      <c r="A5754" s="89" t="str">
        <v/>
      </c>
      <c r="B5754" s="89">
        <v>0</v>
      </c>
      <c r="C5754" s="90" t="str">
        <v/>
      </c>
      <c r="D5754" s="89" t="str">
        <v/>
      </c>
      <c r="E5754" s="89" t="str">
        <v/>
      </c>
      <c r="F5754" s="89" t="str">
        <v/>
      </c>
      <c r="G5754" s="89" t="str">
        <f ca="1"/>
        <v/>
      </c>
    </row>
    <row r="5755" spans="1:7" x14ac:dyDescent="0.3">
      <c r="A5755" s="89" t="str">
        <v/>
      </c>
      <c r="B5755" s="89">
        <v>0</v>
      </c>
      <c r="C5755" s="90" t="str">
        <v/>
      </c>
      <c r="D5755" s="89" t="str">
        <v/>
      </c>
      <c r="E5755" s="89" t="str">
        <v/>
      </c>
      <c r="F5755" s="89" t="str">
        <v/>
      </c>
      <c r="G5755" s="89" t="str">
        <f ca="1"/>
        <v/>
      </c>
    </row>
    <row r="5756" spans="1:7" x14ac:dyDescent="0.3">
      <c r="A5756" s="89" t="str">
        <v/>
      </c>
      <c r="B5756" s="89">
        <v>0</v>
      </c>
      <c r="C5756" s="90" t="str">
        <v/>
      </c>
      <c r="D5756" s="89" t="str">
        <v/>
      </c>
      <c r="E5756" s="89" t="str">
        <v/>
      </c>
      <c r="F5756" s="89" t="str">
        <v/>
      </c>
      <c r="G5756" s="89" t="str">
        <f ca="1"/>
        <v/>
      </c>
    </row>
    <row r="5757" spans="1:7" x14ac:dyDescent="0.3">
      <c r="A5757" s="89" t="str">
        <v/>
      </c>
      <c r="B5757" s="89">
        <v>0</v>
      </c>
      <c r="C5757" s="90" t="str">
        <v/>
      </c>
      <c r="D5757" s="89" t="str">
        <v/>
      </c>
      <c r="E5757" s="89" t="str">
        <v/>
      </c>
      <c r="F5757" s="89" t="str">
        <v/>
      </c>
      <c r="G5757" s="89" t="str">
        <f ca="1"/>
        <v/>
      </c>
    </row>
    <row r="5758" spans="1:7" x14ac:dyDescent="0.3">
      <c r="A5758" s="89" t="str">
        <v/>
      </c>
      <c r="B5758" s="89">
        <v>0</v>
      </c>
      <c r="C5758" s="90" t="str">
        <v/>
      </c>
      <c r="D5758" s="89" t="str">
        <v/>
      </c>
      <c r="E5758" s="89" t="str">
        <v/>
      </c>
      <c r="F5758" s="89" t="str">
        <v/>
      </c>
      <c r="G5758" s="89" t="str">
        <f ca="1"/>
        <v/>
      </c>
    </row>
    <row r="5759" spans="1:7" x14ac:dyDescent="0.3">
      <c r="A5759" s="89" t="str">
        <v/>
      </c>
      <c r="B5759" s="89">
        <v>0</v>
      </c>
      <c r="C5759" s="90" t="str">
        <v/>
      </c>
      <c r="D5759" s="89" t="str">
        <v/>
      </c>
      <c r="E5759" s="89" t="str">
        <v/>
      </c>
      <c r="F5759" s="89" t="str">
        <v/>
      </c>
      <c r="G5759" s="89" t="str">
        <f ca="1"/>
        <v/>
      </c>
    </row>
    <row r="5760" spans="1:7" x14ac:dyDescent="0.3">
      <c r="A5760" s="89" t="str">
        <v/>
      </c>
      <c r="B5760" s="89">
        <v>0</v>
      </c>
      <c r="C5760" s="90" t="str">
        <v/>
      </c>
      <c r="D5760" s="89" t="str">
        <v/>
      </c>
      <c r="E5760" s="89" t="str">
        <v/>
      </c>
      <c r="F5760" s="89" t="str">
        <v/>
      </c>
      <c r="G5760" s="89" t="str">
        <f ca="1"/>
        <v/>
      </c>
    </row>
    <row r="5761" spans="1:7" x14ac:dyDescent="0.3">
      <c r="A5761" s="89" t="str">
        <v/>
      </c>
      <c r="B5761" s="89">
        <v>0</v>
      </c>
      <c r="C5761" s="90" t="str">
        <v/>
      </c>
      <c r="D5761" s="89" t="str">
        <v/>
      </c>
      <c r="E5761" s="89" t="str">
        <v/>
      </c>
      <c r="F5761" s="89" t="str">
        <v/>
      </c>
      <c r="G5761" s="89" t="str">
        <f ca="1"/>
        <v/>
      </c>
    </row>
    <row r="5762" spans="1:7" x14ac:dyDescent="0.3">
      <c r="A5762" s="89" t="str">
        <v/>
      </c>
      <c r="B5762" s="89" t="str">
        <v>Programa de Aire</v>
      </c>
      <c r="C5762" s="90" t="str">
        <v/>
      </c>
      <c r="D5762" s="89" t="str">
        <v>Evento</v>
      </c>
      <c r="E5762" s="89">
        <v>0</v>
      </c>
      <c r="F5762" s="89" t="str">
        <v/>
      </c>
      <c r="G5762" s="89" t="str">
        <f ca="1"/>
        <v/>
      </c>
    </row>
    <row r="5763" spans="1:7" x14ac:dyDescent="0.3">
      <c r="A5763" s="89" t="str">
        <v/>
      </c>
      <c r="B5763" s="89" t="str">
        <v>Conciencia Ambiental</v>
      </c>
      <c r="C5763" s="90" t="str">
        <v/>
      </c>
      <c r="D5763" s="89" t="str">
        <v>Periódica</v>
      </c>
      <c r="E5763" s="89">
        <v>365</v>
      </c>
      <c r="F5763" s="89" t="str">
        <v/>
      </c>
      <c r="G5763" s="89" t="str">
        <f ca="1"/>
        <v/>
      </c>
    </row>
    <row r="5764" spans="1:7" x14ac:dyDescent="0.3">
      <c r="A5764" s="89" t="str">
        <v/>
      </c>
      <c r="B5764" s="89" t="str">
        <v xml:space="preserve">Control de Documentos e Informacion de HSE </v>
      </c>
      <c r="C5764" s="90" t="str">
        <v/>
      </c>
      <c r="D5764" s="89" t="str">
        <v>Evento</v>
      </c>
      <c r="E5764" s="89">
        <v>0</v>
      </c>
      <c r="F5764" s="89" t="str">
        <v/>
      </c>
      <c r="G5764" s="89" t="str">
        <f ca="1"/>
        <v/>
      </c>
    </row>
    <row r="5765" spans="1:7" x14ac:dyDescent="0.3">
      <c r="A5765" s="89" t="str">
        <v/>
      </c>
      <c r="B5765" s="89" t="str">
        <v xml:space="preserve"> Acciones Correctivas y Preventivas (CAPA)</v>
      </c>
      <c r="C5765" s="90" t="str">
        <v/>
      </c>
      <c r="D5765" s="89" t="str">
        <v>Evento</v>
      </c>
      <c r="E5765" s="89">
        <v>0</v>
      </c>
      <c r="F5765" s="89" t="str">
        <v/>
      </c>
      <c r="G5765" s="89" t="str">
        <f ca="1"/>
        <v/>
      </c>
    </row>
    <row r="5766" spans="1:7" x14ac:dyDescent="0.3">
      <c r="A5766" s="89" t="str">
        <v/>
      </c>
      <c r="B5766" s="89" t="str">
        <v>Seguridad Basada en el Comportamiento (Observation Program) // HSMS.043 / Autoridad de Detener el Trabajo</v>
      </c>
      <c r="C5766" s="90" t="str">
        <v/>
      </c>
      <c r="D5766" s="89" t="str">
        <v>Periódica</v>
      </c>
      <c r="E5766" s="89">
        <v>365</v>
      </c>
      <c r="F5766" s="89" t="str">
        <v/>
      </c>
      <c r="G5766" s="89" t="str">
        <f ca="1"/>
        <v/>
      </c>
    </row>
    <row r="5767" spans="1:7" x14ac:dyDescent="0.3">
      <c r="A5767" s="89" t="str">
        <v/>
      </c>
      <c r="B5767" s="89" t="str">
        <v>Identificacion de Peligros y Evaluacion de Riesgos</v>
      </c>
      <c r="C5767" s="90" t="str">
        <v/>
      </c>
      <c r="D5767" s="89" t="str">
        <v>Evento</v>
      </c>
      <c r="E5767" s="89">
        <v>0</v>
      </c>
      <c r="F5767" s="89" t="str">
        <v/>
      </c>
      <c r="G5767" s="89" t="str">
        <f ca="1"/>
        <v/>
      </c>
    </row>
    <row r="5768" spans="1:7" x14ac:dyDescent="0.3">
      <c r="A5768" s="89" t="str">
        <v/>
      </c>
      <c r="B5768" s="89" t="str">
        <v xml:space="preserve"> Plan de Respuesta ante Eemergencias / HSMS.010 /Primeros Axulios &amp; RCP/DEA / HSMSWT-002 / Patogenos Trasnmitidos por la Sangre</v>
      </c>
      <c r="C5768" s="90" t="str">
        <v/>
      </c>
      <c r="D5768" s="89" t="str">
        <v>Periódica</v>
      </c>
      <c r="E5768" s="89">
        <v>365</v>
      </c>
      <c r="F5768" s="89" t="str">
        <v/>
      </c>
      <c r="G5768" s="89" t="str">
        <f ca="1"/>
        <v/>
      </c>
    </row>
    <row r="5769" spans="1:7" x14ac:dyDescent="0.3">
      <c r="A5769" s="89" t="str">
        <v/>
      </c>
      <c r="B5769" s="89" t="str">
        <v>Reporte y Gestion de Incidentes HSE (Todos)</v>
      </c>
      <c r="C5769" s="90" t="str">
        <v/>
      </c>
      <c r="D5769" s="89" t="str">
        <v>Periódica</v>
      </c>
      <c r="E5769" s="89">
        <v>365</v>
      </c>
      <c r="F5769" s="89" t="str">
        <v/>
      </c>
      <c r="G5769" s="89" t="str">
        <f ca="1"/>
        <v/>
      </c>
    </row>
    <row r="5770" spans="1:7" x14ac:dyDescent="0.3">
      <c r="A5770" s="89" t="str">
        <v/>
      </c>
      <c r="B5770" s="89" t="str">
        <v>Reporte, Gestion e Investigacion de Incidentes HSE (supervisores / investigadores (rol))</v>
      </c>
      <c r="C5770" s="90" t="str">
        <v/>
      </c>
      <c r="D5770" s="89" t="str">
        <v>Periódica</v>
      </c>
      <c r="E5770" s="89">
        <v>1095</v>
      </c>
      <c r="F5770" s="89" t="str">
        <v/>
      </c>
      <c r="G5770" s="89" t="str">
        <f ca="1"/>
        <v/>
      </c>
    </row>
    <row r="5771" spans="1:7" x14ac:dyDescent="0.3">
      <c r="A5771" s="89" t="str">
        <v/>
      </c>
      <c r="B5771" s="89" t="str">
        <v>Gruas y Equipos de Izaje (Todos)</v>
      </c>
      <c r="C5771" s="90" t="str">
        <v/>
      </c>
      <c r="D5771" s="89" t="str">
        <v>Periódica</v>
      </c>
      <c r="E5771" s="89">
        <v>365</v>
      </c>
      <c r="F5771" s="89" t="str">
        <v/>
      </c>
      <c r="G5771" s="89" t="str">
        <f ca="1"/>
        <v/>
      </c>
    </row>
    <row r="5772" spans="1:7" x14ac:dyDescent="0.3">
      <c r="A5772" s="89" t="str">
        <v/>
      </c>
      <c r="B5772" s="89" t="str">
        <v>HSMS.007 / Gruas y Equipos de Izaje (Operadores)</v>
      </c>
      <c r="C5772" s="90" t="str">
        <v/>
      </c>
      <c r="D5772" s="89" t="str">
        <v>Periódica</v>
      </c>
      <c r="E5772" s="89">
        <v>365</v>
      </c>
      <c r="F5772" s="89" t="str">
        <v/>
      </c>
      <c r="G5772" s="89" t="str">
        <f ca="1"/>
        <v/>
      </c>
    </row>
    <row r="5773" spans="1:7" x14ac:dyDescent="0.3">
      <c r="A5773" s="89" t="str">
        <v/>
      </c>
      <c r="B5773" s="89" t="str">
        <v>Proteccion Contra Incendios (Todos)</v>
      </c>
      <c r="C5773" s="90" t="str">
        <v/>
      </c>
      <c r="D5773" s="89" t="str">
        <v>Periódica</v>
      </c>
      <c r="E5773" s="89">
        <v>365</v>
      </c>
      <c r="F5773" s="89" t="str">
        <v/>
      </c>
      <c r="G5773" s="89" t="str">
        <f ca="1"/>
        <v/>
      </c>
    </row>
    <row r="5774" spans="1:7" x14ac:dyDescent="0.3">
      <c r="A5774" s="89" t="str">
        <v/>
      </c>
      <c r="B5774" s="89" t="str">
        <v>Proteccion Contra Incendios (Brigadistas)</v>
      </c>
      <c r="C5774" s="90" t="str">
        <v/>
      </c>
      <c r="D5774" s="89" t="str">
        <v>Periódica</v>
      </c>
      <c r="E5774" s="89">
        <v>365</v>
      </c>
      <c r="F5774" s="89" t="str">
        <v/>
      </c>
      <c r="G5774" s="89" t="str">
        <f ca="1"/>
        <v/>
      </c>
    </row>
    <row r="5775" spans="1:7" x14ac:dyDescent="0.3">
      <c r="A5775" s="89" t="str">
        <v/>
      </c>
      <c r="B5775" s="89" t="str">
        <v>Primeros Auxilios (Brigadistas)</v>
      </c>
      <c r="C5775" s="90" t="str">
        <v/>
      </c>
      <c r="D5775" s="89" t="str">
        <v>Periódica</v>
      </c>
      <c r="E5775" s="89">
        <v>365</v>
      </c>
      <c r="F5775" s="89" t="str">
        <v/>
      </c>
      <c r="G5775" s="89" t="str">
        <f ca="1"/>
        <v/>
      </c>
    </row>
    <row r="5776" spans="1:7" x14ac:dyDescent="0.3">
      <c r="A5776" s="89" t="str">
        <v/>
      </c>
      <c r="B5776" s="89" t="str">
        <v>Seguridad Electrica (Todos)</v>
      </c>
      <c r="C5776" s="90" t="str">
        <v/>
      </c>
      <c r="D5776" s="89" t="str">
        <v>Periódica</v>
      </c>
      <c r="E5776" s="89">
        <v>365</v>
      </c>
      <c r="F5776" s="89" t="str">
        <v/>
      </c>
      <c r="G5776" s="89" t="str">
        <f ca="1"/>
        <v/>
      </c>
    </row>
    <row r="5777" spans="1:7" x14ac:dyDescent="0.3">
      <c r="A5777" s="89" t="str">
        <v/>
      </c>
      <c r="B5777" s="89" t="str">
        <v>Seguridad Electrica (Personal Autorizado)</v>
      </c>
      <c r="C5777" s="90" t="str">
        <v/>
      </c>
      <c r="D5777" s="89" t="str">
        <v>Periódica</v>
      </c>
      <c r="E5777" s="89">
        <v>1095</v>
      </c>
      <c r="F5777" s="89" t="str">
        <v/>
      </c>
      <c r="G5777" s="89" t="str">
        <f ca="1"/>
        <v/>
      </c>
    </row>
    <row r="5778" spans="1:7" x14ac:dyDescent="0.3">
      <c r="A5778" s="89" t="str">
        <v/>
      </c>
      <c r="B5778" s="89" t="str">
        <v>Camiones Industriales Motorizados (PIT) (Todos)</v>
      </c>
      <c r="C5778" s="90" t="str">
        <v/>
      </c>
      <c r="D5778" s="89" t="str">
        <v>Periódica</v>
      </c>
      <c r="E5778" s="89">
        <v>365</v>
      </c>
      <c r="F5778" s="89" t="str">
        <v/>
      </c>
      <c r="G5778" s="89" t="str">
        <f ca="1"/>
        <v/>
      </c>
    </row>
    <row r="5779" spans="1:7" x14ac:dyDescent="0.3">
      <c r="A5779" s="89" t="str">
        <v/>
      </c>
      <c r="B5779" s="89" t="str">
        <v>Camiones Industriales Motorizados (PIT) (Op. Montacargas)</v>
      </c>
      <c r="C5779" s="90" t="str">
        <v/>
      </c>
      <c r="D5779" s="89" t="str">
        <v>Periódica</v>
      </c>
      <c r="E5779" s="89">
        <v>365</v>
      </c>
      <c r="F5779" s="89" t="str">
        <v/>
      </c>
      <c r="G5779" s="89" t="str">
        <f ca="1"/>
        <v/>
      </c>
    </row>
    <row r="5780" spans="1:7" x14ac:dyDescent="0.3">
      <c r="A5780" s="89" t="str">
        <v/>
      </c>
      <c r="B5780" s="89" t="str">
        <v>Control de Energias Peligrosas (LOTO) (Todos)</v>
      </c>
      <c r="C5780" s="90" t="str">
        <v/>
      </c>
      <c r="D5780" s="89" t="str">
        <v>Evento</v>
      </c>
      <c r="E5780" s="89">
        <v>0</v>
      </c>
      <c r="F5780" s="89" t="str">
        <v/>
      </c>
      <c r="G5780" s="89" t="str">
        <f ca="1"/>
        <v/>
      </c>
    </row>
    <row r="5781" spans="1:7" x14ac:dyDescent="0.3">
      <c r="A5781" s="89" t="str">
        <v/>
      </c>
      <c r="B5781" s="89" t="str">
        <v>Control de Energias Peligrosas (LOTO) (Empleados Autorizados)</v>
      </c>
      <c r="C5781" s="90" t="str">
        <v/>
      </c>
      <c r="D5781" s="89" t="str">
        <v>Periódica</v>
      </c>
      <c r="E5781" s="89">
        <v>365</v>
      </c>
      <c r="F5781" s="89" t="str">
        <v/>
      </c>
      <c r="G5781" s="89" t="str">
        <f ca="1"/>
        <v/>
      </c>
    </row>
    <row r="5782" spans="1:7" x14ac:dyDescent="0.3">
      <c r="A5782" s="89" t="str">
        <v/>
      </c>
      <c r="B5782" s="89" t="str">
        <v>Seguridad aplicada al Pozo &amp; Yacimiento</v>
      </c>
      <c r="C5782" s="90" t="str">
        <v/>
      </c>
      <c r="D5782" s="89" t="str">
        <v>Periódica</v>
      </c>
      <c r="E5782" s="89">
        <v>365</v>
      </c>
      <c r="F5782" s="89" t="str">
        <v/>
      </c>
      <c r="G5782" s="89" t="str">
        <f ca="1"/>
        <v/>
      </c>
    </row>
    <row r="5783" spans="1:7" x14ac:dyDescent="0.3">
      <c r="A5783" s="89" t="str">
        <v/>
      </c>
      <c r="B5783" s="89" t="str">
        <v>Las Reglas que Salvan Vidas</v>
      </c>
      <c r="C5783" s="90" t="str">
        <v/>
      </c>
      <c r="D5783" s="89" t="str">
        <v>Periódica</v>
      </c>
      <c r="E5783" s="89">
        <v>365</v>
      </c>
      <c r="F5783" s="89" t="str">
        <v/>
      </c>
      <c r="G5783" s="89" t="str">
        <f ca="1"/>
        <v/>
      </c>
    </row>
    <row r="5784" spans="1:7" x14ac:dyDescent="0.3">
      <c r="A5784" s="89" t="str">
        <v/>
      </c>
      <c r="B5784" s="89" t="str">
        <v xml:space="preserve">Resguardo de Maquinas &amp; Equipos </v>
      </c>
      <c r="C5784" s="90" t="str">
        <v/>
      </c>
      <c r="D5784" s="89" t="str">
        <v>Periódica</v>
      </c>
      <c r="E5784" s="89">
        <v>365</v>
      </c>
      <c r="F5784" s="89" t="str">
        <v/>
      </c>
      <c r="G5784" s="89" t="str">
        <f ca="1"/>
        <v/>
      </c>
    </row>
    <row r="5785" spans="1:7" x14ac:dyDescent="0.3">
      <c r="A5785" s="89" t="str">
        <v/>
      </c>
      <c r="B5785" s="89" t="str">
        <v>Conduccion y Gestion de Viajes (Todos)</v>
      </c>
      <c r="C5785" s="90" t="str">
        <v/>
      </c>
      <c r="D5785" s="89" t="str">
        <v>Periódica</v>
      </c>
      <c r="E5785" s="89">
        <v>730</v>
      </c>
      <c r="F5785" s="89" t="str">
        <v/>
      </c>
      <c r="G5785" s="89" t="str">
        <f ca="1"/>
        <v/>
      </c>
    </row>
    <row r="5786" spans="1:7" x14ac:dyDescent="0.3">
      <c r="A5786" s="89" t="str">
        <v/>
      </c>
      <c r="B5786" s="89" t="str">
        <v>Conduccion y Gestion de Viajes (Conductores)</v>
      </c>
      <c r="C5786" s="90" t="str">
        <v/>
      </c>
      <c r="D5786" s="89" t="str">
        <v>Periódica</v>
      </c>
      <c r="E5786" s="89">
        <v>1095</v>
      </c>
      <c r="F5786" s="89" t="str">
        <v/>
      </c>
      <c r="G5786" s="89" t="str">
        <f ca="1"/>
        <v/>
      </c>
    </row>
    <row r="5787" spans="1:7" x14ac:dyDescent="0.3">
      <c r="A5787" s="89" t="str">
        <v/>
      </c>
      <c r="B5787" s="89" t="str">
        <v>Patogenos Transmitidos por la Sangre</v>
      </c>
      <c r="C5787" s="90" t="str">
        <v/>
      </c>
      <c r="D5787" s="89" t="str">
        <v>Periódica</v>
      </c>
      <c r="E5787" s="89">
        <v>365</v>
      </c>
      <c r="F5787" s="89" t="str">
        <v/>
      </c>
      <c r="G5787" s="89" t="str">
        <f ca="1"/>
        <v/>
      </c>
    </row>
    <row r="5788" spans="1:7" x14ac:dyDescent="0.3">
      <c r="A5788" s="89" t="str">
        <v/>
      </c>
      <c r="B5788" s="89" t="str">
        <v>Conservacion Auditiva</v>
      </c>
      <c r="C5788" s="90" t="str">
        <v/>
      </c>
      <c r="D5788" s="89" t="str">
        <v>Periódica</v>
      </c>
      <c r="E5788" s="89">
        <v>365</v>
      </c>
      <c r="F5788" s="89" t="str">
        <v/>
      </c>
      <c r="G5788" s="89" t="str">
        <f ca="1"/>
        <v/>
      </c>
    </row>
    <row r="5789" spans="1:7" x14ac:dyDescent="0.3">
      <c r="A5789" s="89" t="str">
        <v/>
      </c>
      <c r="B5789" s="89" t="str">
        <v xml:space="preserve">Ergonomia //  / Levantamiento &amp; Seguridad en la Espalda </v>
      </c>
      <c r="C5789" s="90" t="str">
        <v/>
      </c>
      <c r="D5789" s="89" t="str">
        <v>Periódica</v>
      </c>
      <c r="E5789" s="89">
        <v>365</v>
      </c>
      <c r="F5789" s="89" t="str">
        <v/>
      </c>
      <c r="G5789" s="89" t="str">
        <f ca="1"/>
        <v/>
      </c>
    </row>
    <row r="5790" spans="1:7" x14ac:dyDescent="0.3">
      <c r="A5790" s="89" t="str">
        <v/>
      </c>
      <c r="B5790" s="89" t="str">
        <v>Superficies Elevadas (Todos)</v>
      </c>
      <c r="C5790" s="90" t="str">
        <v/>
      </c>
      <c r="D5790" s="89" t="str">
        <v>Periódica</v>
      </c>
      <c r="E5790" s="89">
        <v>365</v>
      </c>
      <c r="F5790" s="89" t="str">
        <v/>
      </c>
      <c r="G5790" s="89" t="str">
        <f ca="1"/>
        <v/>
      </c>
    </row>
    <row r="5791" spans="1:7" x14ac:dyDescent="0.3">
      <c r="A5791" s="89" t="str">
        <v/>
      </c>
      <c r="B5791" s="89" t="str">
        <v>Superficies Elevadas (Personal Habilitado)</v>
      </c>
      <c r="C5791" s="90" t="str">
        <v/>
      </c>
      <c r="D5791" s="89" t="str">
        <v>Periódica</v>
      </c>
      <c r="E5791" s="89">
        <v>365</v>
      </c>
      <c r="F5791" s="89" t="str">
        <v/>
      </c>
      <c r="G5791" s="89" t="str">
        <f ca="1"/>
        <v/>
      </c>
    </row>
    <row r="5792" spans="1:7" x14ac:dyDescent="0.3">
      <c r="A5792" s="89" t="str">
        <v/>
      </c>
      <c r="B5792" s="89" t="str">
        <v>Seguridad Quimica (Todos)</v>
      </c>
      <c r="C5792" s="90" t="str">
        <v/>
      </c>
      <c r="D5792" s="89" t="str">
        <v>Periódica</v>
      </c>
      <c r="E5792" s="89">
        <v>730</v>
      </c>
      <c r="F5792" s="89" t="str">
        <v/>
      </c>
      <c r="G5792" s="89" t="str">
        <f ca="1"/>
        <v/>
      </c>
    </row>
    <row r="5793" spans="1:7" x14ac:dyDescent="0.3">
      <c r="A5793" s="89" t="str">
        <v/>
      </c>
      <c r="B5793" s="89" t="str">
        <v>Seguridad Quimica (Mantenimiento)</v>
      </c>
      <c r="C5793" s="90" t="str">
        <v/>
      </c>
      <c r="D5793" s="89" t="str">
        <v>Periódica</v>
      </c>
      <c r="E5793" s="89">
        <v>365</v>
      </c>
      <c r="F5793" s="89" t="str">
        <v/>
      </c>
      <c r="G5793" s="89" t="str">
        <f ca="1"/>
        <v/>
      </c>
    </row>
    <row r="5794" spans="1:7" x14ac:dyDescent="0.3">
      <c r="A5794" s="89" t="str">
        <v/>
      </c>
      <c r="B5794" s="89" t="str">
        <v>Seguridad Quimica (Contratistas)</v>
      </c>
      <c r="C5794" s="90" t="str">
        <v/>
      </c>
      <c r="D5794" s="89" t="str">
        <v>Periódica</v>
      </c>
      <c r="E5794" s="89">
        <v>365</v>
      </c>
      <c r="F5794" s="89" t="str">
        <v/>
      </c>
      <c r="G5794" s="89" t="str">
        <f ca="1"/>
        <v/>
      </c>
    </row>
    <row r="5795" spans="1:7" x14ac:dyDescent="0.3">
      <c r="A5795" s="89" t="str">
        <v/>
      </c>
      <c r="B5795" s="89" t="str">
        <v>Seguridad para Trabajos en Caliente</v>
      </c>
      <c r="C5795" s="90" t="str">
        <v/>
      </c>
      <c r="D5795" s="89" t="str">
        <v>Periódica</v>
      </c>
      <c r="E5795" s="89">
        <v>365</v>
      </c>
      <c r="F5795" s="89" t="str">
        <v/>
      </c>
      <c r="G5795" s="89" t="str">
        <f ca="1"/>
        <v/>
      </c>
    </row>
    <row r="5796" spans="1:7" x14ac:dyDescent="0.3">
      <c r="A5796" s="89" t="str">
        <v/>
      </c>
      <c r="B5796" s="89" t="str">
        <v>Seguridad con la Radiacion</v>
      </c>
      <c r="C5796" s="90" t="str">
        <v/>
      </c>
      <c r="D5796" s="89" t="str">
        <v>Periódica</v>
      </c>
      <c r="E5796" s="89">
        <v>365</v>
      </c>
      <c r="F5796" s="89" t="str">
        <v/>
      </c>
      <c r="G5796" s="89" t="str">
        <f ca="1"/>
        <v/>
      </c>
    </row>
    <row r="5797" spans="1:7" x14ac:dyDescent="0.3">
      <c r="A5797" s="89" t="str">
        <v/>
      </c>
      <c r="B5797" s="89" t="str">
        <v>Equipo de Proteccion Personal (PPE)</v>
      </c>
      <c r="C5797" s="90" t="str">
        <v/>
      </c>
      <c r="D5797" s="89" t="str">
        <v>Periódica</v>
      </c>
      <c r="E5797" s="89">
        <v>365</v>
      </c>
      <c r="F5797" s="89" t="str">
        <v/>
      </c>
      <c r="G5797" s="89" t="str">
        <f ca="1"/>
        <v/>
      </c>
    </row>
    <row r="5798" spans="1:7" x14ac:dyDescent="0.3">
      <c r="A5798" s="89" t="str">
        <v/>
      </c>
      <c r="B5798" s="89" t="str">
        <v>Proteccion Respiratoria</v>
      </c>
      <c r="C5798" s="90" t="str">
        <v/>
      </c>
      <c r="D5798" s="89" t="str">
        <v>Periódica</v>
      </c>
      <c r="E5798" s="89">
        <v>365</v>
      </c>
      <c r="F5798" s="89" t="str">
        <v/>
      </c>
      <c r="G5798" s="89" t="str">
        <f ca="1"/>
        <v/>
      </c>
    </row>
    <row r="5799" spans="1:7" x14ac:dyDescent="0.3">
      <c r="A5799" s="89" t="str">
        <v/>
      </c>
      <c r="B5799" s="89" t="str">
        <v xml:space="preserve">Seguridad con Escaleras </v>
      </c>
      <c r="C5799" s="90" t="str">
        <v/>
      </c>
      <c r="D5799" s="89" t="str">
        <v>Periódica</v>
      </c>
      <c r="E5799" s="89">
        <v>365</v>
      </c>
      <c r="F5799" s="89" t="str">
        <v/>
      </c>
      <c r="G5799" s="89" t="str">
        <f ca="1"/>
        <v/>
      </c>
    </row>
    <row r="5800" spans="1:7" x14ac:dyDescent="0.3">
      <c r="A5800" s="89" t="str">
        <v/>
      </c>
      <c r="B5800" s="89" t="str">
        <v>Seguridad con Escaleras // Estantes de Almacenamiento</v>
      </c>
      <c r="C5800" s="90" t="str">
        <v/>
      </c>
      <c r="D5800" s="89" t="str">
        <v>Periódica</v>
      </c>
      <c r="E5800" s="89">
        <v>365</v>
      </c>
      <c r="F5800" s="89" t="str">
        <v/>
      </c>
      <c r="G5800" s="89" t="str">
        <f ca="1"/>
        <v/>
      </c>
    </row>
    <row r="5801" spans="1:7" x14ac:dyDescent="0.3">
      <c r="A5801" s="89" t="str">
        <v/>
      </c>
      <c r="B5801" s="89" t="str">
        <v>Responsabilidades del Supervisor</v>
      </c>
      <c r="C5801" s="90" t="str">
        <v/>
      </c>
      <c r="D5801" s="89" t="str">
        <v>Periódica</v>
      </c>
      <c r="E5801" s="89">
        <v>365</v>
      </c>
      <c r="F5801" s="89" t="str">
        <v/>
      </c>
      <c r="G5801" s="89" t="str">
        <f ca="1"/>
        <v/>
      </c>
    </row>
    <row r="5802" spans="1:7" x14ac:dyDescent="0.3">
      <c r="A5802" s="89" t="str">
        <v/>
      </c>
      <c r="B5802" s="89" t="str">
        <v>Espacios Confinados (Todos)</v>
      </c>
      <c r="C5802" s="90" t="str">
        <v/>
      </c>
      <c r="D5802" s="89" t="str">
        <v>Periódica</v>
      </c>
      <c r="E5802" s="89">
        <v>365</v>
      </c>
      <c r="F5802" s="89" t="str">
        <v/>
      </c>
      <c r="G5802" s="89" t="str">
        <f ca="1"/>
        <v/>
      </c>
    </row>
    <row r="5803" spans="1:7" x14ac:dyDescent="0.3">
      <c r="A5803" s="89" t="str">
        <v/>
      </c>
      <c r="B5803" s="89" t="str">
        <v>HSMS.017 / Espacios Confinados (Entrantes)</v>
      </c>
      <c r="C5803" s="90" t="str">
        <v/>
      </c>
      <c r="D5803" s="89" t="str">
        <v>Evento</v>
      </c>
      <c r="E5803" s="89">
        <v>0</v>
      </c>
      <c r="F5803" s="89" t="str">
        <v/>
      </c>
      <c r="G5803" s="89" t="str">
        <f ca="1"/>
        <v/>
      </c>
    </row>
    <row r="5804" spans="1:7" x14ac:dyDescent="0.3">
      <c r="A5804" s="89" t="str">
        <v/>
      </c>
      <c r="B5804" s="89" t="str">
        <v>Programa de Agua (Todos)</v>
      </c>
      <c r="C5804" s="90" t="str">
        <v/>
      </c>
      <c r="D5804" s="89" t="str">
        <v>Evento</v>
      </c>
      <c r="E5804" s="89">
        <v>0</v>
      </c>
      <c r="F5804" s="89" t="str">
        <v/>
      </c>
      <c r="G5804" s="89" t="str">
        <f ca="1"/>
        <v/>
      </c>
    </row>
    <row r="5805" spans="1:7" x14ac:dyDescent="0.3">
      <c r="A5805" s="89" t="str">
        <v/>
      </c>
      <c r="B5805" s="89" t="str">
        <v>Programa de Agua (HSE)</v>
      </c>
      <c r="C5805" s="90" t="str">
        <v/>
      </c>
      <c r="D5805" s="89" t="str">
        <v>Evento</v>
      </c>
      <c r="E5805" s="89">
        <v>0</v>
      </c>
      <c r="F5805" s="89" t="str">
        <v/>
      </c>
      <c r="G5805" s="89" t="str">
        <f ca="1"/>
        <v/>
      </c>
    </row>
    <row r="5806" spans="1:7" x14ac:dyDescent="0.3">
      <c r="A5806" s="89" t="str">
        <v/>
      </c>
      <c r="B5806" s="89" t="str">
        <v>HIV/SIDA y otras enfermedades de transmisión sexual (ETS)</v>
      </c>
      <c r="C5806" s="90" t="str">
        <v/>
      </c>
      <c r="D5806" s="89" t="str">
        <v>Periódica</v>
      </c>
      <c r="E5806" s="89">
        <v>365</v>
      </c>
      <c r="F5806" s="89" t="str">
        <v/>
      </c>
      <c r="G5806" s="89" t="str">
        <f ca="1"/>
        <v/>
      </c>
    </row>
    <row r="5807" spans="1:7" x14ac:dyDescent="0.3">
      <c r="A5807" s="89" t="str">
        <v/>
      </c>
      <c r="B5807" s="89" t="str">
        <v>Drogas de abuso (concientización y prevención)</v>
      </c>
      <c r="C5807" s="90" t="str">
        <v/>
      </c>
      <c r="D5807" s="89" t="str">
        <v>Periódica</v>
      </c>
      <c r="E5807" s="89">
        <v>365</v>
      </c>
      <c r="F5807" s="89" t="str">
        <v/>
      </c>
      <c r="G5807" s="89" t="str">
        <f ca="1"/>
        <v/>
      </c>
    </row>
    <row r="5808" spans="1:7" x14ac:dyDescent="0.3">
      <c r="A5808" s="89" t="str">
        <v/>
      </c>
      <c r="B5808" s="89" t="str">
        <v>Vida saludable (hábitos, autocuidado y bienestar)</v>
      </c>
      <c r="C5808" s="90" t="str">
        <v/>
      </c>
      <c r="D5808" s="89" t="str">
        <v>Periódica</v>
      </c>
      <c r="E5808" s="89">
        <v>365</v>
      </c>
      <c r="F5808" s="89" t="str">
        <v/>
      </c>
      <c r="G5808" s="89" t="str">
        <f ca="1"/>
        <v/>
      </c>
    </row>
    <row r="5809" spans="1:7" x14ac:dyDescent="0.3">
      <c r="A5809" s="89" t="str">
        <v/>
      </c>
      <c r="B5809" s="89" t="str">
        <v>Primeros auxilios y Reanimación Cardio Pulmonar (RCP)</v>
      </c>
      <c r="C5809" s="90" t="str">
        <v/>
      </c>
      <c r="D5809" s="89" t="str">
        <v>Periódica</v>
      </c>
      <c r="E5809" s="89">
        <v>365</v>
      </c>
      <c r="F5809" s="89" t="str">
        <v/>
      </c>
      <c r="G5809" s="89" t="str">
        <f ca="1"/>
        <v/>
      </c>
    </row>
    <row r="5810" spans="1:7" x14ac:dyDescent="0.3">
      <c r="A5810" s="89" t="str">
        <v/>
      </c>
      <c r="B5810" s="89" t="str">
        <v>Prevención cardiovascular (factores de riesgo y señales de alarma)</v>
      </c>
      <c r="C5810" s="90" t="str">
        <v/>
      </c>
      <c r="D5810" s="89" t="str">
        <v>Periódica</v>
      </c>
      <c r="E5810" s="89">
        <v>365</v>
      </c>
      <c r="F5810" s="89" t="str">
        <v/>
      </c>
      <c r="G5810" s="89" t="str">
        <f ca="1"/>
        <v/>
      </c>
    </row>
    <row r="5811" spans="1:7" x14ac:dyDescent="0.3">
      <c r="A5811" s="89" t="str">
        <v/>
      </c>
      <c r="B5811" s="89" t="str">
        <v>Efectos del tabaco sobre la salud</v>
      </c>
      <c r="C5811" s="90" t="str">
        <v/>
      </c>
      <c r="D5811" s="89" t="str">
        <v>Periódica</v>
      </c>
      <c r="E5811" s="89">
        <v>365</v>
      </c>
      <c r="F5811" s="89" t="str">
        <v/>
      </c>
      <c r="G5811" s="89" t="str">
        <f ca="1"/>
        <v/>
      </c>
    </row>
    <row r="5812" spans="1:7" x14ac:dyDescent="0.3">
      <c r="A5812" s="89" t="str">
        <v/>
      </c>
      <c r="B5812" s="89" t="str">
        <v>Cargadora (Op. Montacargas)</v>
      </c>
      <c r="C5812" s="90" t="str">
        <v/>
      </c>
      <c r="D5812" s="89" t="str">
        <v>Periódica</v>
      </c>
      <c r="E5812" s="89">
        <v>365</v>
      </c>
      <c r="F5812" s="89" t="str">
        <v/>
      </c>
      <c r="G5812" s="89" t="str">
        <f ca="1"/>
        <v/>
      </c>
    </row>
    <row r="5813" spans="1:7" x14ac:dyDescent="0.3">
      <c r="A5813" s="89" t="str">
        <v/>
      </c>
      <c r="B5813" s="89">
        <v>0</v>
      </c>
      <c r="C5813" s="90" t="str">
        <v/>
      </c>
      <c r="D5813" s="89" t="str">
        <v/>
      </c>
      <c r="E5813" s="89" t="str">
        <v/>
      </c>
      <c r="F5813" s="89" t="str">
        <v/>
      </c>
      <c r="G5813" s="89" t="str">
        <f ca="1"/>
        <v/>
      </c>
    </row>
    <row r="5814" spans="1:7" x14ac:dyDescent="0.3">
      <c r="A5814" s="89" t="str">
        <v/>
      </c>
      <c r="B5814" s="89">
        <v>0</v>
      </c>
      <c r="C5814" s="90" t="str">
        <v/>
      </c>
      <c r="D5814" s="89" t="str">
        <v/>
      </c>
      <c r="E5814" s="89" t="str">
        <v/>
      </c>
      <c r="F5814" s="89" t="str">
        <v/>
      </c>
      <c r="G5814" s="89" t="str">
        <f ca="1"/>
        <v/>
      </c>
    </row>
    <row r="5815" spans="1:7" x14ac:dyDescent="0.3">
      <c r="A5815" s="89" t="str">
        <v/>
      </c>
      <c r="B5815" s="89">
        <v>0</v>
      </c>
      <c r="C5815" s="90" t="str">
        <v/>
      </c>
      <c r="D5815" s="89" t="str">
        <v/>
      </c>
      <c r="E5815" s="89" t="str">
        <v/>
      </c>
      <c r="F5815" s="89" t="str">
        <v/>
      </c>
      <c r="G5815" s="89" t="str">
        <f ca="1"/>
        <v/>
      </c>
    </row>
    <row r="5816" spans="1:7" x14ac:dyDescent="0.3">
      <c r="A5816" s="89" t="str">
        <v/>
      </c>
      <c r="B5816" s="89">
        <v>0</v>
      </c>
      <c r="C5816" s="90" t="str">
        <v/>
      </c>
      <c r="D5816" s="89" t="str">
        <v/>
      </c>
      <c r="E5816" s="89" t="str">
        <v/>
      </c>
      <c r="F5816" s="89" t="str">
        <v/>
      </c>
      <c r="G5816" s="89" t="str">
        <f ca="1"/>
        <v/>
      </c>
    </row>
    <row r="5817" spans="1:7" x14ac:dyDescent="0.3">
      <c r="A5817" s="89" t="str">
        <v/>
      </c>
      <c r="B5817" s="89">
        <v>0</v>
      </c>
      <c r="C5817" s="90" t="str">
        <v/>
      </c>
      <c r="D5817" s="89" t="str">
        <v/>
      </c>
      <c r="E5817" s="89" t="str">
        <v/>
      </c>
      <c r="F5817" s="89" t="str">
        <v/>
      </c>
      <c r="G5817" s="89" t="str">
        <f ca="1"/>
        <v/>
      </c>
    </row>
    <row r="5818" spans="1:7" x14ac:dyDescent="0.3">
      <c r="A5818" s="89" t="str">
        <v/>
      </c>
      <c r="B5818" s="89">
        <v>0</v>
      </c>
      <c r="C5818" s="90" t="str">
        <v/>
      </c>
      <c r="D5818" s="89" t="str">
        <v/>
      </c>
      <c r="E5818" s="89" t="str">
        <v/>
      </c>
      <c r="F5818" s="89" t="str">
        <v/>
      </c>
      <c r="G5818" s="89" t="str">
        <f ca="1"/>
        <v/>
      </c>
    </row>
    <row r="5819" spans="1:7" x14ac:dyDescent="0.3">
      <c r="A5819" s="89" t="str">
        <v/>
      </c>
      <c r="B5819" s="89">
        <v>0</v>
      </c>
      <c r="C5819" s="90" t="str">
        <v/>
      </c>
      <c r="D5819" s="89" t="str">
        <v/>
      </c>
      <c r="E5819" s="89" t="str">
        <v/>
      </c>
      <c r="F5819" s="89" t="str">
        <v/>
      </c>
      <c r="G5819" s="89" t="str">
        <f ca="1"/>
        <v/>
      </c>
    </row>
    <row r="5820" spans="1:7" x14ac:dyDescent="0.3">
      <c r="A5820" s="89" t="str">
        <v/>
      </c>
      <c r="B5820" s="89">
        <v>0</v>
      </c>
      <c r="C5820" s="90" t="str">
        <v/>
      </c>
      <c r="D5820" s="89" t="str">
        <v/>
      </c>
      <c r="E5820" s="89" t="str">
        <v/>
      </c>
      <c r="F5820" s="89" t="str">
        <v/>
      </c>
      <c r="G5820" s="89" t="str">
        <f ca="1"/>
        <v/>
      </c>
    </row>
    <row r="5821" spans="1:7" x14ac:dyDescent="0.3">
      <c r="A5821" s="89" t="str">
        <v/>
      </c>
      <c r="B5821" s="89">
        <v>0</v>
      </c>
      <c r="C5821" s="90" t="str">
        <v/>
      </c>
      <c r="D5821" s="89" t="str">
        <v/>
      </c>
      <c r="E5821" s="89" t="str">
        <v/>
      </c>
      <c r="F5821" s="89" t="str">
        <v/>
      </c>
      <c r="G5821" s="89" t="str">
        <f ca="1"/>
        <v/>
      </c>
    </row>
    <row r="5822" spans="1:7" x14ac:dyDescent="0.3">
      <c r="A5822" s="89" t="str">
        <v/>
      </c>
      <c r="B5822" s="89" t="str">
        <v>Programa de Aire</v>
      </c>
      <c r="C5822" s="90" t="str">
        <v/>
      </c>
      <c r="D5822" s="89" t="str">
        <v>Evento</v>
      </c>
      <c r="E5822" s="89">
        <v>0</v>
      </c>
      <c r="F5822" s="89" t="str">
        <v/>
      </c>
      <c r="G5822" s="89" t="str">
        <f ca="1"/>
        <v/>
      </c>
    </row>
    <row r="5823" spans="1:7" x14ac:dyDescent="0.3">
      <c r="A5823" s="89" t="str">
        <v/>
      </c>
      <c r="B5823" s="89" t="str">
        <v>Conciencia Ambiental</v>
      </c>
      <c r="C5823" s="90" t="str">
        <v/>
      </c>
      <c r="D5823" s="89" t="str">
        <v>Periódica</v>
      </c>
      <c r="E5823" s="89">
        <v>365</v>
      </c>
      <c r="F5823" s="89" t="str">
        <v/>
      </c>
      <c r="G5823" s="89" t="str">
        <f ca="1"/>
        <v/>
      </c>
    </row>
    <row r="5824" spans="1:7" x14ac:dyDescent="0.3">
      <c r="A5824" s="89" t="str">
        <v/>
      </c>
      <c r="B5824" s="89" t="str">
        <v xml:space="preserve">Control de Documentos e Informacion de HSE </v>
      </c>
      <c r="C5824" s="90" t="str">
        <v/>
      </c>
      <c r="D5824" s="89" t="str">
        <v>Evento</v>
      </c>
      <c r="E5824" s="89">
        <v>0</v>
      </c>
      <c r="F5824" s="89" t="str">
        <v/>
      </c>
      <c r="G5824" s="89" t="str">
        <f ca="1"/>
        <v/>
      </c>
    </row>
    <row r="5825" spans="1:7" x14ac:dyDescent="0.3">
      <c r="A5825" s="89" t="str">
        <v/>
      </c>
      <c r="B5825" s="89" t="str">
        <v xml:space="preserve"> Acciones Correctivas y Preventivas (CAPA)</v>
      </c>
      <c r="C5825" s="90" t="str">
        <v/>
      </c>
      <c r="D5825" s="89" t="str">
        <v>Evento</v>
      </c>
      <c r="E5825" s="89">
        <v>0</v>
      </c>
      <c r="F5825" s="89" t="str">
        <v/>
      </c>
      <c r="G5825" s="89" t="str">
        <f ca="1"/>
        <v/>
      </c>
    </row>
    <row r="5826" spans="1:7" x14ac:dyDescent="0.3">
      <c r="A5826" s="89" t="str">
        <v/>
      </c>
      <c r="B5826" s="89" t="str">
        <v>Seguridad Basada en el Comportamiento (Observation Program) // HSMS.043 / Autoridad de Detener el Trabajo</v>
      </c>
      <c r="C5826" s="90" t="str">
        <v/>
      </c>
      <c r="D5826" s="89" t="str">
        <v>Periódica</v>
      </c>
      <c r="E5826" s="89">
        <v>365</v>
      </c>
      <c r="F5826" s="89" t="str">
        <v/>
      </c>
      <c r="G5826" s="89" t="str">
        <f ca="1"/>
        <v/>
      </c>
    </row>
    <row r="5827" spans="1:7" x14ac:dyDescent="0.3">
      <c r="A5827" s="89" t="str">
        <v/>
      </c>
      <c r="B5827" s="89" t="str">
        <v>Identificacion de Peligros y Evaluacion de Riesgos</v>
      </c>
      <c r="C5827" s="90" t="str">
        <v/>
      </c>
      <c r="D5827" s="89" t="str">
        <v>Evento</v>
      </c>
      <c r="E5827" s="89">
        <v>0</v>
      </c>
      <c r="F5827" s="89" t="str">
        <v/>
      </c>
      <c r="G5827" s="89" t="str">
        <f ca="1"/>
        <v/>
      </c>
    </row>
    <row r="5828" spans="1:7" x14ac:dyDescent="0.3">
      <c r="A5828" s="89" t="str">
        <v/>
      </c>
      <c r="B5828" s="89" t="str">
        <v xml:space="preserve"> Plan de Respuesta ante Eemergencias / HSMS.010 /Primeros Axulios &amp; RCP/DEA / HSMSWT-002 / Patogenos Trasnmitidos por la Sangre</v>
      </c>
      <c r="C5828" s="90" t="str">
        <v/>
      </c>
      <c r="D5828" s="89" t="str">
        <v>Periódica</v>
      </c>
      <c r="E5828" s="89">
        <v>365</v>
      </c>
      <c r="F5828" s="89" t="str">
        <v/>
      </c>
      <c r="G5828" s="89" t="str">
        <f ca="1"/>
        <v/>
      </c>
    </row>
    <row r="5829" spans="1:7" x14ac:dyDescent="0.3">
      <c r="A5829" s="89" t="str">
        <v/>
      </c>
      <c r="B5829" s="89" t="str">
        <v>Reporte y Gestion de Incidentes HSE (Todos)</v>
      </c>
      <c r="C5829" s="90" t="str">
        <v/>
      </c>
      <c r="D5829" s="89" t="str">
        <v>Periódica</v>
      </c>
      <c r="E5829" s="89">
        <v>365</v>
      </c>
      <c r="F5829" s="89" t="str">
        <v/>
      </c>
      <c r="G5829" s="89" t="str">
        <f ca="1"/>
        <v/>
      </c>
    </row>
    <row r="5830" spans="1:7" x14ac:dyDescent="0.3">
      <c r="A5830" s="89" t="str">
        <v/>
      </c>
      <c r="B5830" s="89" t="str">
        <v>Reporte, Gestion e Investigacion de Incidentes HSE (supervisores / investigadores (rol))</v>
      </c>
      <c r="C5830" s="90" t="str">
        <v/>
      </c>
      <c r="D5830" s="89" t="str">
        <v>Periódica</v>
      </c>
      <c r="E5830" s="89">
        <v>1095</v>
      </c>
      <c r="F5830" s="89" t="str">
        <v/>
      </c>
      <c r="G5830" s="89" t="str">
        <f ca="1"/>
        <v/>
      </c>
    </row>
    <row r="5831" spans="1:7" x14ac:dyDescent="0.3">
      <c r="A5831" s="89" t="str">
        <v/>
      </c>
      <c r="B5831" s="89" t="str">
        <v>Gruas y Equipos de Izaje (Todos)</v>
      </c>
      <c r="C5831" s="90" t="str">
        <v/>
      </c>
      <c r="D5831" s="89" t="str">
        <v>Periódica</v>
      </c>
      <c r="E5831" s="89">
        <v>365</v>
      </c>
      <c r="F5831" s="89" t="str">
        <v/>
      </c>
      <c r="G5831" s="89" t="str">
        <f ca="1"/>
        <v/>
      </c>
    </row>
    <row r="5832" spans="1:7" x14ac:dyDescent="0.3">
      <c r="A5832" s="89" t="str">
        <v/>
      </c>
      <c r="B5832" s="89" t="str">
        <v>HSMS.007 / Gruas y Equipos de Izaje (Operadores)</v>
      </c>
      <c r="C5832" s="90" t="str">
        <v/>
      </c>
      <c r="D5832" s="89" t="str">
        <v>Periódica</v>
      </c>
      <c r="E5832" s="89">
        <v>365</v>
      </c>
      <c r="F5832" s="89" t="str">
        <v/>
      </c>
      <c r="G5832" s="89" t="str">
        <f ca="1"/>
        <v/>
      </c>
    </row>
    <row r="5833" spans="1:7" x14ac:dyDescent="0.3">
      <c r="A5833" s="89" t="str">
        <v/>
      </c>
      <c r="B5833" s="89" t="str">
        <v>Proteccion Contra Incendios (Todos)</v>
      </c>
      <c r="C5833" s="90" t="str">
        <v/>
      </c>
      <c r="D5833" s="89" t="str">
        <v>Periódica</v>
      </c>
      <c r="E5833" s="89">
        <v>365</v>
      </c>
      <c r="F5833" s="89" t="str">
        <v/>
      </c>
      <c r="G5833" s="89" t="str">
        <f ca="1"/>
        <v/>
      </c>
    </row>
    <row r="5834" spans="1:7" x14ac:dyDescent="0.3">
      <c r="A5834" s="89" t="str">
        <v/>
      </c>
      <c r="B5834" s="89" t="str">
        <v>Proteccion Contra Incendios (Brigadistas)</v>
      </c>
      <c r="C5834" s="90" t="str">
        <v/>
      </c>
      <c r="D5834" s="89" t="str">
        <v>Periódica</v>
      </c>
      <c r="E5834" s="89">
        <v>365</v>
      </c>
      <c r="F5834" s="89" t="str">
        <v/>
      </c>
      <c r="G5834" s="89" t="str">
        <f ca="1"/>
        <v/>
      </c>
    </row>
    <row r="5835" spans="1:7" x14ac:dyDescent="0.3">
      <c r="A5835" s="89" t="str">
        <v/>
      </c>
      <c r="B5835" s="89" t="str">
        <v>Primeros Auxilios (Brigadistas)</v>
      </c>
      <c r="C5835" s="90" t="str">
        <v/>
      </c>
      <c r="D5835" s="89" t="str">
        <v>Periódica</v>
      </c>
      <c r="E5835" s="89">
        <v>365</v>
      </c>
      <c r="F5835" s="89" t="str">
        <v/>
      </c>
      <c r="G5835" s="89" t="str">
        <f ca="1"/>
        <v/>
      </c>
    </row>
    <row r="5836" spans="1:7" x14ac:dyDescent="0.3">
      <c r="A5836" s="89" t="str">
        <v/>
      </c>
      <c r="B5836" s="89" t="str">
        <v>Seguridad Electrica (Todos)</v>
      </c>
      <c r="C5836" s="90" t="str">
        <v/>
      </c>
      <c r="D5836" s="89" t="str">
        <v>Periódica</v>
      </c>
      <c r="E5836" s="89">
        <v>365</v>
      </c>
      <c r="F5836" s="89" t="str">
        <v/>
      </c>
      <c r="G5836" s="89" t="str">
        <f ca="1"/>
        <v/>
      </c>
    </row>
    <row r="5837" spans="1:7" x14ac:dyDescent="0.3">
      <c r="A5837" s="89" t="str">
        <v/>
      </c>
      <c r="B5837" s="89" t="str">
        <v>Seguridad Electrica (Personal Autorizado)</v>
      </c>
      <c r="C5837" s="90" t="str">
        <v/>
      </c>
      <c r="D5837" s="89" t="str">
        <v>Periódica</v>
      </c>
      <c r="E5837" s="89">
        <v>1095</v>
      </c>
      <c r="F5837" s="89" t="str">
        <v/>
      </c>
      <c r="G5837" s="89" t="str">
        <f ca="1"/>
        <v/>
      </c>
    </row>
    <row r="5838" spans="1:7" x14ac:dyDescent="0.3">
      <c r="A5838" s="89" t="str">
        <v/>
      </c>
      <c r="B5838" s="89" t="str">
        <v>Camiones Industriales Motorizados (PIT) (Todos)</v>
      </c>
      <c r="C5838" s="90" t="str">
        <v/>
      </c>
      <c r="D5838" s="89" t="str">
        <v>Periódica</v>
      </c>
      <c r="E5838" s="89">
        <v>365</v>
      </c>
      <c r="F5838" s="89" t="str">
        <v/>
      </c>
      <c r="G5838" s="89" t="str">
        <f ca="1"/>
        <v/>
      </c>
    </row>
    <row r="5839" spans="1:7" x14ac:dyDescent="0.3">
      <c r="A5839" s="89" t="str">
        <v/>
      </c>
      <c r="B5839" s="89" t="str">
        <v>Camiones Industriales Motorizados (PIT) (Op. Montacargas)</v>
      </c>
      <c r="C5839" s="90" t="str">
        <v/>
      </c>
      <c r="D5839" s="89" t="str">
        <v>Periódica</v>
      </c>
      <c r="E5839" s="89">
        <v>365</v>
      </c>
      <c r="F5839" s="89" t="str">
        <v/>
      </c>
      <c r="G5839" s="89" t="str">
        <f ca="1"/>
        <v/>
      </c>
    </row>
    <row r="5840" spans="1:7" x14ac:dyDescent="0.3">
      <c r="A5840" s="89" t="str">
        <v/>
      </c>
      <c r="B5840" s="89" t="str">
        <v>Control de Energias Peligrosas (LOTO) (Todos)</v>
      </c>
      <c r="C5840" s="90" t="str">
        <v/>
      </c>
      <c r="D5840" s="89" t="str">
        <v>Evento</v>
      </c>
      <c r="E5840" s="89">
        <v>0</v>
      </c>
      <c r="F5840" s="89" t="str">
        <v/>
      </c>
      <c r="G5840" s="89" t="str">
        <f ca="1"/>
        <v/>
      </c>
    </row>
    <row r="5841" spans="1:7" x14ac:dyDescent="0.3">
      <c r="A5841" s="89" t="str">
        <v/>
      </c>
      <c r="B5841" s="89" t="str">
        <v>Control de Energias Peligrosas (LOTO) (Empleados Autorizados)</v>
      </c>
      <c r="C5841" s="90" t="str">
        <v/>
      </c>
      <c r="D5841" s="89" t="str">
        <v>Periódica</v>
      </c>
      <c r="E5841" s="89">
        <v>365</v>
      </c>
      <c r="F5841" s="89" t="str">
        <v/>
      </c>
      <c r="G5841" s="89" t="str">
        <f ca="1"/>
        <v/>
      </c>
    </row>
    <row r="5842" spans="1:7" x14ac:dyDescent="0.3">
      <c r="A5842" s="89" t="str">
        <v/>
      </c>
      <c r="B5842" s="89" t="str">
        <v>Seguridad aplicada al Pozo &amp; Yacimiento</v>
      </c>
      <c r="C5842" s="90" t="str">
        <v/>
      </c>
      <c r="D5842" s="89" t="str">
        <v>Periódica</v>
      </c>
      <c r="E5842" s="89">
        <v>365</v>
      </c>
      <c r="F5842" s="89" t="str">
        <v/>
      </c>
      <c r="G5842" s="89" t="str">
        <f ca="1"/>
        <v/>
      </c>
    </row>
    <row r="5843" spans="1:7" x14ac:dyDescent="0.3">
      <c r="A5843" s="89" t="str">
        <v/>
      </c>
      <c r="B5843" s="89" t="str">
        <v>Las Reglas que Salvan Vidas</v>
      </c>
      <c r="C5843" s="90" t="str">
        <v/>
      </c>
      <c r="D5843" s="89" t="str">
        <v>Periódica</v>
      </c>
      <c r="E5843" s="89">
        <v>365</v>
      </c>
      <c r="F5843" s="89" t="str">
        <v/>
      </c>
      <c r="G5843" s="89" t="str">
        <f ca="1"/>
        <v/>
      </c>
    </row>
    <row r="5844" spans="1:7" x14ac:dyDescent="0.3">
      <c r="A5844" s="89" t="str">
        <v/>
      </c>
      <c r="B5844" s="89" t="str">
        <v xml:space="preserve">Resguardo de Maquinas &amp; Equipos </v>
      </c>
      <c r="C5844" s="90" t="str">
        <v/>
      </c>
      <c r="D5844" s="89" t="str">
        <v>Periódica</v>
      </c>
      <c r="E5844" s="89">
        <v>365</v>
      </c>
      <c r="F5844" s="89" t="str">
        <v/>
      </c>
      <c r="G5844" s="89" t="str">
        <f ca="1"/>
        <v/>
      </c>
    </row>
    <row r="5845" spans="1:7" x14ac:dyDescent="0.3">
      <c r="A5845" s="89" t="str">
        <v/>
      </c>
      <c r="B5845" s="89" t="str">
        <v>Conduccion y Gestion de Viajes (Todos)</v>
      </c>
      <c r="C5845" s="90" t="str">
        <v/>
      </c>
      <c r="D5845" s="89" t="str">
        <v>Periódica</v>
      </c>
      <c r="E5845" s="89">
        <v>730</v>
      </c>
      <c r="F5845" s="89" t="str">
        <v/>
      </c>
      <c r="G5845" s="89" t="str">
        <f ca="1"/>
        <v/>
      </c>
    </row>
    <row r="5846" spans="1:7" x14ac:dyDescent="0.3">
      <c r="A5846" s="89" t="str">
        <v/>
      </c>
      <c r="B5846" s="89" t="str">
        <v>Conduccion y Gestion de Viajes (Conductores)</v>
      </c>
      <c r="C5846" s="90" t="str">
        <v/>
      </c>
      <c r="D5846" s="89" t="str">
        <v>Periódica</v>
      </c>
      <c r="E5846" s="89">
        <v>1095</v>
      </c>
      <c r="F5846" s="89" t="str">
        <v/>
      </c>
      <c r="G5846" s="89" t="str">
        <f ca="1"/>
        <v/>
      </c>
    </row>
    <row r="5847" spans="1:7" x14ac:dyDescent="0.3">
      <c r="A5847" s="89" t="str">
        <v/>
      </c>
      <c r="B5847" s="89" t="str">
        <v>Patogenos Transmitidos por la Sangre</v>
      </c>
      <c r="C5847" s="90" t="str">
        <v/>
      </c>
      <c r="D5847" s="89" t="str">
        <v>Periódica</v>
      </c>
      <c r="E5847" s="89">
        <v>365</v>
      </c>
      <c r="F5847" s="89" t="str">
        <v/>
      </c>
      <c r="G5847" s="89" t="str">
        <f ca="1"/>
        <v/>
      </c>
    </row>
    <row r="5848" spans="1:7" x14ac:dyDescent="0.3">
      <c r="A5848" s="89" t="str">
        <v/>
      </c>
      <c r="B5848" s="89" t="str">
        <v>Conservacion Auditiva</v>
      </c>
      <c r="C5848" s="90" t="str">
        <v/>
      </c>
      <c r="D5848" s="89" t="str">
        <v>Periódica</v>
      </c>
      <c r="E5848" s="89">
        <v>365</v>
      </c>
      <c r="F5848" s="89" t="str">
        <v/>
      </c>
      <c r="G5848" s="89" t="str">
        <f ca="1"/>
        <v/>
      </c>
    </row>
    <row r="5849" spans="1:7" x14ac:dyDescent="0.3">
      <c r="A5849" s="89" t="str">
        <v/>
      </c>
      <c r="B5849" s="89" t="str">
        <v xml:space="preserve">Ergonomia //  / Levantamiento &amp; Seguridad en la Espalda </v>
      </c>
      <c r="C5849" s="90" t="str">
        <v/>
      </c>
      <c r="D5849" s="89" t="str">
        <v>Periódica</v>
      </c>
      <c r="E5849" s="89">
        <v>365</v>
      </c>
      <c r="F5849" s="89" t="str">
        <v/>
      </c>
      <c r="G5849" s="89" t="str">
        <f ca="1"/>
        <v/>
      </c>
    </row>
    <row r="5850" spans="1:7" x14ac:dyDescent="0.3">
      <c r="A5850" s="89" t="str">
        <v/>
      </c>
      <c r="B5850" s="89" t="str">
        <v>Superficies Elevadas (Todos)</v>
      </c>
      <c r="C5850" s="90" t="str">
        <v/>
      </c>
      <c r="D5850" s="89" t="str">
        <v>Periódica</v>
      </c>
      <c r="E5850" s="89">
        <v>365</v>
      </c>
      <c r="F5850" s="89" t="str">
        <v/>
      </c>
      <c r="G5850" s="89" t="str">
        <f ca="1"/>
        <v/>
      </c>
    </row>
    <row r="5851" spans="1:7" x14ac:dyDescent="0.3">
      <c r="A5851" s="89" t="str">
        <v/>
      </c>
      <c r="B5851" s="89" t="str">
        <v>Superficies Elevadas (Personal Habilitado)</v>
      </c>
      <c r="C5851" s="90" t="str">
        <v/>
      </c>
      <c r="D5851" s="89" t="str">
        <v>Periódica</v>
      </c>
      <c r="E5851" s="89">
        <v>365</v>
      </c>
      <c r="F5851" s="89" t="str">
        <v/>
      </c>
      <c r="G5851" s="89" t="str">
        <f ca="1"/>
        <v/>
      </c>
    </row>
    <row r="5852" spans="1:7" x14ac:dyDescent="0.3">
      <c r="A5852" s="89" t="str">
        <v/>
      </c>
      <c r="B5852" s="89" t="str">
        <v>Seguridad Quimica (Todos)</v>
      </c>
      <c r="C5852" s="90" t="str">
        <v/>
      </c>
      <c r="D5852" s="89" t="str">
        <v>Periódica</v>
      </c>
      <c r="E5852" s="89">
        <v>730</v>
      </c>
      <c r="F5852" s="89" t="str">
        <v/>
      </c>
      <c r="G5852" s="89" t="str">
        <f ca="1"/>
        <v/>
      </c>
    </row>
    <row r="5853" spans="1:7" x14ac:dyDescent="0.3">
      <c r="A5853" s="89" t="str">
        <v/>
      </c>
      <c r="B5853" s="89" t="str">
        <v>Seguridad Quimica (Mantenimiento)</v>
      </c>
      <c r="C5853" s="90" t="str">
        <v/>
      </c>
      <c r="D5853" s="89" t="str">
        <v>Periódica</v>
      </c>
      <c r="E5853" s="89">
        <v>365</v>
      </c>
      <c r="F5853" s="89" t="str">
        <v/>
      </c>
      <c r="G5853" s="89" t="str">
        <f ca="1"/>
        <v/>
      </c>
    </row>
    <row r="5854" spans="1:7" x14ac:dyDescent="0.3">
      <c r="A5854" s="89" t="str">
        <v/>
      </c>
      <c r="B5854" s="89" t="str">
        <v>Seguridad Quimica (Contratistas)</v>
      </c>
      <c r="C5854" s="90" t="str">
        <v/>
      </c>
      <c r="D5854" s="89" t="str">
        <v>Periódica</v>
      </c>
      <c r="E5854" s="89">
        <v>365</v>
      </c>
      <c r="F5854" s="89" t="str">
        <v/>
      </c>
      <c r="G5854" s="89" t="str">
        <f ca="1"/>
        <v/>
      </c>
    </row>
    <row r="5855" spans="1:7" x14ac:dyDescent="0.3">
      <c r="A5855" s="89" t="str">
        <v/>
      </c>
      <c r="B5855" s="89" t="str">
        <v>Seguridad para Trabajos en Caliente</v>
      </c>
      <c r="C5855" s="90" t="str">
        <v/>
      </c>
      <c r="D5855" s="89" t="str">
        <v>Periódica</v>
      </c>
      <c r="E5855" s="89">
        <v>365</v>
      </c>
      <c r="F5855" s="89" t="str">
        <v/>
      </c>
      <c r="G5855" s="89" t="str">
        <f ca="1"/>
        <v/>
      </c>
    </row>
    <row r="5856" spans="1:7" x14ac:dyDescent="0.3">
      <c r="A5856" s="89" t="str">
        <v/>
      </c>
      <c r="B5856" s="89" t="str">
        <v>Seguridad con la Radiacion</v>
      </c>
      <c r="C5856" s="90" t="str">
        <v/>
      </c>
      <c r="D5856" s="89" t="str">
        <v>Periódica</v>
      </c>
      <c r="E5856" s="89">
        <v>365</v>
      </c>
      <c r="F5856" s="89" t="str">
        <v/>
      </c>
      <c r="G5856" s="89" t="str">
        <f ca="1"/>
        <v/>
      </c>
    </row>
    <row r="5857" spans="1:7" x14ac:dyDescent="0.3">
      <c r="A5857" s="89" t="str">
        <v/>
      </c>
      <c r="B5857" s="89" t="str">
        <v>Equipo de Proteccion Personal (PPE)</v>
      </c>
      <c r="C5857" s="90" t="str">
        <v/>
      </c>
      <c r="D5857" s="89" t="str">
        <v>Periódica</v>
      </c>
      <c r="E5857" s="89">
        <v>365</v>
      </c>
      <c r="F5857" s="89" t="str">
        <v/>
      </c>
      <c r="G5857" s="89" t="str">
        <f ca="1"/>
        <v/>
      </c>
    </row>
    <row r="5858" spans="1:7" x14ac:dyDescent="0.3">
      <c r="A5858" s="89" t="str">
        <v/>
      </c>
      <c r="B5858" s="89" t="str">
        <v>Proteccion Respiratoria</v>
      </c>
      <c r="C5858" s="90" t="str">
        <v/>
      </c>
      <c r="D5858" s="89" t="str">
        <v>Periódica</v>
      </c>
      <c r="E5858" s="89">
        <v>365</v>
      </c>
      <c r="F5858" s="89" t="str">
        <v/>
      </c>
      <c r="G5858" s="89" t="str">
        <f ca="1"/>
        <v/>
      </c>
    </row>
    <row r="5859" spans="1:7" x14ac:dyDescent="0.3">
      <c r="A5859" s="89" t="str">
        <v/>
      </c>
      <c r="B5859" s="89" t="str">
        <v xml:space="preserve">Seguridad con Escaleras </v>
      </c>
      <c r="C5859" s="90" t="str">
        <v/>
      </c>
      <c r="D5859" s="89" t="str">
        <v>Periódica</v>
      </c>
      <c r="E5859" s="89">
        <v>365</v>
      </c>
      <c r="F5859" s="89" t="str">
        <v/>
      </c>
      <c r="G5859" s="89" t="str">
        <f ca="1"/>
        <v/>
      </c>
    </row>
    <row r="5860" spans="1:7" x14ac:dyDescent="0.3">
      <c r="A5860" s="89" t="str">
        <v/>
      </c>
      <c r="B5860" s="89" t="str">
        <v>Seguridad con Escaleras // Estantes de Almacenamiento</v>
      </c>
      <c r="C5860" s="90" t="str">
        <v/>
      </c>
      <c r="D5860" s="89" t="str">
        <v>Periódica</v>
      </c>
      <c r="E5860" s="89">
        <v>365</v>
      </c>
      <c r="F5860" s="89" t="str">
        <v/>
      </c>
      <c r="G5860" s="89" t="str">
        <f ca="1"/>
        <v/>
      </c>
    </row>
    <row r="5861" spans="1:7" x14ac:dyDescent="0.3">
      <c r="A5861" s="89" t="str">
        <v/>
      </c>
      <c r="B5861" s="89" t="str">
        <v>Responsabilidades del Supervisor</v>
      </c>
      <c r="C5861" s="90" t="str">
        <v/>
      </c>
      <c r="D5861" s="89" t="str">
        <v>Periódica</v>
      </c>
      <c r="E5861" s="89">
        <v>365</v>
      </c>
      <c r="F5861" s="89" t="str">
        <v/>
      </c>
      <c r="G5861" s="89" t="str">
        <f ca="1"/>
        <v/>
      </c>
    </row>
    <row r="5862" spans="1:7" x14ac:dyDescent="0.3">
      <c r="A5862" s="89" t="str">
        <v/>
      </c>
      <c r="B5862" s="89" t="str">
        <v>Espacios Confinados (Todos)</v>
      </c>
      <c r="C5862" s="90" t="str">
        <v/>
      </c>
      <c r="D5862" s="89" t="str">
        <v>Periódica</v>
      </c>
      <c r="E5862" s="89">
        <v>365</v>
      </c>
      <c r="F5862" s="89" t="str">
        <v/>
      </c>
      <c r="G5862" s="89" t="str">
        <f ca="1"/>
        <v/>
      </c>
    </row>
    <row r="5863" spans="1:7" x14ac:dyDescent="0.3">
      <c r="A5863" s="89" t="str">
        <v/>
      </c>
      <c r="B5863" s="89" t="str">
        <v>HSMS.017 / Espacios Confinados (Entrantes)</v>
      </c>
      <c r="C5863" s="90" t="str">
        <v/>
      </c>
      <c r="D5863" s="89" t="str">
        <v>Evento</v>
      </c>
      <c r="E5863" s="89">
        <v>0</v>
      </c>
      <c r="F5863" s="89" t="str">
        <v/>
      </c>
      <c r="G5863" s="89" t="str">
        <f ca="1"/>
        <v/>
      </c>
    </row>
    <row r="5864" spans="1:7" x14ac:dyDescent="0.3">
      <c r="A5864" s="89" t="str">
        <v/>
      </c>
      <c r="B5864" s="89" t="str">
        <v>Programa de Agua (Todos)</v>
      </c>
      <c r="C5864" s="90" t="str">
        <v/>
      </c>
      <c r="D5864" s="89" t="str">
        <v>Evento</v>
      </c>
      <c r="E5864" s="89">
        <v>0</v>
      </c>
      <c r="F5864" s="89" t="str">
        <v/>
      </c>
      <c r="G5864" s="89" t="str">
        <f ca="1"/>
        <v/>
      </c>
    </row>
    <row r="5865" spans="1:7" x14ac:dyDescent="0.3">
      <c r="A5865" s="89" t="str">
        <v/>
      </c>
      <c r="B5865" s="89" t="str">
        <v>Programa de Agua (HSE)</v>
      </c>
      <c r="C5865" s="90" t="str">
        <v/>
      </c>
      <c r="D5865" s="89" t="str">
        <v>Evento</v>
      </c>
      <c r="E5865" s="89">
        <v>0</v>
      </c>
      <c r="F5865" s="89" t="str">
        <v/>
      </c>
      <c r="G5865" s="89" t="str">
        <f ca="1"/>
        <v/>
      </c>
    </row>
    <row r="5866" spans="1:7" x14ac:dyDescent="0.3">
      <c r="A5866" s="89" t="str">
        <v/>
      </c>
      <c r="B5866" s="89" t="str">
        <v>HIV/SIDA y otras enfermedades de transmisión sexual (ETS)</v>
      </c>
      <c r="C5866" s="90" t="str">
        <v/>
      </c>
      <c r="D5866" s="89" t="str">
        <v>Periódica</v>
      </c>
      <c r="E5866" s="89">
        <v>365</v>
      </c>
      <c r="F5866" s="89" t="str">
        <v/>
      </c>
      <c r="G5866" s="89" t="str">
        <f ca="1"/>
        <v/>
      </c>
    </row>
    <row r="5867" spans="1:7" x14ac:dyDescent="0.3">
      <c r="A5867" s="89" t="str">
        <v/>
      </c>
      <c r="B5867" s="89" t="str">
        <v>Drogas de abuso (concientización y prevención)</v>
      </c>
      <c r="C5867" s="90" t="str">
        <v/>
      </c>
      <c r="D5867" s="89" t="str">
        <v>Periódica</v>
      </c>
      <c r="E5867" s="89">
        <v>365</v>
      </c>
      <c r="F5867" s="89" t="str">
        <v/>
      </c>
      <c r="G5867" s="89" t="str">
        <f ca="1"/>
        <v/>
      </c>
    </row>
    <row r="5868" spans="1:7" x14ac:dyDescent="0.3">
      <c r="A5868" s="89" t="str">
        <v/>
      </c>
      <c r="B5868" s="89" t="str">
        <v>Vida saludable (hábitos, autocuidado y bienestar)</v>
      </c>
      <c r="C5868" s="90" t="str">
        <v/>
      </c>
      <c r="D5868" s="89" t="str">
        <v>Periódica</v>
      </c>
      <c r="E5868" s="89">
        <v>365</v>
      </c>
      <c r="F5868" s="89" t="str">
        <v/>
      </c>
      <c r="G5868" s="89" t="str">
        <f ca="1"/>
        <v/>
      </c>
    </row>
    <row r="5869" spans="1:7" x14ac:dyDescent="0.3">
      <c r="A5869" s="89" t="str">
        <v/>
      </c>
      <c r="B5869" s="89" t="str">
        <v>Primeros auxilios y Reanimación Cardio Pulmonar (RCP)</v>
      </c>
      <c r="C5869" s="90" t="str">
        <v/>
      </c>
      <c r="D5869" s="89" t="str">
        <v>Periódica</v>
      </c>
      <c r="E5869" s="89">
        <v>365</v>
      </c>
      <c r="F5869" s="89" t="str">
        <v/>
      </c>
      <c r="G5869" s="89" t="str">
        <f ca="1"/>
        <v/>
      </c>
    </row>
    <row r="5870" spans="1:7" x14ac:dyDescent="0.3">
      <c r="A5870" s="89" t="str">
        <v/>
      </c>
      <c r="B5870" s="89" t="str">
        <v>Prevención cardiovascular (factores de riesgo y señales de alarma)</v>
      </c>
      <c r="C5870" s="90" t="str">
        <v/>
      </c>
      <c r="D5870" s="89" t="str">
        <v>Periódica</v>
      </c>
      <c r="E5870" s="89">
        <v>365</v>
      </c>
      <c r="F5870" s="89" t="str">
        <v/>
      </c>
      <c r="G5870" s="89" t="str">
        <f ca="1"/>
        <v/>
      </c>
    </row>
    <row r="5871" spans="1:7" x14ac:dyDescent="0.3">
      <c r="A5871" s="89" t="str">
        <v/>
      </c>
      <c r="B5871" s="89" t="str">
        <v>Efectos del tabaco sobre la salud</v>
      </c>
      <c r="C5871" s="90" t="str">
        <v/>
      </c>
      <c r="D5871" s="89" t="str">
        <v>Periódica</v>
      </c>
      <c r="E5871" s="89">
        <v>365</v>
      </c>
      <c r="F5871" s="89" t="str">
        <v/>
      </c>
      <c r="G5871" s="89" t="str">
        <f ca="1"/>
        <v/>
      </c>
    </row>
    <row r="5872" spans="1:7" x14ac:dyDescent="0.3">
      <c r="A5872" s="89" t="str">
        <v/>
      </c>
      <c r="B5872" s="89" t="str">
        <v>Cargadora (Op. Montacargas)</v>
      </c>
      <c r="C5872" s="90" t="str">
        <v/>
      </c>
      <c r="D5872" s="89" t="str">
        <v>Periódica</v>
      </c>
      <c r="E5872" s="89">
        <v>365</v>
      </c>
      <c r="F5872" s="89" t="str">
        <v/>
      </c>
      <c r="G5872" s="89" t="str">
        <f ca="1"/>
        <v/>
      </c>
    </row>
    <row r="5873" spans="1:7" x14ac:dyDescent="0.3">
      <c r="A5873" s="89" t="str">
        <v/>
      </c>
      <c r="B5873" s="89">
        <v>0</v>
      </c>
      <c r="C5873" s="90" t="str">
        <v/>
      </c>
      <c r="D5873" s="89" t="str">
        <v/>
      </c>
      <c r="E5873" s="89" t="str">
        <v/>
      </c>
      <c r="F5873" s="89" t="str">
        <v/>
      </c>
      <c r="G5873" s="89" t="str">
        <f ca="1"/>
        <v/>
      </c>
    </row>
    <row r="5874" spans="1:7" x14ac:dyDescent="0.3">
      <c r="A5874" s="89" t="str">
        <v/>
      </c>
      <c r="B5874" s="89">
        <v>0</v>
      </c>
      <c r="C5874" s="90" t="str">
        <v/>
      </c>
      <c r="D5874" s="89" t="str">
        <v/>
      </c>
      <c r="E5874" s="89" t="str">
        <v/>
      </c>
      <c r="F5874" s="89" t="str">
        <v/>
      </c>
      <c r="G5874" s="89" t="str">
        <f ca="1"/>
        <v/>
      </c>
    </row>
    <row r="5875" spans="1:7" x14ac:dyDescent="0.3">
      <c r="A5875" s="89" t="str">
        <v/>
      </c>
      <c r="B5875" s="89">
        <v>0</v>
      </c>
      <c r="C5875" s="90" t="str">
        <v/>
      </c>
      <c r="D5875" s="89" t="str">
        <v/>
      </c>
      <c r="E5875" s="89" t="str">
        <v/>
      </c>
      <c r="F5875" s="89" t="str">
        <v/>
      </c>
      <c r="G5875" s="89" t="str">
        <f ca="1"/>
        <v/>
      </c>
    </row>
    <row r="5876" spans="1:7" x14ac:dyDescent="0.3">
      <c r="A5876" s="89" t="str">
        <v/>
      </c>
      <c r="B5876" s="89">
        <v>0</v>
      </c>
      <c r="C5876" s="90" t="str">
        <v/>
      </c>
      <c r="D5876" s="89" t="str">
        <v/>
      </c>
      <c r="E5876" s="89" t="str">
        <v/>
      </c>
      <c r="F5876" s="89" t="str">
        <v/>
      </c>
      <c r="G5876" s="89" t="str">
        <f ca="1"/>
        <v/>
      </c>
    </row>
    <row r="5877" spans="1:7" x14ac:dyDescent="0.3">
      <c r="A5877" s="89" t="str">
        <v/>
      </c>
      <c r="B5877" s="89">
        <v>0</v>
      </c>
      <c r="C5877" s="90" t="str">
        <v/>
      </c>
      <c r="D5877" s="89" t="str">
        <v/>
      </c>
      <c r="E5877" s="89" t="str">
        <v/>
      </c>
      <c r="F5877" s="89" t="str">
        <v/>
      </c>
      <c r="G5877" s="89" t="str">
        <f ca="1"/>
        <v/>
      </c>
    </row>
    <row r="5878" spans="1:7" x14ac:dyDescent="0.3">
      <c r="A5878" s="89" t="str">
        <v/>
      </c>
      <c r="B5878" s="89">
        <v>0</v>
      </c>
      <c r="C5878" s="90" t="str">
        <v/>
      </c>
      <c r="D5878" s="89" t="str">
        <v/>
      </c>
      <c r="E5878" s="89" t="str">
        <v/>
      </c>
      <c r="F5878" s="89" t="str">
        <v/>
      </c>
      <c r="G5878" s="89" t="str">
        <f ca="1"/>
        <v/>
      </c>
    </row>
    <row r="5879" spans="1:7" x14ac:dyDescent="0.3">
      <c r="A5879" s="89" t="str">
        <v/>
      </c>
      <c r="B5879" s="89">
        <v>0</v>
      </c>
      <c r="C5879" s="90" t="str">
        <v/>
      </c>
      <c r="D5879" s="89" t="str">
        <v/>
      </c>
      <c r="E5879" s="89" t="str">
        <v/>
      </c>
      <c r="F5879" s="89" t="str">
        <v/>
      </c>
      <c r="G5879" s="89" t="str">
        <f ca="1"/>
        <v/>
      </c>
    </row>
    <row r="5880" spans="1:7" x14ac:dyDescent="0.3">
      <c r="A5880" s="89" t="str">
        <v/>
      </c>
      <c r="B5880" s="89">
        <v>0</v>
      </c>
      <c r="C5880" s="90" t="str">
        <v/>
      </c>
      <c r="D5880" s="89" t="str">
        <v/>
      </c>
      <c r="E5880" s="89" t="str">
        <v/>
      </c>
      <c r="F5880" s="89" t="str">
        <v/>
      </c>
      <c r="G5880" s="89" t="str">
        <f ca="1"/>
        <v/>
      </c>
    </row>
    <row r="5881" spans="1:7" x14ac:dyDescent="0.3">
      <c r="A5881" s="89" t="str">
        <v/>
      </c>
      <c r="B5881" s="89">
        <v>0</v>
      </c>
      <c r="C5881" s="90" t="str">
        <v/>
      </c>
      <c r="D5881" s="89" t="str">
        <v/>
      </c>
      <c r="E5881" s="89" t="str">
        <v/>
      </c>
      <c r="F5881" s="89" t="str">
        <v/>
      </c>
      <c r="G5881" s="89" t="str">
        <f ca="1"/>
        <v/>
      </c>
    </row>
    <row r="5882" spans="1:7" x14ac:dyDescent="0.3">
      <c r="A5882" s="89" t="str">
        <v/>
      </c>
      <c r="B5882" s="89" t="str">
        <v>Programa de Aire</v>
      </c>
      <c r="C5882" s="90" t="str">
        <v/>
      </c>
      <c r="D5882" s="89" t="str">
        <v>Evento</v>
      </c>
      <c r="E5882" s="89">
        <v>0</v>
      </c>
      <c r="F5882" s="89" t="str">
        <v/>
      </c>
      <c r="G5882" s="89" t="str">
        <f ca="1"/>
        <v/>
      </c>
    </row>
    <row r="5883" spans="1:7" x14ac:dyDescent="0.3">
      <c r="A5883" s="89" t="str">
        <v/>
      </c>
      <c r="B5883" s="89" t="str">
        <v>Conciencia Ambiental</v>
      </c>
      <c r="C5883" s="90" t="str">
        <v/>
      </c>
      <c r="D5883" s="89" t="str">
        <v>Periódica</v>
      </c>
      <c r="E5883" s="89">
        <v>365</v>
      </c>
      <c r="F5883" s="89" t="str">
        <v/>
      </c>
      <c r="G5883" s="89" t="str">
        <f ca="1"/>
        <v/>
      </c>
    </row>
    <row r="5884" spans="1:7" x14ac:dyDescent="0.3">
      <c r="A5884" s="89" t="str">
        <v/>
      </c>
      <c r="B5884" s="89" t="str">
        <v xml:space="preserve">Control de Documentos e Informacion de HSE </v>
      </c>
      <c r="C5884" s="90" t="str">
        <v/>
      </c>
      <c r="D5884" s="89" t="str">
        <v>Evento</v>
      </c>
      <c r="E5884" s="89">
        <v>0</v>
      </c>
      <c r="F5884" s="89" t="str">
        <v/>
      </c>
      <c r="G5884" s="89" t="str">
        <f ca="1"/>
        <v/>
      </c>
    </row>
    <row r="5885" spans="1:7" x14ac:dyDescent="0.3">
      <c r="A5885" s="89" t="str">
        <v/>
      </c>
      <c r="B5885" s="89" t="str">
        <v xml:space="preserve"> Acciones Correctivas y Preventivas (CAPA)</v>
      </c>
      <c r="C5885" s="90" t="str">
        <v/>
      </c>
      <c r="D5885" s="89" t="str">
        <v>Evento</v>
      </c>
      <c r="E5885" s="89">
        <v>0</v>
      </c>
      <c r="F5885" s="89" t="str">
        <v/>
      </c>
      <c r="G5885" s="89" t="str">
        <f ca="1"/>
        <v/>
      </c>
    </row>
    <row r="5886" spans="1:7" x14ac:dyDescent="0.3">
      <c r="A5886" s="89" t="str">
        <v/>
      </c>
      <c r="B5886" s="89" t="str">
        <v>Seguridad Basada en el Comportamiento (Observation Program) // HSMS.043 / Autoridad de Detener el Trabajo</v>
      </c>
      <c r="C5886" s="90" t="str">
        <v/>
      </c>
      <c r="D5886" s="89" t="str">
        <v>Periódica</v>
      </c>
      <c r="E5886" s="89">
        <v>365</v>
      </c>
      <c r="F5886" s="89" t="str">
        <v/>
      </c>
      <c r="G5886" s="89" t="str">
        <f ca="1"/>
        <v/>
      </c>
    </row>
    <row r="5887" spans="1:7" x14ac:dyDescent="0.3">
      <c r="A5887" s="89" t="str">
        <v/>
      </c>
      <c r="B5887" s="89" t="str">
        <v>Identificacion de Peligros y Evaluacion de Riesgos</v>
      </c>
      <c r="C5887" s="90" t="str">
        <v/>
      </c>
      <c r="D5887" s="89" t="str">
        <v>Evento</v>
      </c>
      <c r="E5887" s="89">
        <v>0</v>
      </c>
      <c r="F5887" s="89" t="str">
        <v/>
      </c>
      <c r="G5887" s="89" t="str">
        <f ca="1"/>
        <v/>
      </c>
    </row>
    <row r="5888" spans="1:7" x14ac:dyDescent="0.3">
      <c r="A5888" s="89" t="str">
        <v/>
      </c>
      <c r="B5888" s="89" t="str">
        <v xml:space="preserve"> Plan de Respuesta ante Eemergencias / HSMS.010 /Primeros Axulios &amp; RCP/DEA / HSMSWT-002 / Patogenos Trasnmitidos por la Sangre</v>
      </c>
      <c r="C5888" s="90" t="str">
        <v/>
      </c>
      <c r="D5888" s="89" t="str">
        <v>Periódica</v>
      </c>
      <c r="E5888" s="89">
        <v>365</v>
      </c>
      <c r="F5888" s="89" t="str">
        <v/>
      </c>
      <c r="G5888" s="89" t="str">
        <f ca="1"/>
        <v/>
      </c>
    </row>
    <row r="5889" spans="1:7" x14ac:dyDescent="0.3">
      <c r="A5889" s="89" t="str">
        <v/>
      </c>
      <c r="B5889" s="89" t="str">
        <v>Reporte y Gestion de Incidentes HSE (Todos)</v>
      </c>
      <c r="C5889" s="90" t="str">
        <v/>
      </c>
      <c r="D5889" s="89" t="str">
        <v>Periódica</v>
      </c>
      <c r="E5889" s="89">
        <v>365</v>
      </c>
      <c r="F5889" s="89" t="str">
        <v/>
      </c>
      <c r="G5889" s="89" t="str">
        <f ca="1"/>
        <v/>
      </c>
    </row>
    <row r="5890" spans="1:7" x14ac:dyDescent="0.3">
      <c r="A5890" s="89" t="str">
        <v/>
      </c>
      <c r="B5890" s="89" t="str">
        <v>Reporte, Gestion e Investigacion de Incidentes HSE (supervisores / investigadores (rol))</v>
      </c>
      <c r="C5890" s="90" t="str">
        <v/>
      </c>
      <c r="D5890" s="89" t="str">
        <v>Periódica</v>
      </c>
      <c r="E5890" s="89">
        <v>1095</v>
      </c>
      <c r="F5890" s="89" t="str">
        <v/>
      </c>
      <c r="G5890" s="89" t="str">
        <f ca="1"/>
        <v/>
      </c>
    </row>
    <row r="5891" spans="1:7" x14ac:dyDescent="0.3">
      <c r="A5891" s="89" t="str">
        <v/>
      </c>
      <c r="B5891" s="89" t="str">
        <v>Gruas y Equipos de Izaje (Todos)</v>
      </c>
      <c r="C5891" s="90" t="str">
        <v/>
      </c>
      <c r="D5891" s="89" t="str">
        <v>Periódica</v>
      </c>
      <c r="E5891" s="89">
        <v>365</v>
      </c>
      <c r="F5891" s="89" t="str">
        <v/>
      </c>
      <c r="G5891" s="89" t="str">
        <f ca="1"/>
        <v/>
      </c>
    </row>
    <row r="5892" spans="1:7" x14ac:dyDescent="0.3">
      <c r="A5892" s="89" t="str">
        <v/>
      </c>
      <c r="B5892" s="89" t="str">
        <v>HSMS.007 / Gruas y Equipos de Izaje (Operadores)</v>
      </c>
      <c r="C5892" s="90" t="str">
        <v/>
      </c>
      <c r="D5892" s="89" t="str">
        <v>Periódica</v>
      </c>
      <c r="E5892" s="89">
        <v>365</v>
      </c>
      <c r="F5892" s="89" t="str">
        <v/>
      </c>
      <c r="G5892" s="89" t="str">
        <f ca="1"/>
        <v/>
      </c>
    </row>
    <row r="5893" spans="1:7" x14ac:dyDescent="0.3">
      <c r="A5893" s="89" t="str">
        <v/>
      </c>
      <c r="B5893" s="89" t="str">
        <v>Proteccion Contra Incendios (Todos)</v>
      </c>
      <c r="C5893" s="90" t="str">
        <v/>
      </c>
      <c r="D5893" s="89" t="str">
        <v>Periódica</v>
      </c>
      <c r="E5893" s="89">
        <v>365</v>
      </c>
      <c r="F5893" s="89" t="str">
        <v/>
      </c>
      <c r="G5893" s="89" t="str">
        <f ca="1"/>
        <v/>
      </c>
    </row>
    <row r="5894" spans="1:7" x14ac:dyDescent="0.3">
      <c r="A5894" s="89" t="str">
        <v/>
      </c>
      <c r="B5894" s="89" t="str">
        <v>Proteccion Contra Incendios (Brigadistas)</v>
      </c>
      <c r="C5894" s="90" t="str">
        <v/>
      </c>
      <c r="D5894" s="89" t="str">
        <v>Periódica</v>
      </c>
      <c r="E5894" s="89">
        <v>365</v>
      </c>
      <c r="F5894" s="89" t="str">
        <v/>
      </c>
      <c r="G5894" s="89" t="str">
        <f ca="1"/>
        <v/>
      </c>
    </row>
    <row r="5895" spans="1:7" x14ac:dyDescent="0.3">
      <c r="A5895" s="89" t="str">
        <v/>
      </c>
      <c r="B5895" s="89" t="str">
        <v>Primeros Auxilios (Brigadistas)</v>
      </c>
      <c r="C5895" s="90" t="str">
        <v/>
      </c>
      <c r="D5895" s="89" t="str">
        <v>Periódica</v>
      </c>
      <c r="E5895" s="89">
        <v>365</v>
      </c>
      <c r="F5895" s="89" t="str">
        <v/>
      </c>
      <c r="G5895" s="89" t="str">
        <f ca="1"/>
        <v/>
      </c>
    </row>
    <row r="5896" spans="1:7" x14ac:dyDescent="0.3">
      <c r="A5896" s="89" t="str">
        <v/>
      </c>
      <c r="B5896" s="89" t="str">
        <v>Seguridad Electrica (Todos)</v>
      </c>
      <c r="C5896" s="90" t="str">
        <v/>
      </c>
      <c r="D5896" s="89" t="str">
        <v>Periódica</v>
      </c>
      <c r="E5896" s="89">
        <v>365</v>
      </c>
      <c r="F5896" s="89" t="str">
        <v/>
      </c>
      <c r="G5896" s="89" t="str">
        <f ca="1"/>
        <v/>
      </c>
    </row>
    <row r="5897" spans="1:7" x14ac:dyDescent="0.3">
      <c r="A5897" s="89" t="str">
        <v/>
      </c>
      <c r="B5897" s="89" t="str">
        <v>Seguridad Electrica (Personal Autorizado)</v>
      </c>
      <c r="C5897" s="90" t="str">
        <v/>
      </c>
      <c r="D5897" s="89" t="str">
        <v>Periódica</v>
      </c>
      <c r="E5897" s="89">
        <v>1095</v>
      </c>
      <c r="F5897" s="89" t="str">
        <v/>
      </c>
      <c r="G5897" s="89" t="str">
        <f ca="1"/>
        <v/>
      </c>
    </row>
    <row r="5898" spans="1:7" x14ac:dyDescent="0.3">
      <c r="A5898" s="89" t="str">
        <v/>
      </c>
      <c r="B5898" s="89" t="str">
        <v>Camiones Industriales Motorizados (PIT) (Todos)</v>
      </c>
      <c r="C5898" s="90" t="str">
        <v/>
      </c>
      <c r="D5898" s="89" t="str">
        <v>Periódica</v>
      </c>
      <c r="E5898" s="89">
        <v>365</v>
      </c>
      <c r="F5898" s="89" t="str">
        <v/>
      </c>
      <c r="G5898" s="89" t="str">
        <f ca="1"/>
        <v/>
      </c>
    </row>
    <row r="5899" spans="1:7" x14ac:dyDescent="0.3">
      <c r="A5899" s="89" t="str">
        <v/>
      </c>
      <c r="B5899" s="89" t="str">
        <v>Camiones Industriales Motorizados (PIT) (Op. Montacargas)</v>
      </c>
      <c r="C5899" s="90" t="str">
        <v/>
      </c>
      <c r="D5899" s="89" t="str">
        <v>Periódica</v>
      </c>
      <c r="E5899" s="89">
        <v>365</v>
      </c>
      <c r="F5899" s="89" t="str">
        <v/>
      </c>
      <c r="G5899" s="89" t="str">
        <f ca="1"/>
        <v/>
      </c>
    </row>
    <row r="5900" spans="1:7" x14ac:dyDescent="0.3">
      <c r="A5900" s="89" t="str">
        <v/>
      </c>
      <c r="B5900" s="89" t="str">
        <v>Control de Energias Peligrosas (LOTO) (Todos)</v>
      </c>
      <c r="C5900" s="90" t="str">
        <v/>
      </c>
      <c r="D5900" s="89" t="str">
        <v>Evento</v>
      </c>
      <c r="E5900" s="89">
        <v>0</v>
      </c>
      <c r="F5900" s="89" t="str">
        <v/>
      </c>
      <c r="G5900" s="89" t="str">
        <f ca="1"/>
        <v/>
      </c>
    </row>
    <row r="5901" spans="1:7" x14ac:dyDescent="0.3">
      <c r="A5901" s="89" t="str">
        <v/>
      </c>
      <c r="B5901" s="89" t="str">
        <v>Control de Energias Peligrosas (LOTO) (Empleados Autorizados)</v>
      </c>
      <c r="C5901" s="90" t="str">
        <v/>
      </c>
      <c r="D5901" s="89" t="str">
        <v>Periódica</v>
      </c>
      <c r="E5901" s="89">
        <v>365</v>
      </c>
      <c r="F5901" s="89" t="str">
        <v/>
      </c>
      <c r="G5901" s="89" t="str">
        <f ca="1"/>
        <v/>
      </c>
    </row>
    <row r="5902" spans="1:7" x14ac:dyDescent="0.3">
      <c r="A5902" s="89" t="str">
        <v/>
      </c>
      <c r="B5902" s="89" t="str">
        <v>Seguridad aplicada al Pozo &amp; Yacimiento</v>
      </c>
      <c r="C5902" s="90" t="str">
        <v/>
      </c>
      <c r="D5902" s="89" t="str">
        <v>Periódica</v>
      </c>
      <c r="E5902" s="89">
        <v>365</v>
      </c>
      <c r="F5902" s="89" t="str">
        <v/>
      </c>
      <c r="G5902" s="89" t="str">
        <f ca="1"/>
        <v/>
      </c>
    </row>
    <row r="5903" spans="1:7" x14ac:dyDescent="0.3">
      <c r="A5903" s="89" t="str">
        <v/>
      </c>
      <c r="B5903" s="89" t="str">
        <v>Las Reglas que Salvan Vidas</v>
      </c>
      <c r="C5903" s="90" t="str">
        <v/>
      </c>
      <c r="D5903" s="89" t="str">
        <v>Periódica</v>
      </c>
      <c r="E5903" s="89">
        <v>365</v>
      </c>
      <c r="F5903" s="89" t="str">
        <v/>
      </c>
      <c r="G5903" s="89" t="str">
        <f ca="1"/>
        <v/>
      </c>
    </row>
    <row r="5904" spans="1:7" x14ac:dyDescent="0.3">
      <c r="A5904" s="89" t="str">
        <v/>
      </c>
      <c r="B5904" s="89" t="str">
        <v xml:space="preserve">Resguardo de Maquinas &amp; Equipos </v>
      </c>
      <c r="C5904" s="90" t="str">
        <v/>
      </c>
      <c r="D5904" s="89" t="str">
        <v>Periódica</v>
      </c>
      <c r="E5904" s="89">
        <v>365</v>
      </c>
      <c r="F5904" s="89" t="str">
        <v/>
      </c>
      <c r="G5904" s="89" t="str">
        <f ca="1"/>
        <v/>
      </c>
    </row>
    <row r="5905" spans="1:7" x14ac:dyDescent="0.3">
      <c r="A5905" s="89" t="str">
        <v/>
      </c>
      <c r="B5905" s="89" t="str">
        <v>Conduccion y Gestion de Viajes (Todos)</v>
      </c>
      <c r="C5905" s="90" t="str">
        <v/>
      </c>
      <c r="D5905" s="89" t="str">
        <v>Periódica</v>
      </c>
      <c r="E5905" s="89">
        <v>730</v>
      </c>
      <c r="F5905" s="89" t="str">
        <v/>
      </c>
      <c r="G5905" s="89" t="str">
        <f ca="1"/>
        <v/>
      </c>
    </row>
    <row r="5906" spans="1:7" x14ac:dyDescent="0.3">
      <c r="A5906" s="89" t="str">
        <v/>
      </c>
      <c r="B5906" s="89" t="str">
        <v>Conduccion y Gestion de Viajes (Conductores)</v>
      </c>
      <c r="C5906" s="90" t="str">
        <v/>
      </c>
      <c r="D5906" s="89" t="str">
        <v>Periódica</v>
      </c>
      <c r="E5906" s="89">
        <v>1095</v>
      </c>
      <c r="F5906" s="89" t="str">
        <v/>
      </c>
      <c r="G5906" s="89" t="str">
        <f ca="1"/>
        <v/>
      </c>
    </row>
    <row r="5907" spans="1:7" x14ac:dyDescent="0.3">
      <c r="A5907" s="89" t="str">
        <v/>
      </c>
      <c r="B5907" s="89" t="str">
        <v>Patogenos Transmitidos por la Sangre</v>
      </c>
      <c r="C5907" s="90" t="str">
        <v/>
      </c>
      <c r="D5907" s="89" t="str">
        <v>Periódica</v>
      </c>
      <c r="E5907" s="89">
        <v>365</v>
      </c>
      <c r="F5907" s="89" t="str">
        <v/>
      </c>
      <c r="G5907" s="89" t="str">
        <f ca="1"/>
        <v/>
      </c>
    </row>
    <row r="5908" spans="1:7" x14ac:dyDescent="0.3">
      <c r="A5908" s="89" t="str">
        <v/>
      </c>
      <c r="B5908" s="89" t="str">
        <v>Conservacion Auditiva</v>
      </c>
      <c r="C5908" s="90" t="str">
        <v/>
      </c>
      <c r="D5908" s="89" t="str">
        <v>Periódica</v>
      </c>
      <c r="E5908" s="89">
        <v>365</v>
      </c>
      <c r="F5908" s="89" t="str">
        <v/>
      </c>
      <c r="G5908" s="89" t="str">
        <f ca="1"/>
        <v/>
      </c>
    </row>
    <row r="5909" spans="1:7" x14ac:dyDescent="0.3">
      <c r="A5909" s="89" t="str">
        <v/>
      </c>
      <c r="B5909" s="89" t="str">
        <v xml:space="preserve">Ergonomia //  / Levantamiento &amp; Seguridad en la Espalda </v>
      </c>
      <c r="C5909" s="90" t="str">
        <v/>
      </c>
      <c r="D5909" s="89" t="str">
        <v>Periódica</v>
      </c>
      <c r="E5909" s="89">
        <v>365</v>
      </c>
      <c r="F5909" s="89" t="str">
        <v/>
      </c>
      <c r="G5909" s="89" t="str">
        <f ca="1"/>
        <v/>
      </c>
    </row>
    <row r="5910" spans="1:7" x14ac:dyDescent="0.3">
      <c r="A5910" s="89" t="str">
        <v/>
      </c>
      <c r="B5910" s="89" t="str">
        <v>Superficies Elevadas (Todos)</v>
      </c>
      <c r="C5910" s="90" t="str">
        <v/>
      </c>
      <c r="D5910" s="89" t="str">
        <v>Periódica</v>
      </c>
      <c r="E5910" s="89">
        <v>365</v>
      </c>
      <c r="F5910" s="89" t="str">
        <v/>
      </c>
      <c r="G5910" s="89" t="str">
        <f ca="1"/>
        <v/>
      </c>
    </row>
    <row r="5911" spans="1:7" x14ac:dyDescent="0.3">
      <c r="A5911" s="89" t="str">
        <v/>
      </c>
      <c r="B5911" s="89" t="str">
        <v>Superficies Elevadas (Personal Habilitado)</v>
      </c>
      <c r="C5911" s="90" t="str">
        <v/>
      </c>
      <c r="D5911" s="89" t="str">
        <v>Periódica</v>
      </c>
      <c r="E5911" s="89">
        <v>365</v>
      </c>
      <c r="F5911" s="89" t="str">
        <v/>
      </c>
      <c r="G5911" s="89" t="str">
        <f ca="1"/>
        <v/>
      </c>
    </row>
    <row r="5912" spans="1:7" x14ac:dyDescent="0.3">
      <c r="A5912" s="89" t="str">
        <v/>
      </c>
      <c r="B5912" s="89" t="str">
        <v>Seguridad Quimica (Todos)</v>
      </c>
      <c r="C5912" s="90" t="str">
        <v/>
      </c>
      <c r="D5912" s="89" t="str">
        <v>Periódica</v>
      </c>
      <c r="E5912" s="89">
        <v>730</v>
      </c>
      <c r="F5912" s="89" t="str">
        <v/>
      </c>
      <c r="G5912" s="89" t="str">
        <f ca="1"/>
        <v/>
      </c>
    </row>
    <row r="5913" spans="1:7" x14ac:dyDescent="0.3">
      <c r="A5913" s="89" t="str">
        <v/>
      </c>
      <c r="B5913" s="89" t="str">
        <v>Seguridad Quimica (Mantenimiento)</v>
      </c>
      <c r="C5913" s="90" t="str">
        <v/>
      </c>
      <c r="D5913" s="89" t="str">
        <v>Periódica</v>
      </c>
      <c r="E5913" s="89">
        <v>365</v>
      </c>
      <c r="F5913" s="89" t="str">
        <v/>
      </c>
      <c r="G5913" s="89" t="str">
        <f ca="1"/>
        <v/>
      </c>
    </row>
    <row r="5914" spans="1:7" x14ac:dyDescent="0.3">
      <c r="A5914" s="89" t="str">
        <v/>
      </c>
      <c r="B5914" s="89" t="str">
        <v>Seguridad Quimica (Contratistas)</v>
      </c>
      <c r="C5914" s="90" t="str">
        <v/>
      </c>
      <c r="D5914" s="89" t="str">
        <v>Periódica</v>
      </c>
      <c r="E5914" s="89">
        <v>365</v>
      </c>
      <c r="F5914" s="89" t="str">
        <v/>
      </c>
      <c r="G5914" s="89" t="str">
        <f ca="1"/>
        <v/>
      </c>
    </row>
    <row r="5915" spans="1:7" x14ac:dyDescent="0.3">
      <c r="A5915" s="89" t="str">
        <v/>
      </c>
      <c r="B5915" s="89" t="str">
        <v>Seguridad para Trabajos en Caliente</v>
      </c>
      <c r="C5915" s="90" t="str">
        <v/>
      </c>
      <c r="D5915" s="89" t="str">
        <v>Periódica</v>
      </c>
      <c r="E5915" s="89">
        <v>365</v>
      </c>
      <c r="F5915" s="89" t="str">
        <v/>
      </c>
      <c r="G5915" s="89" t="str">
        <f ca="1"/>
        <v/>
      </c>
    </row>
    <row r="5916" spans="1:7" x14ac:dyDescent="0.3">
      <c r="A5916" s="89" t="str">
        <v/>
      </c>
      <c r="B5916" s="89" t="str">
        <v>Seguridad con la Radiacion</v>
      </c>
      <c r="C5916" s="90" t="str">
        <v/>
      </c>
      <c r="D5916" s="89" t="str">
        <v>Periódica</v>
      </c>
      <c r="E5916" s="89">
        <v>365</v>
      </c>
      <c r="F5916" s="89" t="str">
        <v/>
      </c>
      <c r="G5916" s="89" t="str">
        <f ca="1"/>
        <v/>
      </c>
    </row>
    <row r="5917" spans="1:7" x14ac:dyDescent="0.3">
      <c r="A5917" s="89" t="str">
        <v/>
      </c>
      <c r="B5917" s="89" t="str">
        <v>Equipo de Proteccion Personal (PPE)</v>
      </c>
      <c r="C5917" s="90" t="str">
        <v/>
      </c>
      <c r="D5917" s="89" t="str">
        <v>Periódica</v>
      </c>
      <c r="E5917" s="89">
        <v>365</v>
      </c>
      <c r="F5917" s="89" t="str">
        <v/>
      </c>
      <c r="G5917" s="89" t="str">
        <f ca="1"/>
        <v/>
      </c>
    </row>
    <row r="5918" spans="1:7" x14ac:dyDescent="0.3">
      <c r="A5918" s="89" t="str">
        <v/>
      </c>
      <c r="B5918" s="89" t="str">
        <v>Proteccion Respiratoria</v>
      </c>
      <c r="C5918" s="90" t="str">
        <v/>
      </c>
      <c r="D5918" s="89" t="str">
        <v>Periódica</v>
      </c>
      <c r="E5918" s="89">
        <v>365</v>
      </c>
      <c r="F5918" s="89" t="str">
        <v/>
      </c>
      <c r="G5918" s="89" t="str">
        <f ca="1"/>
        <v/>
      </c>
    </row>
    <row r="5919" spans="1:7" x14ac:dyDescent="0.3">
      <c r="A5919" s="89" t="str">
        <v/>
      </c>
      <c r="B5919" s="89" t="str">
        <v xml:space="preserve">Seguridad con Escaleras </v>
      </c>
      <c r="C5919" s="90" t="str">
        <v/>
      </c>
      <c r="D5919" s="89" t="str">
        <v>Periódica</v>
      </c>
      <c r="E5919" s="89">
        <v>365</v>
      </c>
      <c r="F5919" s="89" t="str">
        <v/>
      </c>
      <c r="G5919" s="89" t="str">
        <f ca="1"/>
        <v/>
      </c>
    </row>
    <row r="5920" spans="1:7" x14ac:dyDescent="0.3">
      <c r="A5920" s="89" t="str">
        <v/>
      </c>
      <c r="B5920" s="89" t="str">
        <v>Seguridad con Escaleras // Estantes de Almacenamiento</v>
      </c>
      <c r="C5920" s="90" t="str">
        <v/>
      </c>
      <c r="D5920" s="89" t="str">
        <v>Periódica</v>
      </c>
      <c r="E5920" s="89">
        <v>365</v>
      </c>
      <c r="F5920" s="89" t="str">
        <v/>
      </c>
      <c r="G5920" s="89" t="str">
        <f ca="1"/>
        <v/>
      </c>
    </row>
    <row r="5921" spans="1:7" x14ac:dyDescent="0.3">
      <c r="A5921" s="89" t="str">
        <v/>
      </c>
      <c r="B5921" s="89" t="str">
        <v>Responsabilidades del Supervisor</v>
      </c>
      <c r="C5921" s="90" t="str">
        <v/>
      </c>
      <c r="D5921" s="89" t="str">
        <v>Periódica</v>
      </c>
      <c r="E5921" s="89">
        <v>365</v>
      </c>
      <c r="F5921" s="89" t="str">
        <v/>
      </c>
      <c r="G5921" s="89" t="str">
        <f ca="1"/>
        <v/>
      </c>
    </row>
    <row r="5922" spans="1:7" x14ac:dyDescent="0.3">
      <c r="A5922" s="89" t="str">
        <v/>
      </c>
      <c r="B5922" s="89" t="str">
        <v>Espacios Confinados (Todos)</v>
      </c>
      <c r="C5922" s="90" t="str">
        <v/>
      </c>
      <c r="D5922" s="89" t="str">
        <v>Periódica</v>
      </c>
      <c r="E5922" s="89">
        <v>365</v>
      </c>
      <c r="F5922" s="89" t="str">
        <v/>
      </c>
      <c r="G5922" s="89" t="str">
        <f ca="1"/>
        <v/>
      </c>
    </row>
    <row r="5923" spans="1:7" x14ac:dyDescent="0.3">
      <c r="A5923" s="89" t="str">
        <v/>
      </c>
      <c r="B5923" s="89" t="str">
        <v>HSMS.017 / Espacios Confinados (Entrantes)</v>
      </c>
      <c r="C5923" s="90" t="str">
        <v/>
      </c>
      <c r="D5923" s="89" t="str">
        <v>Evento</v>
      </c>
      <c r="E5923" s="89">
        <v>0</v>
      </c>
      <c r="F5923" s="89" t="str">
        <v/>
      </c>
      <c r="G5923" s="89" t="str">
        <f ca="1"/>
        <v/>
      </c>
    </row>
    <row r="5924" spans="1:7" x14ac:dyDescent="0.3">
      <c r="A5924" s="89" t="str">
        <v/>
      </c>
      <c r="B5924" s="89" t="str">
        <v>Programa de Agua (Todos)</v>
      </c>
      <c r="C5924" s="90" t="str">
        <v/>
      </c>
      <c r="D5924" s="89" t="str">
        <v>Evento</v>
      </c>
      <c r="E5924" s="89">
        <v>0</v>
      </c>
      <c r="F5924" s="89" t="str">
        <v/>
      </c>
      <c r="G5924" s="89" t="str">
        <f ca="1"/>
        <v/>
      </c>
    </row>
    <row r="5925" spans="1:7" x14ac:dyDescent="0.3">
      <c r="A5925" s="89" t="str">
        <v/>
      </c>
      <c r="B5925" s="89" t="str">
        <v>Programa de Agua (HSE)</v>
      </c>
      <c r="C5925" s="90" t="str">
        <v/>
      </c>
      <c r="D5925" s="89" t="str">
        <v>Evento</v>
      </c>
      <c r="E5925" s="89">
        <v>0</v>
      </c>
      <c r="F5925" s="89" t="str">
        <v/>
      </c>
      <c r="G5925" s="89" t="str">
        <f ca="1"/>
        <v/>
      </c>
    </row>
    <row r="5926" spans="1:7" x14ac:dyDescent="0.3">
      <c r="A5926" s="89" t="str">
        <v/>
      </c>
      <c r="B5926" s="89" t="str">
        <v>HIV/SIDA y otras enfermedades de transmisión sexual (ETS)</v>
      </c>
      <c r="C5926" s="90" t="str">
        <v/>
      </c>
      <c r="D5926" s="89" t="str">
        <v>Periódica</v>
      </c>
      <c r="E5926" s="89">
        <v>365</v>
      </c>
      <c r="F5926" s="89" t="str">
        <v/>
      </c>
      <c r="G5926" s="89" t="str">
        <f ca="1"/>
        <v/>
      </c>
    </row>
    <row r="5927" spans="1:7" x14ac:dyDescent="0.3">
      <c r="A5927" s="89" t="str">
        <v/>
      </c>
      <c r="B5927" s="89" t="str">
        <v>Drogas de abuso (concientización y prevención)</v>
      </c>
      <c r="C5927" s="90" t="str">
        <v/>
      </c>
      <c r="D5927" s="89" t="str">
        <v>Periódica</v>
      </c>
      <c r="E5927" s="89">
        <v>365</v>
      </c>
      <c r="F5927" s="89" t="str">
        <v/>
      </c>
      <c r="G5927" s="89" t="str">
        <f ca="1"/>
        <v/>
      </c>
    </row>
    <row r="5928" spans="1:7" x14ac:dyDescent="0.3">
      <c r="A5928" s="89" t="str">
        <v/>
      </c>
      <c r="B5928" s="89" t="str">
        <v>Vida saludable (hábitos, autocuidado y bienestar)</v>
      </c>
      <c r="C5928" s="90" t="str">
        <v/>
      </c>
      <c r="D5928" s="89" t="str">
        <v>Periódica</v>
      </c>
      <c r="E5928" s="89">
        <v>365</v>
      </c>
      <c r="F5928" s="89" t="str">
        <v/>
      </c>
      <c r="G5928" s="89" t="str">
        <f ca="1"/>
        <v/>
      </c>
    </row>
    <row r="5929" spans="1:7" x14ac:dyDescent="0.3">
      <c r="A5929" s="89" t="str">
        <v/>
      </c>
      <c r="B5929" s="89" t="str">
        <v>Primeros auxilios y Reanimación Cardio Pulmonar (RCP)</v>
      </c>
      <c r="C5929" s="90" t="str">
        <v/>
      </c>
      <c r="D5929" s="89" t="str">
        <v>Periódica</v>
      </c>
      <c r="E5929" s="89">
        <v>365</v>
      </c>
      <c r="F5929" s="89" t="str">
        <v/>
      </c>
      <c r="G5929" s="89" t="str">
        <f ca="1"/>
        <v/>
      </c>
    </row>
    <row r="5930" spans="1:7" x14ac:dyDescent="0.3">
      <c r="A5930" s="89" t="str">
        <v/>
      </c>
      <c r="B5930" s="89" t="str">
        <v>Prevención cardiovascular (factores de riesgo y señales de alarma)</v>
      </c>
      <c r="C5930" s="90" t="str">
        <v/>
      </c>
      <c r="D5930" s="89" t="str">
        <v>Periódica</v>
      </c>
      <c r="E5930" s="89">
        <v>365</v>
      </c>
      <c r="F5930" s="89" t="str">
        <v/>
      </c>
      <c r="G5930" s="89" t="str">
        <f ca="1"/>
        <v/>
      </c>
    </row>
    <row r="5931" spans="1:7" x14ac:dyDescent="0.3">
      <c r="A5931" s="89" t="str">
        <v/>
      </c>
      <c r="B5931" s="89" t="str">
        <v>Efectos del tabaco sobre la salud</v>
      </c>
      <c r="C5931" s="90" t="str">
        <v/>
      </c>
      <c r="D5931" s="89" t="str">
        <v>Periódica</v>
      </c>
      <c r="E5931" s="89">
        <v>365</v>
      </c>
      <c r="F5931" s="89" t="str">
        <v/>
      </c>
      <c r="G5931" s="89" t="str">
        <f ca="1"/>
        <v/>
      </c>
    </row>
    <row r="5932" spans="1:7" x14ac:dyDescent="0.3">
      <c r="A5932" s="89" t="str">
        <v/>
      </c>
      <c r="B5932" s="89" t="str">
        <v>Cargadora (Op. Montacargas)</v>
      </c>
      <c r="C5932" s="90" t="str">
        <v/>
      </c>
      <c r="D5932" s="89" t="str">
        <v>Periódica</v>
      </c>
      <c r="E5932" s="89">
        <v>365</v>
      </c>
      <c r="F5932" s="89" t="str">
        <v/>
      </c>
      <c r="G5932" s="89" t="str">
        <f ca="1"/>
        <v/>
      </c>
    </row>
    <row r="5933" spans="1:7" x14ac:dyDescent="0.3">
      <c r="A5933" s="89" t="str">
        <v/>
      </c>
      <c r="B5933" s="89">
        <v>0</v>
      </c>
      <c r="C5933" s="90" t="str">
        <v/>
      </c>
      <c r="D5933" s="89" t="str">
        <v/>
      </c>
      <c r="E5933" s="89" t="str">
        <v/>
      </c>
      <c r="F5933" s="89" t="str">
        <v/>
      </c>
      <c r="G5933" s="89" t="str">
        <f ca="1"/>
        <v/>
      </c>
    </row>
    <row r="5934" spans="1:7" x14ac:dyDescent="0.3">
      <c r="A5934" s="89" t="str">
        <v/>
      </c>
      <c r="B5934" s="89">
        <v>0</v>
      </c>
      <c r="C5934" s="90" t="str">
        <v/>
      </c>
      <c r="D5934" s="89" t="str">
        <v/>
      </c>
      <c r="E5934" s="89" t="str">
        <v/>
      </c>
      <c r="F5934" s="89" t="str">
        <v/>
      </c>
      <c r="G5934" s="89" t="str">
        <f ca="1"/>
        <v/>
      </c>
    </row>
    <row r="5935" spans="1:7" x14ac:dyDescent="0.3">
      <c r="A5935" s="89" t="str">
        <v/>
      </c>
      <c r="B5935" s="89">
        <v>0</v>
      </c>
      <c r="C5935" s="90" t="str">
        <v/>
      </c>
      <c r="D5935" s="89" t="str">
        <v/>
      </c>
      <c r="E5935" s="89" t="str">
        <v/>
      </c>
      <c r="F5935" s="89" t="str">
        <v/>
      </c>
      <c r="G5935" s="89" t="str">
        <f ca="1"/>
        <v/>
      </c>
    </row>
    <row r="5936" spans="1:7" x14ac:dyDescent="0.3">
      <c r="A5936" s="89" t="str">
        <v/>
      </c>
      <c r="B5936" s="89">
        <v>0</v>
      </c>
      <c r="C5936" s="90" t="str">
        <v/>
      </c>
      <c r="D5936" s="89" t="str">
        <v/>
      </c>
      <c r="E5936" s="89" t="str">
        <v/>
      </c>
      <c r="F5936" s="89" t="str">
        <v/>
      </c>
      <c r="G5936" s="89" t="str">
        <f ca="1"/>
        <v/>
      </c>
    </row>
    <row r="5937" spans="1:7" x14ac:dyDescent="0.3">
      <c r="A5937" s="89" t="str">
        <v/>
      </c>
      <c r="B5937" s="89">
        <v>0</v>
      </c>
      <c r="C5937" s="90" t="str">
        <v/>
      </c>
      <c r="D5937" s="89" t="str">
        <v/>
      </c>
      <c r="E5937" s="89" t="str">
        <v/>
      </c>
      <c r="F5937" s="89" t="str">
        <v/>
      </c>
      <c r="G5937" s="89" t="str">
        <f ca="1"/>
        <v/>
      </c>
    </row>
    <row r="5938" spans="1:7" x14ac:dyDescent="0.3">
      <c r="A5938" s="89" t="str">
        <v/>
      </c>
      <c r="B5938" s="89">
        <v>0</v>
      </c>
      <c r="C5938" s="90" t="str">
        <v/>
      </c>
      <c r="D5938" s="89" t="str">
        <v/>
      </c>
      <c r="E5938" s="89" t="str">
        <v/>
      </c>
      <c r="F5938" s="89" t="str">
        <v/>
      </c>
      <c r="G5938" s="89" t="str">
        <f ca="1"/>
        <v/>
      </c>
    </row>
    <row r="5939" spans="1:7" x14ac:dyDescent="0.3">
      <c r="A5939" s="89" t="str">
        <v/>
      </c>
      <c r="B5939" s="89">
        <v>0</v>
      </c>
      <c r="C5939" s="90" t="str">
        <v/>
      </c>
      <c r="D5939" s="89" t="str">
        <v/>
      </c>
      <c r="E5939" s="89" t="str">
        <v/>
      </c>
      <c r="F5939" s="89" t="str">
        <v/>
      </c>
      <c r="G5939" s="89" t="str">
        <f ca="1"/>
        <v/>
      </c>
    </row>
    <row r="5940" spans="1:7" x14ac:dyDescent="0.3">
      <c r="A5940" s="89" t="str">
        <v/>
      </c>
      <c r="B5940" s="89">
        <v>0</v>
      </c>
      <c r="C5940" s="90" t="str">
        <v/>
      </c>
      <c r="D5940" s="89" t="str">
        <v/>
      </c>
      <c r="E5940" s="89" t="str">
        <v/>
      </c>
      <c r="F5940" s="89" t="str">
        <v/>
      </c>
      <c r="G5940" s="89" t="str">
        <f ca="1"/>
        <v/>
      </c>
    </row>
    <row r="5941" spans="1:7" x14ac:dyDescent="0.3">
      <c r="A5941" s="89" t="str">
        <v/>
      </c>
      <c r="B5941" s="89">
        <v>0</v>
      </c>
      <c r="C5941" s="90" t="str">
        <v/>
      </c>
      <c r="D5941" s="89" t="str">
        <v/>
      </c>
      <c r="E5941" s="89" t="str">
        <v/>
      </c>
      <c r="F5941" s="89" t="str">
        <v/>
      </c>
      <c r="G5941" s="89" t="str">
        <f ca="1"/>
        <v/>
      </c>
    </row>
    <row r="5942" spans="1:7" x14ac:dyDescent="0.3">
      <c r="F5942" s="89" t="str">
        <v/>
      </c>
    </row>
    <row r="5943" spans="1:7" x14ac:dyDescent="0.3">
      <c r="F5943" s="89" t="str">
        <v/>
      </c>
    </row>
    <row r="5944" spans="1:7" x14ac:dyDescent="0.3">
      <c r="F5944" s="89" t="str">
        <v/>
      </c>
    </row>
    <row r="5945" spans="1:7" x14ac:dyDescent="0.3">
      <c r="F5945" s="89" t="str">
        <v/>
      </c>
    </row>
    <row r="5946" spans="1:7" x14ac:dyDescent="0.3">
      <c r="F5946" s="89" t="str">
        <v/>
      </c>
    </row>
    <row r="5947" spans="1:7" x14ac:dyDescent="0.3">
      <c r="F5947" s="89" t="str">
        <v/>
      </c>
    </row>
    <row r="5948" spans="1:7" x14ac:dyDescent="0.3">
      <c r="F5948" s="89" t="str">
        <v/>
      </c>
    </row>
    <row r="5949" spans="1:7" x14ac:dyDescent="0.3">
      <c r="F5949" s="89" t="str">
        <v/>
      </c>
    </row>
    <row r="5950" spans="1:7" x14ac:dyDescent="0.3">
      <c r="F5950" s="89" t="str">
        <v/>
      </c>
    </row>
    <row r="5951" spans="1:7" x14ac:dyDescent="0.3">
      <c r="F5951" s="89" t="str">
        <v/>
      </c>
    </row>
    <row r="5952" spans="1:7" x14ac:dyDescent="0.3">
      <c r="F5952" s="89" t="str">
        <v/>
      </c>
    </row>
    <row r="5953" spans="6:6" x14ac:dyDescent="0.3">
      <c r="F5953" s="89" t="str">
        <v/>
      </c>
    </row>
    <row r="5954" spans="6:6" x14ac:dyDescent="0.3">
      <c r="F5954" s="89" t="str">
        <v/>
      </c>
    </row>
    <row r="5955" spans="6:6" x14ac:dyDescent="0.3">
      <c r="F5955" s="89" t="str">
        <v/>
      </c>
    </row>
    <row r="5956" spans="6:6" x14ac:dyDescent="0.3">
      <c r="F5956" s="89" t="str">
        <v/>
      </c>
    </row>
    <row r="5957" spans="6:6" x14ac:dyDescent="0.3">
      <c r="F5957" s="89" t="str">
        <v/>
      </c>
    </row>
    <row r="5958" spans="6:6" x14ac:dyDescent="0.3">
      <c r="F5958" s="89" t="str">
        <v/>
      </c>
    </row>
    <row r="5959" spans="6:6" x14ac:dyDescent="0.3">
      <c r="F5959" s="89" t="str">
        <v/>
      </c>
    </row>
    <row r="5960" spans="6:6" x14ac:dyDescent="0.3">
      <c r="F5960" s="89" t="str">
        <v/>
      </c>
    </row>
    <row r="5961" spans="6:6" x14ac:dyDescent="0.3">
      <c r="F5961" s="89" t="str">
        <v/>
      </c>
    </row>
    <row r="5962" spans="6:6" x14ac:dyDescent="0.3">
      <c r="F5962" s="89" t="str">
        <v/>
      </c>
    </row>
    <row r="5963" spans="6:6" x14ac:dyDescent="0.3">
      <c r="F5963" s="89" t="str">
        <v/>
      </c>
    </row>
    <row r="5964" spans="6:6" x14ac:dyDescent="0.3">
      <c r="F5964" s="89" t="str">
        <v/>
      </c>
    </row>
    <row r="5965" spans="6:6" x14ac:dyDescent="0.3">
      <c r="F5965" s="89" t="str">
        <v/>
      </c>
    </row>
    <row r="5966" spans="6:6" x14ac:dyDescent="0.3">
      <c r="F5966" s="89" t="str">
        <v/>
      </c>
    </row>
    <row r="5967" spans="6:6" x14ac:dyDescent="0.3">
      <c r="F5967" s="89" t="str">
        <v/>
      </c>
    </row>
    <row r="5968" spans="6:6" x14ac:dyDescent="0.3">
      <c r="F5968" s="89" t="str">
        <v/>
      </c>
    </row>
    <row r="5969" spans="6:6" x14ac:dyDescent="0.3">
      <c r="F5969" s="89" t="str">
        <v/>
      </c>
    </row>
    <row r="5970" spans="6:6" x14ac:dyDescent="0.3">
      <c r="F5970" s="89" t="str">
        <v/>
      </c>
    </row>
    <row r="5971" spans="6:6" x14ac:dyDescent="0.3">
      <c r="F5971" s="89" t="str">
        <v/>
      </c>
    </row>
    <row r="5972" spans="6:6" x14ac:dyDescent="0.3">
      <c r="F5972" s="89" t="str">
        <v/>
      </c>
    </row>
    <row r="5973" spans="6:6" x14ac:dyDescent="0.3">
      <c r="F5973" s="89" t="str">
        <v/>
      </c>
    </row>
    <row r="5974" spans="6:6" x14ac:dyDescent="0.3">
      <c r="F5974" s="89" t="str">
        <v/>
      </c>
    </row>
    <row r="5975" spans="6:6" x14ac:dyDescent="0.3">
      <c r="F5975" s="89" t="str">
        <v/>
      </c>
    </row>
    <row r="5976" spans="6:6" x14ac:dyDescent="0.3">
      <c r="F5976" s="89" t="str">
        <v/>
      </c>
    </row>
    <row r="5977" spans="6:6" x14ac:dyDescent="0.3">
      <c r="F5977" s="89" t="str">
        <v/>
      </c>
    </row>
    <row r="5978" spans="6:6" x14ac:dyDescent="0.3">
      <c r="F5978" s="89" t="str">
        <v/>
      </c>
    </row>
    <row r="5979" spans="6:6" x14ac:dyDescent="0.3">
      <c r="F5979" s="89" t="str">
        <v/>
      </c>
    </row>
    <row r="5980" spans="6:6" x14ac:dyDescent="0.3">
      <c r="F5980" s="89" t="str">
        <v/>
      </c>
    </row>
    <row r="5981" spans="6:6" x14ac:dyDescent="0.3">
      <c r="F5981" s="89" t="str">
        <v/>
      </c>
    </row>
    <row r="5982" spans="6:6" x14ac:dyDescent="0.3">
      <c r="F5982" s="89" t="str">
        <v/>
      </c>
    </row>
    <row r="5983" spans="6:6" x14ac:dyDescent="0.3">
      <c r="F5983" s="89" t="str">
        <v/>
      </c>
    </row>
    <row r="5984" spans="6:6" x14ac:dyDescent="0.3">
      <c r="F5984" s="89" t="str">
        <v/>
      </c>
    </row>
    <row r="5985" spans="6:6" x14ac:dyDescent="0.3">
      <c r="F5985" s="89" t="str">
        <v/>
      </c>
    </row>
    <row r="5986" spans="6:6" x14ac:dyDescent="0.3">
      <c r="F5986" s="89" t="str">
        <v/>
      </c>
    </row>
    <row r="5987" spans="6:6" x14ac:dyDescent="0.3">
      <c r="F5987" s="89" t="str">
        <v/>
      </c>
    </row>
    <row r="5988" spans="6:6" x14ac:dyDescent="0.3">
      <c r="F5988" s="89" t="str">
        <v/>
      </c>
    </row>
    <row r="5989" spans="6:6" x14ac:dyDescent="0.3">
      <c r="F5989" s="89" t="str">
        <v/>
      </c>
    </row>
    <row r="5990" spans="6:6" x14ac:dyDescent="0.3">
      <c r="F5990" s="89" t="str">
        <v/>
      </c>
    </row>
    <row r="5991" spans="6:6" x14ac:dyDescent="0.3">
      <c r="F5991" s="89" t="str">
        <v/>
      </c>
    </row>
    <row r="5992" spans="6:6" x14ac:dyDescent="0.3">
      <c r="F5992" s="89" t="str">
        <v/>
      </c>
    </row>
    <row r="5993" spans="6:6" x14ac:dyDescent="0.3">
      <c r="F5993" s="89" t="str">
        <v/>
      </c>
    </row>
    <row r="5994" spans="6:6" x14ac:dyDescent="0.3">
      <c r="F5994" s="89" t="str">
        <v/>
      </c>
    </row>
    <row r="5995" spans="6:6" x14ac:dyDescent="0.3">
      <c r="F5995" s="89" t="str">
        <v/>
      </c>
    </row>
    <row r="5996" spans="6:6" x14ac:dyDescent="0.3">
      <c r="F5996" s="89" t="str">
        <v/>
      </c>
    </row>
    <row r="5997" spans="6:6" x14ac:dyDescent="0.3">
      <c r="F5997" s="89" t="str">
        <v/>
      </c>
    </row>
    <row r="5998" spans="6:6" x14ac:dyDescent="0.3">
      <c r="F5998" s="89" t="str">
        <v/>
      </c>
    </row>
    <row r="5999" spans="6:6" x14ac:dyDescent="0.3">
      <c r="F5999" s="89" t="str">
        <v/>
      </c>
    </row>
    <row r="6000" spans="6:6" x14ac:dyDescent="0.3">
      <c r="F6000" s="89" t="str">
        <v/>
      </c>
    </row>
    <row r="6001" spans="6:6" x14ac:dyDescent="0.3">
      <c r="F6001" s="89" t="str">
        <v/>
      </c>
    </row>
    <row r="6002" spans="6:6" x14ac:dyDescent="0.3">
      <c r="F6002" s="89" t="str">
        <v/>
      </c>
    </row>
    <row r="6003" spans="6:6" x14ac:dyDescent="0.3">
      <c r="F6003" s="89" t="str">
        <v/>
      </c>
    </row>
    <row r="6004" spans="6:6" x14ac:dyDescent="0.3">
      <c r="F6004" s="89" t="str">
        <v/>
      </c>
    </row>
    <row r="6005" spans="6:6" x14ac:dyDescent="0.3">
      <c r="F6005" s="89" t="str">
        <v/>
      </c>
    </row>
    <row r="6006" spans="6:6" x14ac:dyDescent="0.3">
      <c r="F6006" s="89" t="str">
        <v/>
      </c>
    </row>
    <row r="6007" spans="6:6" x14ac:dyDescent="0.3">
      <c r="F6007" s="89" t="str">
        <v/>
      </c>
    </row>
    <row r="6008" spans="6:6" x14ac:dyDescent="0.3">
      <c r="F6008" s="89" t="str">
        <v/>
      </c>
    </row>
    <row r="6009" spans="6:6" x14ac:dyDescent="0.3">
      <c r="F6009" s="89" t="str">
        <v/>
      </c>
    </row>
    <row r="6010" spans="6:6" x14ac:dyDescent="0.3">
      <c r="F6010" s="89" t="str">
        <v/>
      </c>
    </row>
    <row r="6011" spans="6:6" x14ac:dyDescent="0.3">
      <c r="F6011" s="89" t="str">
        <v/>
      </c>
    </row>
    <row r="6012" spans="6:6" x14ac:dyDescent="0.3">
      <c r="F6012" s="89" t="str">
        <v/>
      </c>
    </row>
    <row r="6013" spans="6:6" x14ac:dyDescent="0.3">
      <c r="F6013" s="89" t="str">
        <v/>
      </c>
    </row>
    <row r="6014" spans="6:6" x14ac:dyDescent="0.3">
      <c r="F6014" s="89" t="str">
        <v/>
      </c>
    </row>
    <row r="6015" spans="6:6" x14ac:dyDescent="0.3">
      <c r="F6015" s="89" t="str">
        <v/>
      </c>
    </row>
    <row r="6016" spans="6:6" x14ac:dyDescent="0.3">
      <c r="F6016" s="89" t="str">
        <v/>
      </c>
    </row>
    <row r="6017" spans="6:6" x14ac:dyDescent="0.3">
      <c r="F6017" s="89" t="str">
        <v/>
      </c>
    </row>
    <row r="6018" spans="6:6" x14ac:dyDescent="0.3">
      <c r="F6018" s="89" t="str">
        <v/>
      </c>
    </row>
    <row r="6019" spans="6:6" x14ac:dyDescent="0.3">
      <c r="F6019" s="89" t="str">
        <v/>
      </c>
    </row>
    <row r="6020" spans="6:6" x14ac:dyDescent="0.3">
      <c r="F6020" s="89" t="str">
        <v/>
      </c>
    </row>
    <row r="6021" spans="6:6" x14ac:dyDescent="0.3">
      <c r="F6021" s="89" t="str">
        <v/>
      </c>
    </row>
    <row r="6022" spans="6:6" x14ac:dyDescent="0.3">
      <c r="F6022" s="89" t="str">
        <v/>
      </c>
    </row>
    <row r="6023" spans="6:6" x14ac:dyDescent="0.3">
      <c r="F6023" s="89" t="str">
        <v/>
      </c>
    </row>
    <row r="6024" spans="6:6" x14ac:dyDescent="0.3">
      <c r="F6024" s="89" t="str">
        <v/>
      </c>
    </row>
    <row r="6025" spans="6:6" x14ac:dyDescent="0.3">
      <c r="F6025" s="89" t="str">
        <v/>
      </c>
    </row>
    <row r="6026" spans="6:6" x14ac:dyDescent="0.3">
      <c r="F6026" s="89" t="str">
        <v/>
      </c>
    </row>
    <row r="6027" spans="6:6" x14ac:dyDescent="0.3">
      <c r="F6027" s="89" t="str">
        <v/>
      </c>
    </row>
    <row r="6028" spans="6:6" x14ac:dyDescent="0.3">
      <c r="F6028" s="89" t="str">
        <v/>
      </c>
    </row>
    <row r="6029" spans="6:6" x14ac:dyDescent="0.3">
      <c r="F6029" s="89" t="str">
        <v/>
      </c>
    </row>
    <row r="6030" spans="6:6" x14ac:dyDescent="0.3">
      <c r="F6030" s="89" t="str">
        <v/>
      </c>
    </row>
    <row r="6031" spans="6:6" x14ac:dyDescent="0.3">
      <c r="F6031" s="89" t="str">
        <v/>
      </c>
    </row>
    <row r="6032" spans="6:6" x14ac:dyDescent="0.3">
      <c r="F6032" s="89" t="str">
        <v/>
      </c>
    </row>
    <row r="6033" spans="6:6" x14ac:dyDescent="0.3">
      <c r="F6033" s="89" t="str">
        <v/>
      </c>
    </row>
    <row r="6034" spans="6:6" x14ac:dyDescent="0.3">
      <c r="F6034" s="89" t="str">
        <v/>
      </c>
    </row>
    <row r="6035" spans="6:6" x14ac:dyDescent="0.3">
      <c r="F6035" s="89" t="str">
        <v/>
      </c>
    </row>
    <row r="6036" spans="6:6" x14ac:dyDescent="0.3">
      <c r="F6036" s="89" t="str">
        <v/>
      </c>
    </row>
    <row r="6037" spans="6:6" x14ac:dyDescent="0.3">
      <c r="F6037" s="89" t="str">
        <v/>
      </c>
    </row>
    <row r="6038" spans="6:6" x14ac:dyDescent="0.3">
      <c r="F6038" s="89" t="str">
        <v/>
      </c>
    </row>
    <row r="6039" spans="6:6" x14ac:dyDescent="0.3">
      <c r="F6039" s="89" t="str">
        <v/>
      </c>
    </row>
    <row r="6040" spans="6:6" x14ac:dyDescent="0.3">
      <c r="F6040" s="89" t="str">
        <v/>
      </c>
    </row>
    <row r="6041" spans="6:6" x14ac:dyDescent="0.3">
      <c r="F6041" s="89" t="str">
        <v/>
      </c>
    </row>
    <row r="6042" spans="6:6" x14ac:dyDescent="0.3">
      <c r="F6042" s="89" t="str">
        <v/>
      </c>
    </row>
    <row r="6043" spans="6:6" x14ac:dyDescent="0.3">
      <c r="F6043" s="89" t="str">
        <v/>
      </c>
    </row>
    <row r="6044" spans="6:6" x14ac:dyDescent="0.3">
      <c r="F6044" s="89" t="str">
        <v/>
      </c>
    </row>
    <row r="6045" spans="6:6" x14ac:dyDescent="0.3">
      <c r="F6045" s="89" t="str">
        <v/>
      </c>
    </row>
    <row r="6046" spans="6:6" x14ac:dyDescent="0.3">
      <c r="F6046" s="89" t="str">
        <v/>
      </c>
    </row>
    <row r="6047" spans="6:6" x14ac:dyDescent="0.3">
      <c r="F6047" s="89" t="str">
        <v/>
      </c>
    </row>
    <row r="6048" spans="6:6" x14ac:dyDescent="0.3">
      <c r="F6048" s="89" t="str">
        <v/>
      </c>
    </row>
    <row r="6049" spans="6:6" x14ac:dyDescent="0.3">
      <c r="F6049" s="89" t="str">
        <v/>
      </c>
    </row>
    <row r="6050" spans="6:6" x14ac:dyDescent="0.3">
      <c r="F6050" s="89" t="str">
        <v/>
      </c>
    </row>
    <row r="6051" spans="6:6" x14ac:dyDescent="0.3">
      <c r="F6051" s="89" t="str">
        <v/>
      </c>
    </row>
    <row r="6052" spans="6:6" x14ac:dyDescent="0.3">
      <c r="F6052" s="89" t="str">
        <v/>
      </c>
    </row>
    <row r="6053" spans="6:6" x14ac:dyDescent="0.3">
      <c r="F6053" s="89" t="str">
        <v/>
      </c>
    </row>
    <row r="6054" spans="6:6" x14ac:dyDescent="0.3">
      <c r="F6054" s="89" t="str">
        <v/>
      </c>
    </row>
    <row r="6055" spans="6:6" x14ac:dyDescent="0.3">
      <c r="F6055" s="89" t="str">
        <v/>
      </c>
    </row>
    <row r="6056" spans="6:6" x14ac:dyDescent="0.3">
      <c r="F6056" s="89" t="str">
        <v/>
      </c>
    </row>
    <row r="6057" spans="6:6" x14ac:dyDescent="0.3">
      <c r="F6057" s="89" t="str">
        <v/>
      </c>
    </row>
    <row r="6058" spans="6:6" x14ac:dyDescent="0.3">
      <c r="F6058" s="89" t="str">
        <v/>
      </c>
    </row>
    <row r="6059" spans="6:6" x14ac:dyDescent="0.3">
      <c r="F6059" s="89" t="str">
        <v/>
      </c>
    </row>
    <row r="6060" spans="6:6" x14ac:dyDescent="0.3">
      <c r="F6060" s="89" t="str">
        <v/>
      </c>
    </row>
    <row r="6061" spans="6:6" x14ac:dyDescent="0.3">
      <c r="F6061" s="89" t="str">
        <v/>
      </c>
    </row>
    <row r="6062" spans="6:6" x14ac:dyDescent="0.3">
      <c r="F6062" s="89" t="str">
        <v/>
      </c>
    </row>
    <row r="6063" spans="6:6" x14ac:dyDescent="0.3">
      <c r="F6063" s="89" t="str">
        <v/>
      </c>
    </row>
    <row r="6064" spans="6:6" x14ac:dyDescent="0.3">
      <c r="F6064" s="89" t="str">
        <v/>
      </c>
    </row>
    <row r="6065" spans="6:6" x14ac:dyDescent="0.3">
      <c r="F6065" s="89" t="str">
        <v/>
      </c>
    </row>
    <row r="6066" spans="6:6" x14ac:dyDescent="0.3">
      <c r="F6066" s="89" t="str">
        <v/>
      </c>
    </row>
    <row r="6067" spans="6:6" x14ac:dyDescent="0.3">
      <c r="F6067" s="89" t="str">
        <v/>
      </c>
    </row>
    <row r="6068" spans="6:6" x14ac:dyDescent="0.3">
      <c r="F6068" s="89" t="str">
        <v/>
      </c>
    </row>
    <row r="6069" spans="6:6" x14ac:dyDescent="0.3">
      <c r="F6069" s="89" t="str">
        <v/>
      </c>
    </row>
    <row r="6070" spans="6:6" x14ac:dyDescent="0.3">
      <c r="F6070" s="89" t="str">
        <v/>
      </c>
    </row>
    <row r="6071" spans="6:6" x14ac:dyDescent="0.3">
      <c r="F6071" s="89" t="str">
        <v/>
      </c>
    </row>
    <row r="6072" spans="6:6" x14ac:dyDescent="0.3">
      <c r="F6072" s="89" t="str">
        <v/>
      </c>
    </row>
    <row r="6073" spans="6:6" x14ac:dyDescent="0.3">
      <c r="F6073" s="89" t="str">
        <v/>
      </c>
    </row>
    <row r="6074" spans="6:6" x14ac:dyDescent="0.3">
      <c r="F6074" s="89" t="str">
        <v/>
      </c>
    </row>
    <row r="6075" spans="6:6" x14ac:dyDescent="0.3">
      <c r="F6075" s="89" t="str">
        <v/>
      </c>
    </row>
    <row r="6076" spans="6:6" x14ac:dyDescent="0.3">
      <c r="F6076" s="89" t="str">
        <v/>
      </c>
    </row>
    <row r="6077" spans="6:6" x14ac:dyDescent="0.3">
      <c r="F6077" s="89" t="str">
        <v/>
      </c>
    </row>
    <row r="6078" spans="6:6" x14ac:dyDescent="0.3">
      <c r="F6078" s="89" t="str">
        <v/>
      </c>
    </row>
    <row r="6079" spans="6:6" x14ac:dyDescent="0.3">
      <c r="F6079" s="89" t="str">
        <v/>
      </c>
    </row>
    <row r="6080" spans="6:6" x14ac:dyDescent="0.3">
      <c r="F6080" s="89" t="str">
        <v/>
      </c>
    </row>
    <row r="6081" spans="6:6" x14ac:dyDescent="0.3">
      <c r="F6081" s="89" t="str">
        <v/>
      </c>
    </row>
    <row r="6082" spans="6:6" x14ac:dyDescent="0.3">
      <c r="F6082" s="89" t="str">
        <v/>
      </c>
    </row>
    <row r="6083" spans="6:6" x14ac:dyDescent="0.3">
      <c r="F6083" s="89" t="str">
        <v/>
      </c>
    </row>
    <row r="6084" spans="6:6" x14ac:dyDescent="0.3">
      <c r="F6084" s="89" t="str">
        <v/>
      </c>
    </row>
    <row r="6085" spans="6:6" x14ac:dyDescent="0.3">
      <c r="F6085" s="89" t="str">
        <v/>
      </c>
    </row>
    <row r="6086" spans="6:6" x14ac:dyDescent="0.3">
      <c r="F6086" s="89" t="str">
        <v/>
      </c>
    </row>
    <row r="6087" spans="6:6" x14ac:dyDescent="0.3">
      <c r="F6087" s="89" t="str">
        <v/>
      </c>
    </row>
    <row r="6088" spans="6:6" x14ac:dyDescent="0.3">
      <c r="F6088" s="89" t="str">
        <v/>
      </c>
    </row>
    <row r="6089" spans="6:6" x14ac:dyDescent="0.3">
      <c r="F6089" s="89" t="str">
        <v/>
      </c>
    </row>
    <row r="6090" spans="6:6" x14ac:dyDescent="0.3">
      <c r="F6090" s="89" t="str">
        <v/>
      </c>
    </row>
    <row r="6091" spans="6:6" x14ac:dyDescent="0.3">
      <c r="F6091" s="89" t="str">
        <v/>
      </c>
    </row>
    <row r="6092" spans="6:6" x14ac:dyDescent="0.3">
      <c r="F6092" s="89" t="str">
        <v/>
      </c>
    </row>
    <row r="6093" spans="6:6" x14ac:dyDescent="0.3">
      <c r="F6093" s="89" t="str">
        <v/>
      </c>
    </row>
    <row r="6094" spans="6:6" x14ac:dyDescent="0.3">
      <c r="F6094" s="89" t="str">
        <v/>
      </c>
    </row>
    <row r="6095" spans="6:6" x14ac:dyDescent="0.3">
      <c r="F6095" s="89" t="str">
        <v/>
      </c>
    </row>
    <row r="6096" spans="6:6" x14ac:dyDescent="0.3">
      <c r="F6096" s="89" t="str">
        <v/>
      </c>
    </row>
    <row r="6097" spans="6:6" x14ac:dyDescent="0.3">
      <c r="F6097" s="89" t="str">
        <v/>
      </c>
    </row>
    <row r="6098" spans="6:6" x14ac:dyDescent="0.3">
      <c r="F6098" s="89" t="str">
        <v/>
      </c>
    </row>
    <row r="6099" spans="6:6" x14ac:dyDescent="0.3">
      <c r="F6099" s="89" t="str">
        <v/>
      </c>
    </row>
    <row r="6100" spans="6:6" x14ac:dyDescent="0.3">
      <c r="F6100" s="89" t="str">
        <v/>
      </c>
    </row>
    <row r="6101" spans="6:6" x14ac:dyDescent="0.3">
      <c r="F6101" s="89" t="str">
        <v/>
      </c>
    </row>
    <row r="6102" spans="6:6" x14ac:dyDescent="0.3">
      <c r="F6102" s="89" t="str">
        <v/>
      </c>
    </row>
    <row r="6103" spans="6:6" x14ac:dyDescent="0.3">
      <c r="F6103" s="89" t="str">
        <v/>
      </c>
    </row>
    <row r="6104" spans="6:6" x14ac:dyDescent="0.3">
      <c r="F6104" s="89" t="str">
        <v/>
      </c>
    </row>
    <row r="6105" spans="6:6" x14ac:dyDescent="0.3">
      <c r="F6105" s="89" t="str">
        <v/>
      </c>
    </row>
    <row r="6106" spans="6:6" x14ac:dyDescent="0.3">
      <c r="F6106" s="89" t="str">
        <v/>
      </c>
    </row>
    <row r="6107" spans="6:6" x14ac:dyDescent="0.3">
      <c r="F6107" s="89" t="str">
        <v/>
      </c>
    </row>
    <row r="6108" spans="6:6" x14ac:dyDescent="0.3">
      <c r="F6108" s="89" t="str">
        <v/>
      </c>
    </row>
    <row r="6109" spans="6:6" x14ac:dyDescent="0.3">
      <c r="F6109" s="89" t="str">
        <v/>
      </c>
    </row>
    <row r="6110" spans="6:6" x14ac:dyDescent="0.3">
      <c r="F6110" s="89" t="str">
        <v/>
      </c>
    </row>
    <row r="6111" spans="6:6" x14ac:dyDescent="0.3">
      <c r="F6111" s="89" t="str">
        <v/>
      </c>
    </row>
    <row r="6112" spans="6:6" x14ac:dyDescent="0.3">
      <c r="F6112" s="89" t="str">
        <v/>
      </c>
    </row>
    <row r="6113" spans="6:6" x14ac:dyDescent="0.3">
      <c r="F6113" s="89" t="str">
        <v/>
      </c>
    </row>
    <row r="6114" spans="6:6" x14ac:dyDescent="0.3">
      <c r="F6114" s="89" t="str">
        <v/>
      </c>
    </row>
    <row r="6115" spans="6:6" x14ac:dyDescent="0.3">
      <c r="F6115" s="89" t="str">
        <v/>
      </c>
    </row>
    <row r="6116" spans="6:6" x14ac:dyDescent="0.3">
      <c r="F6116" s="89" t="str">
        <v/>
      </c>
    </row>
    <row r="6117" spans="6:6" x14ac:dyDescent="0.3">
      <c r="F6117" s="89" t="str">
        <v/>
      </c>
    </row>
    <row r="6118" spans="6:6" x14ac:dyDescent="0.3">
      <c r="F6118" s="89" t="str">
        <v/>
      </c>
    </row>
    <row r="6119" spans="6:6" x14ac:dyDescent="0.3">
      <c r="F6119" s="89" t="str">
        <v/>
      </c>
    </row>
    <row r="6120" spans="6:6" x14ac:dyDescent="0.3">
      <c r="F6120" s="89" t="str">
        <v/>
      </c>
    </row>
    <row r="6121" spans="6:6" x14ac:dyDescent="0.3">
      <c r="F6121" s="89" t="str">
        <v/>
      </c>
    </row>
    <row r="6122" spans="6:6" x14ac:dyDescent="0.3">
      <c r="F6122" s="89" t="str">
        <v/>
      </c>
    </row>
    <row r="6123" spans="6:6" x14ac:dyDescent="0.3">
      <c r="F6123" s="89" t="str">
        <v/>
      </c>
    </row>
    <row r="6124" spans="6:6" x14ac:dyDescent="0.3">
      <c r="F6124" s="89" t="str">
        <v/>
      </c>
    </row>
    <row r="6125" spans="6:6" x14ac:dyDescent="0.3">
      <c r="F6125" s="89" t="str">
        <v/>
      </c>
    </row>
    <row r="6126" spans="6:6" x14ac:dyDescent="0.3">
      <c r="F6126" s="89" t="str">
        <v/>
      </c>
    </row>
    <row r="6127" spans="6:6" x14ac:dyDescent="0.3">
      <c r="F6127" s="89" t="str">
        <v/>
      </c>
    </row>
    <row r="6128" spans="6:6" x14ac:dyDescent="0.3">
      <c r="F6128" s="89" t="str">
        <v/>
      </c>
    </row>
    <row r="6129" spans="6:6" x14ac:dyDescent="0.3">
      <c r="F6129" s="89" t="str">
        <v/>
      </c>
    </row>
    <row r="6130" spans="6:6" x14ac:dyDescent="0.3">
      <c r="F6130" s="89" t="str">
        <v/>
      </c>
    </row>
    <row r="6131" spans="6:6" x14ac:dyDescent="0.3">
      <c r="F6131" s="89" t="str">
        <v/>
      </c>
    </row>
    <row r="6132" spans="6:6" x14ac:dyDescent="0.3">
      <c r="F6132" s="89" t="str">
        <v/>
      </c>
    </row>
    <row r="6133" spans="6:6" x14ac:dyDescent="0.3">
      <c r="F6133" s="89" t="str">
        <v/>
      </c>
    </row>
    <row r="6134" spans="6:6" x14ac:dyDescent="0.3">
      <c r="F6134" s="89" t="str">
        <v/>
      </c>
    </row>
    <row r="6135" spans="6:6" x14ac:dyDescent="0.3">
      <c r="F6135" s="89" t="str">
        <v/>
      </c>
    </row>
    <row r="6136" spans="6:6" x14ac:dyDescent="0.3">
      <c r="F6136" s="89" t="str">
        <v/>
      </c>
    </row>
    <row r="6137" spans="6:6" x14ac:dyDescent="0.3">
      <c r="F6137" s="89" t="str">
        <v/>
      </c>
    </row>
    <row r="6138" spans="6:6" x14ac:dyDescent="0.3">
      <c r="F6138" s="89" t="str">
        <v/>
      </c>
    </row>
    <row r="6139" spans="6:6" x14ac:dyDescent="0.3">
      <c r="F6139" s="89" t="str">
        <v/>
      </c>
    </row>
    <row r="6140" spans="6:6" x14ac:dyDescent="0.3">
      <c r="F6140" s="89" t="str">
        <v/>
      </c>
    </row>
    <row r="6141" spans="6:6" x14ac:dyDescent="0.3">
      <c r="F6141" s="89" t="str">
        <v/>
      </c>
    </row>
    <row r="6142" spans="6:6" x14ac:dyDescent="0.3">
      <c r="F6142" s="89" t="str">
        <v/>
      </c>
    </row>
    <row r="6143" spans="6:6" x14ac:dyDescent="0.3">
      <c r="F6143" s="89" t="str">
        <v/>
      </c>
    </row>
    <row r="6144" spans="6:6" x14ac:dyDescent="0.3">
      <c r="F6144" s="89" t="str">
        <v/>
      </c>
    </row>
    <row r="6145" spans="6:6" x14ac:dyDescent="0.3">
      <c r="F6145" s="89" t="str">
        <v/>
      </c>
    </row>
    <row r="6146" spans="6:6" x14ac:dyDescent="0.3">
      <c r="F6146" s="89" t="str">
        <v/>
      </c>
    </row>
    <row r="6147" spans="6:6" x14ac:dyDescent="0.3">
      <c r="F6147" s="89" t="str">
        <v/>
      </c>
    </row>
    <row r="6148" spans="6:6" x14ac:dyDescent="0.3">
      <c r="F6148" s="89" t="str">
        <v/>
      </c>
    </row>
    <row r="6149" spans="6:6" x14ac:dyDescent="0.3">
      <c r="F6149" s="89" t="str">
        <v/>
      </c>
    </row>
    <row r="6150" spans="6:6" x14ac:dyDescent="0.3">
      <c r="F6150" s="89" t="str">
        <v/>
      </c>
    </row>
    <row r="6151" spans="6:6" x14ac:dyDescent="0.3">
      <c r="F6151" s="89" t="str">
        <v/>
      </c>
    </row>
    <row r="6152" spans="6:6" x14ac:dyDescent="0.3">
      <c r="F6152" s="89" t="str">
        <v/>
      </c>
    </row>
    <row r="6153" spans="6:6" x14ac:dyDescent="0.3">
      <c r="F6153" s="89" t="str">
        <v/>
      </c>
    </row>
    <row r="6154" spans="6:6" x14ac:dyDescent="0.3">
      <c r="F6154" s="89" t="str">
        <v/>
      </c>
    </row>
    <row r="6155" spans="6:6" x14ac:dyDescent="0.3">
      <c r="F6155" s="89" t="str">
        <v/>
      </c>
    </row>
    <row r="6156" spans="6:6" x14ac:dyDescent="0.3">
      <c r="F6156" s="89" t="str">
        <v/>
      </c>
    </row>
    <row r="6157" spans="6:6" x14ac:dyDescent="0.3">
      <c r="F6157" s="89" t="str">
        <v/>
      </c>
    </row>
    <row r="6158" spans="6:6" x14ac:dyDescent="0.3">
      <c r="F6158" s="89" t="str">
        <v/>
      </c>
    </row>
    <row r="6159" spans="6:6" x14ac:dyDescent="0.3">
      <c r="F6159" s="89" t="str">
        <v/>
      </c>
    </row>
    <row r="6160" spans="6:6" x14ac:dyDescent="0.3">
      <c r="F6160" s="89" t="str">
        <v/>
      </c>
    </row>
    <row r="6161" spans="6:6" x14ac:dyDescent="0.3">
      <c r="F6161" s="89" t="str">
        <v/>
      </c>
    </row>
    <row r="6162" spans="6:6" x14ac:dyDescent="0.3">
      <c r="F6162" s="89" t="str">
        <v/>
      </c>
    </row>
    <row r="6163" spans="6:6" x14ac:dyDescent="0.3">
      <c r="F6163" s="89" t="str">
        <v/>
      </c>
    </row>
    <row r="6164" spans="6:6" x14ac:dyDescent="0.3">
      <c r="F6164" s="89" t="str">
        <v/>
      </c>
    </row>
    <row r="6165" spans="6:6" x14ac:dyDescent="0.3">
      <c r="F6165" s="89" t="str">
        <v/>
      </c>
    </row>
    <row r="6166" spans="6:6" x14ac:dyDescent="0.3">
      <c r="F6166" s="89" t="str">
        <v/>
      </c>
    </row>
    <row r="6167" spans="6:6" x14ac:dyDescent="0.3">
      <c r="F6167" s="89" t="str">
        <v/>
      </c>
    </row>
    <row r="6168" spans="6:6" x14ac:dyDescent="0.3">
      <c r="F6168" s="89" t="str">
        <v/>
      </c>
    </row>
    <row r="6169" spans="6:6" x14ac:dyDescent="0.3">
      <c r="F6169" s="89" t="str">
        <v/>
      </c>
    </row>
    <row r="6170" spans="6:6" x14ac:dyDescent="0.3">
      <c r="F6170" s="89" t="str">
        <v/>
      </c>
    </row>
    <row r="6171" spans="6:6" x14ac:dyDescent="0.3">
      <c r="F6171" s="89" t="str">
        <v/>
      </c>
    </row>
    <row r="6172" spans="6:6" x14ac:dyDescent="0.3">
      <c r="F6172" s="89" t="str">
        <v/>
      </c>
    </row>
    <row r="6173" spans="6:6" x14ac:dyDescent="0.3">
      <c r="F6173" s="89" t="str">
        <v/>
      </c>
    </row>
    <row r="6174" spans="6:6" x14ac:dyDescent="0.3">
      <c r="F6174" s="89" t="str">
        <v/>
      </c>
    </row>
    <row r="6175" spans="6:6" x14ac:dyDescent="0.3">
      <c r="F6175" s="89" t="str">
        <v/>
      </c>
    </row>
    <row r="6176" spans="6:6" x14ac:dyDescent="0.3">
      <c r="F6176" s="89" t="str">
        <v/>
      </c>
    </row>
    <row r="6177" spans="6:6" x14ac:dyDescent="0.3">
      <c r="F6177" s="89" t="str">
        <v/>
      </c>
    </row>
    <row r="6178" spans="6:6" x14ac:dyDescent="0.3">
      <c r="F6178" s="89" t="str">
        <v/>
      </c>
    </row>
    <row r="6179" spans="6:6" x14ac:dyDescent="0.3">
      <c r="F6179" s="89" t="str">
        <v/>
      </c>
    </row>
    <row r="6180" spans="6:6" x14ac:dyDescent="0.3">
      <c r="F6180" s="89" t="str">
        <v/>
      </c>
    </row>
    <row r="6181" spans="6:6" x14ac:dyDescent="0.3">
      <c r="F6181" s="89" t="str">
        <v/>
      </c>
    </row>
    <row r="6182" spans="6:6" x14ac:dyDescent="0.3">
      <c r="F6182" s="89" t="str">
        <v/>
      </c>
    </row>
    <row r="6183" spans="6:6" x14ac:dyDescent="0.3">
      <c r="F6183" s="89" t="str">
        <v/>
      </c>
    </row>
    <row r="6184" spans="6:6" x14ac:dyDescent="0.3">
      <c r="F6184" s="89" t="str">
        <v/>
      </c>
    </row>
    <row r="6185" spans="6:6" x14ac:dyDescent="0.3">
      <c r="F6185" s="89" t="str">
        <v/>
      </c>
    </row>
    <row r="6186" spans="6:6" x14ac:dyDescent="0.3">
      <c r="F6186" s="89" t="str">
        <v/>
      </c>
    </row>
    <row r="6187" spans="6:6" x14ac:dyDescent="0.3">
      <c r="F6187" s="89" t="str">
        <v/>
      </c>
    </row>
    <row r="6188" spans="6:6" x14ac:dyDescent="0.3">
      <c r="F6188" s="89" t="str">
        <v/>
      </c>
    </row>
    <row r="6189" spans="6:6" x14ac:dyDescent="0.3">
      <c r="F6189" s="89" t="str">
        <v/>
      </c>
    </row>
    <row r="6190" spans="6:6" x14ac:dyDescent="0.3">
      <c r="F6190" s="89" t="str">
        <v/>
      </c>
    </row>
    <row r="6191" spans="6:6" x14ac:dyDescent="0.3">
      <c r="F6191" s="89" t="str">
        <v/>
      </c>
    </row>
    <row r="6192" spans="6:6" x14ac:dyDescent="0.3">
      <c r="F6192" s="89" t="str">
        <v/>
      </c>
    </row>
    <row r="6193" spans="6:6" x14ac:dyDescent="0.3">
      <c r="F6193" s="89" t="str">
        <v/>
      </c>
    </row>
    <row r="6194" spans="6:6" x14ac:dyDescent="0.3">
      <c r="F6194" s="89" t="str">
        <v/>
      </c>
    </row>
    <row r="6195" spans="6:6" x14ac:dyDescent="0.3">
      <c r="F6195" s="89" t="str">
        <v/>
      </c>
    </row>
    <row r="6196" spans="6:6" x14ac:dyDescent="0.3">
      <c r="F6196" s="89" t="str">
        <v/>
      </c>
    </row>
    <row r="6197" spans="6:6" x14ac:dyDescent="0.3">
      <c r="F6197" s="89" t="str">
        <v/>
      </c>
    </row>
    <row r="6198" spans="6:6" x14ac:dyDescent="0.3">
      <c r="F6198" s="89" t="str">
        <v/>
      </c>
    </row>
    <row r="6199" spans="6:6" x14ac:dyDescent="0.3">
      <c r="F6199" s="89" t="str">
        <v/>
      </c>
    </row>
    <row r="6200" spans="6:6" x14ac:dyDescent="0.3">
      <c r="F6200" s="89" t="str">
        <v/>
      </c>
    </row>
    <row r="6201" spans="6:6" x14ac:dyDescent="0.3">
      <c r="F6201" s="89" t="str">
        <v/>
      </c>
    </row>
    <row r="6202" spans="6:6" x14ac:dyDescent="0.3">
      <c r="F6202" s="89" t="str">
        <v/>
      </c>
    </row>
    <row r="6203" spans="6:6" x14ac:dyDescent="0.3">
      <c r="F6203" s="89" t="str">
        <v/>
      </c>
    </row>
    <row r="6204" spans="6:6" x14ac:dyDescent="0.3">
      <c r="F6204" s="89" t="str">
        <v/>
      </c>
    </row>
    <row r="6205" spans="6:6" x14ac:dyDescent="0.3">
      <c r="F6205" s="89" t="str">
        <v/>
      </c>
    </row>
    <row r="6206" spans="6:6" x14ac:dyDescent="0.3">
      <c r="F6206" s="89" t="str">
        <v/>
      </c>
    </row>
    <row r="6207" spans="6:6" x14ac:dyDescent="0.3">
      <c r="F6207" s="89" t="str">
        <v/>
      </c>
    </row>
    <row r="6208" spans="6:6" x14ac:dyDescent="0.3">
      <c r="F6208" s="89" t="str">
        <v/>
      </c>
    </row>
    <row r="6209" spans="6:6" x14ac:dyDescent="0.3">
      <c r="F6209" s="89" t="str">
        <v/>
      </c>
    </row>
    <row r="6210" spans="6:6" x14ac:dyDescent="0.3">
      <c r="F6210" s="89" t="str">
        <v/>
      </c>
    </row>
    <row r="6211" spans="6:6" x14ac:dyDescent="0.3">
      <c r="F6211" s="89" t="str">
        <v/>
      </c>
    </row>
    <row r="6212" spans="6:6" x14ac:dyDescent="0.3">
      <c r="F6212" s="89" t="str">
        <v/>
      </c>
    </row>
    <row r="6213" spans="6:6" x14ac:dyDescent="0.3">
      <c r="F6213" s="89" t="str">
        <v/>
      </c>
    </row>
    <row r="6214" spans="6:6" x14ac:dyDescent="0.3">
      <c r="F6214" s="89" t="str">
        <v/>
      </c>
    </row>
    <row r="6215" spans="6:6" x14ac:dyDescent="0.3">
      <c r="F6215" s="89" t="str">
        <v/>
      </c>
    </row>
    <row r="6216" spans="6:6" x14ac:dyDescent="0.3">
      <c r="F6216" s="89" t="str">
        <v/>
      </c>
    </row>
    <row r="6217" spans="6:6" x14ac:dyDescent="0.3">
      <c r="F6217" s="89" t="str">
        <v/>
      </c>
    </row>
    <row r="6218" spans="6:6" x14ac:dyDescent="0.3">
      <c r="F6218" s="89" t="str">
        <v/>
      </c>
    </row>
    <row r="6219" spans="6:6" x14ac:dyDescent="0.3">
      <c r="F6219" s="89" t="str">
        <v/>
      </c>
    </row>
    <row r="6220" spans="6:6" x14ac:dyDescent="0.3">
      <c r="F6220" s="89" t="str">
        <v/>
      </c>
    </row>
    <row r="6221" spans="6:6" x14ac:dyDescent="0.3">
      <c r="F6221" s="89" t="str">
        <v/>
      </c>
    </row>
    <row r="6222" spans="6:6" x14ac:dyDescent="0.3">
      <c r="F6222" s="89" t="str">
        <v/>
      </c>
    </row>
    <row r="6223" spans="6:6" x14ac:dyDescent="0.3">
      <c r="F6223" s="89" t="str">
        <v/>
      </c>
    </row>
    <row r="6224" spans="6:6" x14ac:dyDescent="0.3">
      <c r="F6224" s="89" t="str">
        <v/>
      </c>
    </row>
    <row r="6225" spans="6:6" x14ac:dyDescent="0.3">
      <c r="F6225" s="89" t="str">
        <v/>
      </c>
    </row>
    <row r="6226" spans="6:6" x14ac:dyDescent="0.3">
      <c r="F6226" s="89" t="str">
        <v/>
      </c>
    </row>
    <row r="6227" spans="6:6" x14ac:dyDescent="0.3">
      <c r="F6227" s="89" t="str">
        <v/>
      </c>
    </row>
    <row r="6228" spans="6:6" x14ac:dyDescent="0.3">
      <c r="F6228" s="89" t="str">
        <v/>
      </c>
    </row>
    <row r="6229" spans="6:6" x14ac:dyDescent="0.3">
      <c r="F6229" s="89" t="str">
        <v/>
      </c>
    </row>
    <row r="6230" spans="6:6" x14ac:dyDescent="0.3">
      <c r="F6230" s="89" t="str">
        <v/>
      </c>
    </row>
    <row r="6231" spans="6:6" x14ac:dyDescent="0.3">
      <c r="F6231" s="89" t="str">
        <v/>
      </c>
    </row>
    <row r="6232" spans="6:6" x14ac:dyDescent="0.3">
      <c r="F6232" s="89" t="str">
        <v/>
      </c>
    </row>
    <row r="6233" spans="6:6" x14ac:dyDescent="0.3">
      <c r="F6233" s="89" t="str">
        <v/>
      </c>
    </row>
    <row r="6234" spans="6:6" x14ac:dyDescent="0.3">
      <c r="F6234" s="89" t="str">
        <v/>
      </c>
    </row>
    <row r="6235" spans="6:6" x14ac:dyDescent="0.3">
      <c r="F6235" s="89" t="str">
        <v/>
      </c>
    </row>
    <row r="6236" spans="6:6" x14ac:dyDescent="0.3">
      <c r="F6236" s="89" t="str">
        <v/>
      </c>
    </row>
    <row r="6237" spans="6:6" x14ac:dyDescent="0.3">
      <c r="F6237" s="89" t="str">
        <v/>
      </c>
    </row>
    <row r="6238" spans="6:6" x14ac:dyDescent="0.3">
      <c r="F6238" s="89" t="str">
        <v/>
      </c>
    </row>
    <row r="6239" spans="6:6" x14ac:dyDescent="0.3">
      <c r="F6239" s="89" t="str">
        <v/>
      </c>
    </row>
    <row r="6240" spans="6:6" x14ac:dyDescent="0.3">
      <c r="F6240" s="89" t="str">
        <v/>
      </c>
    </row>
    <row r="6241" spans="6:6" x14ac:dyDescent="0.3">
      <c r="F6241" s="89" t="str">
        <v/>
      </c>
    </row>
    <row r="6242" spans="6:6" x14ac:dyDescent="0.3">
      <c r="F6242" s="89" t="str">
        <v/>
      </c>
    </row>
    <row r="6243" spans="6:6" x14ac:dyDescent="0.3">
      <c r="F6243" s="89" t="str">
        <v/>
      </c>
    </row>
    <row r="6244" spans="6:6" x14ac:dyDescent="0.3">
      <c r="F6244" s="89" t="str">
        <v/>
      </c>
    </row>
    <row r="6245" spans="6:6" x14ac:dyDescent="0.3">
      <c r="F6245" s="89" t="str">
        <v/>
      </c>
    </row>
    <row r="6246" spans="6:6" x14ac:dyDescent="0.3">
      <c r="F6246" s="89" t="str">
        <v/>
      </c>
    </row>
    <row r="6247" spans="6:6" x14ac:dyDescent="0.3">
      <c r="F6247" s="89" t="str">
        <v/>
      </c>
    </row>
    <row r="6248" spans="6:6" x14ac:dyDescent="0.3">
      <c r="F6248" s="89" t="str">
        <v/>
      </c>
    </row>
    <row r="6249" spans="6:6" x14ac:dyDescent="0.3">
      <c r="F6249" s="89" t="str">
        <v/>
      </c>
    </row>
    <row r="6250" spans="6:6" x14ac:dyDescent="0.3">
      <c r="F6250" s="89" t="str">
        <v/>
      </c>
    </row>
    <row r="6251" spans="6:6" x14ac:dyDescent="0.3">
      <c r="F6251" s="89" t="str">
        <v/>
      </c>
    </row>
    <row r="6252" spans="6:6" x14ac:dyDescent="0.3">
      <c r="F6252" s="89" t="str">
        <v/>
      </c>
    </row>
    <row r="6253" spans="6:6" x14ac:dyDescent="0.3">
      <c r="F6253" s="89" t="str">
        <v/>
      </c>
    </row>
    <row r="6254" spans="6:6" x14ac:dyDescent="0.3">
      <c r="F6254" s="89" t="str">
        <v/>
      </c>
    </row>
    <row r="6255" spans="6:6" x14ac:dyDescent="0.3">
      <c r="F6255" s="89" t="str">
        <v/>
      </c>
    </row>
    <row r="6256" spans="6:6" x14ac:dyDescent="0.3">
      <c r="F6256" s="89" t="str">
        <v/>
      </c>
    </row>
    <row r="6257" spans="6:6" x14ac:dyDescent="0.3">
      <c r="F6257" s="89" t="str">
        <v/>
      </c>
    </row>
    <row r="6258" spans="6:6" x14ac:dyDescent="0.3">
      <c r="F6258" s="89" t="str">
        <v/>
      </c>
    </row>
    <row r="6259" spans="6:6" x14ac:dyDescent="0.3">
      <c r="F6259" s="89" t="str">
        <v/>
      </c>
    </row>
    <row r="6260" spans="6:6" x14ac:dyDescent="0.3">
      <c r="F6260" s="89" t="str">
        <v/>
      </c>
    </row>
    <row r="6261" spans="6:6" x14ac:dyDescent="0.3">
      <c r="F6261" s="89" t="str">
        <v/>
      </c>
    </row>
    <row r="6262" spans="6:6" x14ac:dyDescent="0.3">
      <c r="F6262" s="89" t="str">
        <v/>
      </c>
    </row>
    <row r="6263" spans="6:6" x14ac:dyDescent="0.3">
      <c r="F6263" s="89" t="str">
        <v/>
      </c>
    </row>
    <row r="6264" spans="6:6" x14ac:dyDescent="0.3">
      <c r="F6264" s="89" t="str">
        <v/>
      </c>
    </row>
    <row r="6265" spans="6:6" x14ac:dyDescent="0.3">
      <c r="F6265" s="89" t="str">
        <v/>
      </c>
    </row>
    <row r="6266" spans="6:6" x14ac:dyDescent="0.3">
      <c r="F6266" s="89" t="str">
        <v/>
      </c>
    </row>
    <row r="6267" spans="6:6" x14ac:dyDescent="0.3">
      <c r="F6267" s="89" t="str">
        <v/>
      </c>
    </row>
    <row r="6268" spans="6:6" x14ac:dyDescent="0.3">
      <c r="F6268" s="89" t="str">
        <v/>
      </c>
    </row>
    <row r="6269" spans="6:6" x14ac:dyDescent="0.3">
      <c r="F6269" s="89" t="str">
        <v/>
      </c>
    </row>
    <row r="6270" spans="6:6" x14ac:dyDescent="0.3">
      <c r="F6270" s="89" t="str">
        <v/>
      </c>
    </row>
    <row r="6271" spans="6:6" x14ac:dyDescent="0.3">
      <c r="F6271" s="89" t="str">
        <v/>
      </c>
    </row>
    <row r="6272" spans="6:6" x14ac:dyDescent="0.3">
      <c r="F6272" s="89" t="str">
        <v/>
      </c>
    </row>
    <row r="6273" spans="6:6" x14ac:dyDescent="0.3">
      <c r="F6273" s="89" t="str">
        <v/>
      </c>
    </row>
    <row r="6274" spans="6:6" x14ac:dyDescent="0.3">
      <c r="F6274" s="89" t="str">
        <v/>
      </c>
    </row>
    <row r="6275" spans="6:6" x14ac:dyDescent="0.3">
      <c r="F6275" s="89" t="str">
        <v/>
      </c>
    </row>
    <row r="6276" spans="6:6" x14ac:dyDescent="0.3">
      <c r="F6276" s="89" t="str">
        <v/>
      </c>
    </row>
    <row r="6277" spans="6:6" x14ac:dyDescent="0.3">
      <c r="F6277" s="89" t="str">
        <v/>
      </c>
    </row>
    <row r="6278" spans="6:6" x14ac:dyDescent="0.3">
      <c r="F6278" s="89" t="str">
        <v/>
      </c>
    </row>
    <row r="6279" spans="6:6" x14ac:dyDescent="0.3">
      <c r="F6279" s="89" t="str">
        <v/>
      </c>
    </row>
    <row r="6280" spans="6:6" x14ac:dyDescent="0.3">
      <c r="F6280" s="89" t="str">
        <v/>
      </c>
    </row>
    <row r="6281" spans="6:6" x14ac:dyDescent="0.3">
      <c r="F6281" s="89" t="str">
        <v/>
      </c>
    </row>
    <row r="6282" spans="6:6" x14ac:dyDescent="0.3">
      <c r="F6282" s="89" t="str">
        <v/>
      </c>
    </row>
    <row r="6283" spans="6:6" x14ac:dyDescent="0.3">
      <c r="F6283" s="89" t="str">
        <v/>
      </c>
    </row>
    <row r="6284" spans="6:6" x14ac:dyDescent="0.3">
      <c r="F6284" s="89" t="str">
        <v/>
      </c>
    </row>
    <row r="6285" spans="6:6" x14ac:dyDescent="0.3">
      <c r="F6285" s="89" t="str">
        <v/>
      </c>
    </row>
    <row r="6286" spans="6:6" x14ac:dyDescent="0.3">
      <c r="F6286" s="89" t="str">
        <v/>
      </c>
    </row>
    <row r="6287" spans="6:6" x14ac:dyDescent="0.3">
      <c r="F6287" s="89" t="str">
        <v/>
      </c>
    </row>
    <row r="6288" spans="6:6" x14ac:dyDescent="0.3">
      <c r="F6288" s="89" t="str">
        <v/>
      </c>
    </row>
    <row r="6289" spans="6:6" x14ac:dyDescent="0.3">
      <c r="F6289" s="89" t="str">
        <v/>
      </c>
    </row>
    <row r="6290" spans="6:6" x14ac:dyDescent="0.3">
      <c r="F6290" s="89" t="str">
        <v/>
      </c>
    </row>
    <row r="6291" spans="6:6" x14ac:dyDescent="0.3">
      <c r="F6291" s="89" t="str">
        <v/>
      </c>
    </row>
    <row r="6292" spans="6:6" x14ac:dyDescent="0.3">
      <c r="F6292" s="89" t="str">
        <v/>
      </c>
    </row>
    <row r="6293" spans="6:6" x14ac:dyDescent="0.3">
      <c r="F6293" s="89" t="str">
        <v/>
      </c>
    </row>
    <row r="6294" spans="6:6" x14ac:dyDescent="0.3">
      <c r="F6294" s="89" t="str">
        <v/>
      </c>
    </row>
    <row r="6295" spans="6:6" x14ac:dyDescent="0.3">
      <c r="F6295" s="89" t="str">
        <v/>
      </c>
    </row>
    <row r="6296" spans="6:6" x14ac:dyDescent="0.3">
      <c r="F6296" s="89" t="str">
        <v/>
      </c>
    </row>
    <row r="6297" spans="6:6" x14ac:dyDescent="0.3">
      <c r="F6297" s="89" t="str">
        <v/>
      </c>
    </row>
    <row r="6298" spans="6:6" x14ac:dyDescent="0.3">
      <c r="F6298" s="89" t="str">
        <v/>
      </c>
    </row>
    <row r="6299" spans="6:6" x14ac:dyDescent="0.3">
      <c r="F6299" s="89" t="str">
        <v/>
      </c>
    </row>
    <row r="6300" spans="6:6" x14ac:dyDescent="0.3">
      <c r="F6300" s="89" t="str">
        <v/>
      </c>
    </row>
    <row r="6301" spans="6:6" x14ac:dyDescent="0.3">
      <c r="F6301" s="89" t="str">
        <v/>
      </c>
    </row>
    <row r="6302" spans="6:6" x14ac:dyDescent="0.3">
      <c r="F6302" s="89" t="str">
        <v/>
      </c>
    </row>
    <row r="6303" spans="6:6" x14ac:dyDescent="0.3">
      <c r="F6303" s="89" t="str">
        <v/>
      </c>
    </row>
    <row r="6304" spans="6:6" x14ac:dyDescent="0.3">
      <c r="F6304" s="89" t="str">
        <v/>
      </c>
    </row>
    <row r="6305" spans="6:6" x14ac:dyDescent="0.3">
      <c r="F6305" s="89" t="str">
        <v/>
      </c>
    </row>
    <row r="6306" spans="6:6" x14ac:dyDescent="0.3">
      <c r="F6306" s="89" t="str">
        <v/>
      </c>
    </row>
    <row r="6307" spans="6:6" x14ac:dyDescent="0.3">
      <c r="F6307" s="89" t="str">
        <v/>
      </c>
    </row>
    <row r="6308" spans="6:6" x14ac:dyDescent="0.3">
      <c r="F6308" s="89" t="str">
        <v/>
      </c>
    </row>
    <row r="6309" spans="6:6" x14ac:dyDescent="0.3">
      <c r="F6309" s="89" t="str">
        <v/>
      </c>
    </row>
    <row r="6310" spans="6:6" x14ac:dyDescent="0.3">
      <c r="F6310" s="89" t="str">
        <v/>
      </c>
    </row>
    <row r="6311" spans="6:6" x14ac:dyDescent="0.3">
      <c r="F6311" s="89" t="str">
        <v/>
      </c>
    </row>
    <row r="6312" spans="6:6" x14ac:dyDescent="0.3">
      <c r="F6312" s="89" t="str">
        <v/>
      </c>
    </row>
    <row r="6313" spans="6:6" x14ac:dyDescent="0.3">
      <c r="F6313" s="89" t="str">
        <v/>
      </c>
    </row>
    <row r="6314" spans="6:6" x14ac:dyDescent="0.3">
      <c r="F6314" s="89" t="str">
        <v/>
      </c>
    </row>
    <row r="6315" spans="6:6" x14ac:dyDescent="0.3">
      <c r="F6315" s="89" t="str">
        <v/>
      </c>
    </row>
    <row r="6316" spans="6:6" x14ac:dyDescent="0.3">
      <c r="F6316" s="89" t="str">
        <v/>
      </c>
    </row>
    <row r="6317" spans="6:6" x14ac:dyDescent="0.3">
      <c r="F6317" s="89" t="str">
        <v/>
      </c>
    </row>
    <row r="6318" spans="6:6" x14ac:dyDescent="0.3">
      <c r="F6318" s="89" t="str">
        <v/>
      </c>
    </row>
    <row r="6319" spans="6:6" x14ac:dyDescent="0.3">
      <c r="F6319" s="89" t="str">
        <v/>
      </c>
    </row>
    <row r="6320" spans="6:6" x14ac:dyDescent="0.3">
      <c r="F6320" s="89" t="str">
        <v/>
      </c>
    </row>
    <row r="6321" spans="6:6" x14ac:dyDescent="0.3">
      <c r="F6321" s="89" t="str">
        <v/>
      </c>
    </row>
    <row r="6322" spans="6:6" x14ac:dyDescent="0.3">
      <c r="F6322" s="89" t="str">
        <v/>
      </c>
    </row>
    <row r="6323" spans="6:6" x14ac:dyDescent="0.3">
      <c r="F6323" s="89" t="str">
        <v/>
      </c>
    </row>
    <row r="6324" spans="6:6" x14ac:dyDescent="0.3">
      <c r="F6324" s="89" t="str">
        <v/>
      </c>
    </row>
    <row r="6325" spans="6:6" x14ac:dyDescent="0.3">
      <c r="F6325" s="89" t="str">
        <v/>
      </c>
    </row>
    <row r="6326" spans="6:6" x14ac:dyDescent="0.3">
      <c r="F6326" s="89" t="str">
        <v/>
      </c>
    </row>
    <row r="6327" spans="6:6" x14ac:dyDescent="0.3">
      <c r="F6327" s="89" t="str">
        <v/>
      </c>
    </row>
    <row r="6328" spans="6:6" x14ac:dyDescent="0.3">
      <c r="F6328" s="89" t="str">
        <v/>
      </c>
    </row>
    <row r="6329" spans="6:6" x14ac:dyDescent="0.3">
      <c r="F6329" s="89" t="str">
        <v/>
      </c>
    </row>
    <row r="6330" spans="6:6" x14ac:dyDescent="0.3">
      <c r="F6330" s="89" t="str">
        <v/>
      </c>
    </row>
    <row r="6331" spans="6:6" x14ac:dyDescent="0.3">
      <c r="F6331" s="89" t="str">
        <v/>
      </c>
    </row>
    <row r="6332" spans="6:6" x14ac:dyDescent="0.3">
      <c r="F6332" s="89" t="str">
        <v/>
      </c>
    </row>
    <row r="6333" spans="6:6" x14ac:dyDescent="0.3">
      <c r="F6333" s="89" t="str">
        <v/>
      </c>
    </row>
    <row r="6334" spans="6:6" x14ac:dyDescent="0.3">
      <c r="F6334" s="89" t="str">
        <v/>
      </c>
    </row>
    <row r="6335" spans="6:6" x14ac:dyDescent="0.3">
      <c r="F6335" s="89" t="str">
        <v/>
      </c>
    </row>
    <row r="6336" spans="6:6" x14ac:dyDescent="0.3">
      <c r="F6336" s="89" t="str">
        <v/>
      </c>
    </row>
    <row r="6337" spans="6:6" x14ac:dyDescent="0.3">
      <c r="F6337" s="89" t="str">
        <v/>
      </c>
    </row>
    <row r="6338" spans="6:6" x14ac:dyDescent="0.3">
      <c r="F6338" s="89" t="str">
        <v/>
      </c>
    </row>
    <row r="6339" spans="6:6" x14ac:dyDescent="0.3">
      <c r="F6339" s="89" t="str">
        <v/>
      </c>
    </row>
    <row r="6340" spans="6:6" x14ac:dyDescent="0.3">
      <c r="F6340" s="89" t="str">
        <v/>
      </c>
    </row>
    <row r="6341" spans="6:6" x14ac:dyDescent="0.3">
      <c r="F6341" s="89" t="str">
        <v/>
      </c>
    </row>
    <row r="6342" spans="6:6" x14ac:dyDescent="0.3">
      <c r="F6342" s="89" t="str">
        <v/>
      </c>
    </row>
    <row r="6343" spans="6:6" x14ac:dyDescent="0.3">
      <c r="F6343" s="89" t="str">
        <v/>
      </c>
    </row>
    <row r="6344" spans="6:6" x14ac:dyDescent="0.3">
      <c r="F6344" s="89" t="str">
        <v/>
      </c>
    </row>
    <row r="6345" spans="6:6" x14ac:dyDescent="0.3">
      <c r="F6345" s="89" t="str">
        <v/>
      </c>
    </row>
    <row r="6346" spans="6:6" x14ac:dyDescent="0.3">
      <c r="F6346" s="89" t="str">
        <v/>
      </c>
    </row>
    <row r="6347" spans="6:6" x14ac:dyDescent="0.3">
      <c r="F6347" s="89" t="str">
        <v/>
      </c>
    </row>
    <row r="6348" spans="6:6" x14ac:dyDescent="0.3">
      <c r="F6348" s="89" t="str">
        <v/>
      </c>
    </row>
    <row r="6349" spans="6:6" x14ac:dyDescent="0.3">
      <c r="F6349" s="89" t="str">
        <v/>
      </c>
    </row>
    <row r="6350" spans="6:6" x14ac:dyDescent="0.3">
      <c r="F6350" s="89" t="str">
        <v/>
      </c>
    </row>
    <row r="6351" spans="6:6" x14ac:dyDescent="0.3">
      <c r="F6351" s="89" t="str">
        <v/>
      </c>
    </row>
    <row r="6352" spans="6:6" x14ac:dyDescent="0.3">
      <c r="F6352" s="89" t="str">
        <v/>
      </c>
    </row>
    <row r="6353" spans="6:6" x14ac:dyDescent="0.3">
      <c r="F6353" s="89" t="str">
        <v/>
      </c>
    </row>
    <row r="6354" spans="6:6" x14ac:dyDescent="0.3">
      <c r="F6354" s="89" t="str">
        <v/>
      </c>
    </row>
    <row r="6355" spans="6:6" x14ac:dyDescent="0.3">
      <c r="F6355" s="89" t="str">
        <v/>
      </c>
    </row>
    <row r="6356" spans="6:6" x14ac:dyDescent="0.3">
      <c r="F6356" s="89" t="str">
        <v/>
      </c>
    </row>
    <row r="6357" spans="6:6" x14ac:dyDescent="0.3">
      <c r="F6357" s="89" t="str">
        <v/>
      </c>
    </row>
    <row r="6358" spans="6:6" x14ac:dyDescent="0.3">
      <c r="F6358" s="89" t="str">
        <v/>
      </c>
    </row>
    <row r="6359" spans="6:6" x14ac:dyDescent="0.3">
      <c r="F6359" s="89" t="str">
        <v/>
      </c>
    </row>
    <row r="6360" spans="6:6" x14ac:dyDescent="0.3">
      <c r="F6360" s="89" t="str">
        <v/>
      </c>
    </row>
    <row r="6361" spans="6:6" x14ac:dyDescent="0.3">
      <c r="F6361" s="89" t="str">
        <v/>
      </c>
    </row>
    <row r="6362" spans="6:6" x14ac:dyDescent="0.3">
      <c r="F6362" s="89" t="str">
        <v/>
      </c>
    </row>
    <row r="6363" spans="6:6" x14ac:dyDescent="0.3">
      <c r="F6363" s="89" t="str">
        <v/>
      </c>
    </row>
    <row r="6364" spans="6:6" x14ac:dyDescent="0.3">
      <c r="F6364" s="89" t="str">
        <v/>
      </c>
    </row>
    <row r="6365" spans="6:6" x14ac:dyDescent="0.3">
      <c r="F6365" s="89" t="str">
        <v/>
      </c>
    </row>
    <row r="6366" spans="6:6" x14ac:dyDescent="0.3">
      <c r="F6366" s="89" t="str">
        <v/>
      </c>
    </row>
    <row r="6367" spans="6:6" x14ac:dyDescent="0.3">
      <c r="F6367" s="89" t="str">
        <v/>
      </c>
    </row>
    <row r="6368" spans="6:6" x14ac:dyDescent="0.3">
      <c r="F6368" s="89" t="str">
        <v/>
      </c>
    </row>
    <row r="6369" spans="6:6" x14ac:dyDescent="0.3">
      <c r="F6369" s="89" t="str">
        <v/>
      </c>
    </row>
    <row r="6370" spans="6:6" x14ac:dyDescent="0.3">
      <c r="F6370" s="89" t="str">
        <v/>
      </c>
    </row>
    <row r="6371" spans="6:6" x14ac:dyDescent="0.3">
      <c r="F6371" s="89" t="str">
        <v/>
      </c>
    </row>
    <row r="6372" spans="6:6" x14ac:dyDescent="0.3">
      <c r="F6372" s="89" t="str">
        <v/>
      </c>
    </row>
    <row r="6373" spans="6:6" x14ac:dyDescent="0.3">
      <c r="F6373" s="89" t="str">
        <v/>
      </c>
    </row>
    <row r="6374" spans="6:6" x14ac:dyDescent="0.3">
      <c r="F6374" s="89" t="str">
        <v/>
      </c>
    </row>
    <row r="6375" spans="6:6" x14ac:dyDescent="0.3">
      <c r="F6375" s="89" t="str">
        <v/>
      </c>
    </row>
    <row r="6376" spans="6:6" x14ac:dyDescent="0.3">
      <c r="F6376" s="89" t="str">
        <v/>
      </c>
    </row>
    <row r="6377" spans="6:6" x14ac:dyDescent="0.3">
      <c r="F6377" s="89" t="str">
        <v/>
      </c>
    </row>
    <row r="6378" spans="6:6" x14ac:dyDescent="0.3">
      <c r="F6378" s="89" t="str">
        <v/>
      </c>
    </row>
    <row r="6379" spans="6:6" x14ac:dyDescent="0.3">
      <c r="F6379" s="89" t="str">
        <v/>
      </c>
    </row>
    <row r="6380" spans="6:6" x14ac:dyDescent="0.3">
      <c r="F6380" s="89" t="str">
        <v/>
      </c>
    </row>
    <row r="6381" spans="6:6" x14ac:dyDescent="0.3">
      <c r="F6381" s="89" t="str">
        <v/>
      </c>
    </row>
    <row r="6382" spans="6:6" x14ac:dyDescent="0.3">
      <c r="F6382" s="89" t="str">
        <v/>
      </c>
    </row>
    <row r="6383" spans="6:6" x14ac:dyDescent="0.3">
      <c r="F6383" s="89" t="str">
        <v/>
      </c>
    </row>
    <row r="6384" spans="6:6" x14ac:dyDescent="0.3">
      <c r="F6384" s="89" t="str">
        <v/>
      </c>
    </row>
    <row r="6385" spans="6:6" x14ac:dyDescent="0.3">
      <c r="F6385" s="89" t="str">
        <v/>
      </c>
    </row>
    <row r="6386" spans="6:6" x14ac:dyDescent="0.3">
      <c r="F6386" s="89" t="str">
        <v/>
      </c>
    </row>
    <row r="6387" spans="6:6" x14ac:dyDescent="0.3">
      <c r="F6387" s="89" t="str">
        <v/>
      </c>
    </row>
    <row r="6388" spans="6:6" x14ac:dyDescent="0.3">
      <c r="F6388" s="89" t="str">
        <v/>
      </c>
    </row>
    <row r="6389" spans="6:6" x14ac:dyDescent="0.3">
      <c r="F6389" s="89" t="str">
        <v/>
      </c>
    </row>
    <row r="6390" spans="6:6" x14ac:dyDescent="0.3">
      <c r="F6390" s="89" t="str">
        <v/>
      </c>
    </row>
    <row r="6391" spans="6:6" x14ac:dyDescent="0.3">
      <c r="F6391" s="89" t="str">
        <v/>
      </c>
    </row>
    <row r="6392" spans="6:6" x14ac:dyDescent="0.3">
      <c r="F6392" s="89" t="str">
        <v/>
      </c>
    </row>
    <row r="6393" spans="6:6" x14ac:dyDescent="0.3">
      <c r="F6393" s="89" t="str">
        <v/>
      </c>
    </row>
    <row r="6394" spans="6:6" x14ac:dyDescent="0.3">
      <c r="F6394" s="89" t="str">
        <v/>
      </c>
    </row>
    <row r="6395" spans="6:6" x14ac:dyDescent="0.3">
      <c r="F6395" s="89" t="str">
        <v/>
      </c>
    </row>
    <row r="6396" spans="6:6" x14ac:dyDescent="0.3">
      <c r="F6396" s="89" t="str">
        <v/>
      </c>
    </row>
    <row r="6397" spans="6:6" x14ac:dyDescent="0.3">
      <c r="F6397" s="89" t="str">
        <v/>
      </c>
    </row>
    <row r="6398" spans="6:6" x14ac:dyDescent="0.3">
      <c r="F6398" s="89" t="str">
        <v/>
      </c>
    </row>
    <row r="6399" spans="6:6" x14ac:dyDescent="0.3">
      <c r="F6399" s="89" t="str">
        <v/>
      </c>
    </row>
    <row r="6400" spans="6:6" x14ac:dyDescent="0.3">
      <c r="F6400" s="89" t="str">
        <v/>
      </c>
    </row>
    <row r="6401" spans="6:6" x14ac:dyDescent="0.3">
      <c r="F6401" s="89" t="str">
        <v/>
      </c>
    </row>
    <row r="6402" spans="6:6" x14ac:dyDescent="0.3">
      <c r="F6402" s="89" t="str">
        <v/>
      </c>
    </row>
    <row r="6403" spans="6:6" x14ac:dyDescent="0.3">
      <c r="F6403" s="89" t="str">
        <v/>
      </c>
    </row>
    <row r="6404" spans="6:6" x14ac:dyDescent="0.3">
      <c r="F6404" s="89" t="str">
        <v/>
      </c>
    </row>
    <row r="6405" spans="6:6" x14ac:dyDescent="0.3">
      <c r="F6405" s="89" t="str">
        <v/>
      </c>
    </row>
    <row r="6406" spans="6:6" x14ac:dyDescent="0.3">
      <c r="F6406" s="89" t="str">
        <v/>
      </c>
    </row>
    <row r="6407" spans="6:6" x14ac:dyDescent="0.3">
      <c r="F6407" s="89" t="str">
        <v/>
      </c>
    </row>
    <row r="6408" spans="6:6" x14ac:dyDescent="0.3">
      <c r="F6408" s="89" t="str">
        <v/>
      </c>
    </row>
    <row r="6409" spans="6:6" x14ac:dyDescent="0.3">
      <c r="F6409" s="89" t="str">
        <v/>
      </c>
    </row>
    <row r="6410" spans="6:6" x14ac:dyDescent="0.3">
      <c r="F6410" s="89" t="str">
        <v/>
      </c>
    </row>
    <row r="6411" spans="6:6" x14ac:dyDescent="0.3">
      <c r="F6411" s="89" t="str">
        <v/>
      </c>
    </row>
    <row r="6412" spans="6:6" x14ac:dyDescent="0.3">
      <c r="F6412" s="89" t="str">
        <v/>
      </c>
    </row>
    <row r="6413" spans="6:6" x14ac:dyDescent="0.3">
      <c r="F6413" s="89" t="str">
        <v/>
      </c>
    </row>
    <row r="6414" spans="6:6" x14ac:dyDescent="0.3">
      <c r="F6414" s="89" t="str">
        <v/>
      </c>
    </row>
    <row r="6415" spans="6:6" x14ac:dyDescent="0.3">
      <c r="F6415" s="89" t="str">
        <v/>
      </c>
    </row>
    <row r="6416" spans="6:6" x14ac:dyDescent="0.3">
      <c r="F6416" s="89" t="str">
        <v/>
      </c>
    </row>
    <row r="6417" spans="6:6" x14ac:dyDescent="0.3">
      <c r="F6417" s="89" t="str">
        <v/>
      </c>
    </row>
    <row r="6418" spans="6:6" x14ac:dyDescent="0.3">
      <c r="F6418" s="89" t="str">
        <v/>
      </c>
    </row>
    <row r="6419" spans="6:6" x14ac:dyDescent="0.3">
      <c r="F6419" s="89" t="str">
        <v/>
      </c>
    </row>
    <row r="6420" spans="6:6" x14ac:dyDescent="0.3">
      <c r="F6420" s="89" t="str">
        <v/>
      </c>
    </row>
    <row r="6421" spans="6:6" x14ac:dyDescent="0.3">
      <c r="F6421" s="89" t="str">
        <v/>
      </c>
    </row>
    <row r="6422" spans="6:6" x14ac:dyDescent="0.3">
      <c r="F6422" s="89" t="str">
        <v/>
      </c>
    </row>
    <row r="6423" spans="6:6" x14ac:dyDescent="0.3">
      <c r="F6423" s="89" t="str">
        <v/>
      </c>
    </row>
    <row r="6424" spans="6:6" x14ac:dyDescent="0.3">
      <c r="F6424" s="89" t="str">
        <v/>
      </c>
    </row>
    <row r="6425" spans="6:6" x14ac:dyDescent="0.3">
      <c r="F6425" s="89" t="str">
        <v/>
      </c>
    </row>
    <row r="6426" spans="6:6" x14ac:dyDescent="0.3">
      <c r="F6426" s="89" t="str">
        <v/>
      </c>
    </row>
    <row r="6427" spans="6:6" x14ac:dyDescent="0.3">
      <c r="F6427" s="89" t="str">
        <v/>
      </c>
    </row>
    <row r="6428" spans="6:6" x14ac:dyDescent="0.3">
      <c r="F6428" s="89" t="str">
        <v/>
      </c>
    </row>
    <row r="6429" spans="6:6" x14ac:dyDescent="0.3">
      <c r="F6429" s="89" t="str">
        <v/>
      </c>
    </row>
    <row r="6430" spans="6:6" x14ac:dyDescent="0.3">
      <c r="F6430" s="89" t="str">
        <v/>
      </c>
    </row>
    <row r="6431" spans="6:6" x14ac:dyDescent="0.3">
      <c r="F6431" s="89" t="str">
        <v/>
      </c>
    </row>
    <row r="6432" spans="6:6" x14ac:dyDescent="0.3">
      <c r="F6432" s="89" t="str">
        <v/>
      </c>
    </row>
    <row r="6433" spans="6:6" x14ac:dyDescent="0.3">
      <c r="F6433" s="89" t="str">
        <v/>
      </c>
    </row>
    <row r="6434" spans="6:6" x14ac:dyDescent="0.3">
      <c r="F6434" s="89" t="str">
        <v/>
      </c>
    </row>
    <row r="6435" spans="6:6" x14ac:dyDescent="0.3">
      <c r="F6435" s="89" t="str">
        <v/>
      </c>
    </row>
    <row r="6436" spans="6:6" x14ac:dyDescent="0.3">
      <c r="F6436" s="89" t="str">
        <v/>
      </c>
    </row>
    <row r="6437" spans="6:6" x14ac:dyDescent="0.3">
      <c r="F6437" s="89" t="str">
        <v/>
      </c>
    </row>
    <row r="6438" spans="6:6" x14ac:dyDescent="0.3">
      <c r="F6438" s="89" t="str">
        <v/>
      </c>
    </row>
    <row r="6439" spans="6:6" x14ac:dyDescent="0.3">
      <c r="F6439" s="89" t="str">
        <v/>
      </c>
    </row>
    <row r="6440" spans="6:6" x14ac:dyDescent="0.3">
      <c r="F6440" s="89" t="str">
        <v/>
      </c>
    </row>
    <row r="6441" spans="6:6" x14ac:dyDescent="0.3">
      <c r="F6441" s="89" t="str">
        <v/>
      </c>
    </row>
    <row r="6442" spans="6:6" x14ac:dyDescent="0.3">
      <c r="F6442" s="89" t="str">
        <v/>
      </c>
    </row>
    <row r="6443" spans="6:6" x14ac:dyDescent="0.3">
      <c r="F6443" s="89" t="str">
        <v/>
      </c>
    </row>
    <row r="6444" spans="6:6" x14ac:dyDescent="0.3">
      <c r="F6444" s="89" t="str">
        <v/>
      </c>
    </row>
    <row r="6445" spans="6:6" x14ac:dyDescent="0.3">
      <c r="F6445" s="89" t="str">
        <v/>
      </c>
    </row>
    <row r="6446" spans="6:6" x14ac:dyDescent="0.3">
      <c r="F6446" s="89" t="str">
        <v/>
      </c>
    </row>
    <row r="6447" spans="6:6" x14ac:dyDescent="0.3">
      <c r="F6447" s="89" t="str">
        <v/>
      </c>
    </row>
    <row r="6448" spans="6:6" x14ac:dyDescent="0.3">
      <c r="F6448" s="89" t="str">
        <v/>
      </c>
    </row>
    <row r="6449" spans="6:6" x14ac:dyDescent="0.3">
      <c r="F6449" s="89" t="str">
        <v/>
      </c>
    </row>
    <row r="6450" spans="6:6" x14ac:dyDescent="0.3">
      <c r="F6450" s="89" t="str">
        <v/>
      </c>
    </row>
    <row r="6451" spans="6:6" x14ac:dyDescent="0.3">
      <c r="F6451" s="89" t="str">
        <v/>
      </c>
    </row>
    <row r="6452" spans="6:6" x14ac:dyDescent="0.3">
      <c r="F6452" s="89" t="str">
        <v/>
      </c>
    </row>
    <row r="6453" spans="6:6" x14ac:dyDescent="0.3">
      <c r="F6453" s="89" t="str">
        <v/>
      </c>
    </row>
    <row r="6454" spans="6:6" x14ac:dyDescent="0.3">
      <c r="F6454" s="89" t="str">
        <v/>
      </c>
    </row>
    <row r="6455" spans="6:6" x14ac:dyDescent="0.3">
      <c r="F6455" s="89" t="str">
        <v/>
      </c>
    </row>
    <row r="6456" spans="6:6" x14ac:dyDescent="0.3">
      <c r="F6456" s="89" t="str">
        <v/>
      </c>
    </row>
    <row r="6457" spans="6:6" x14ac:dyDescent="0.3">
      <c r="F6457" s="89" t="str">
        <v/>
      </c>
    </row>
    <row r="6458" spans="6:6" x14ac:dyDescent="0.3">
      <c r="F6458" s="89" t="str">
        <v/>
      </c>
    </row>
    <row r="6459" spans="6:6" x14ac:dyDescent="0.3">
      <c r="F6459" s="89" t="str">
        <v/>
      </c>
    </row>
    <row r="6460" spans="6:6" x14ac:dyDescent="0.3">
      <c r="F6460" s="89" t="str">
        <v/>
      </c>
    </row>
    <row r="6461" spans="6:6" x14ac:dyDescent="0.3">
      <c r="F6461" s="89" t="str">
        <v/>
      </c>
    </row>
    <row r="6462" spans="6:6" x14ac:dyDescent="0.3">
      <c r="F6462" s="89" t="str">
        <v/>
      </c>
    </row>
    <row r="6463" spans="6:6" x14ac:dyDescent="0.3">
      <c r="F6463" s="89" t="str">
        <v/>
      </c>
    </row>
    <row r="6464" spans="6:6" x14ac:dyDescent="0.3">
      <c r="F6464" s="89" t="str">
        <v/>
      </c>
    </row>
    <row r="6465" spans="6:6" x14ac:dyDescent="0.3">
      <c r="F6465" s="89" t="str">
        <v/>
      </c>
    </row>
    <row r="6466" spans="6:6" x14ac:dyDescent="0.3">
      <c r="F6466" s="89" t="str">
        <v/>
      </c>
    </row>
    <row r="6467" spans="6:6" x14ac:dyDescent="0.3">
      <c r="F6467" s="89" t="str">
        <v/>
      </c>
    </row>
    <row r="6468" spans="6:6" x14ac:dyDescent="0.3">
      <c r="F6468" s="89" t="str">
        <v/>
      </c>
    </row>
    <row r="6469" spans="6:6" x14ac:dyDescent="0.3">
      <c r="F6469" s="89" t="str">
        <v/>
      </c>
    </row>
    <row r="6470" spans="6:6" x14ac:dyDescent="0.3">
      <c r="F6470" s="89" t="str">
        <v/>
      </c>
    </row>
    <row r="6471" spans="6:6" x14ac:dyDescent="0.3">
      <c r="F6471" s="89" t="str">
        <v/>
      </c>
    </row>
    <row r="6472" spans="6:6" x14ac:dyDescent="0.3">
      <c r="F6472" s="89" t="str">
        <v/>
      </c>
    </row>
    <row r="6473" spans="6:6" x14ac:dyDescent="0.3">
      <c r="F6473" s="89" t="str">
        <v/>
      </c>
    </row>
    <row r="6474" spans="6:6" x14ac:dyDescent="0.3">
      <c r="F6474" s="89" t="str">
        <v/>
      </c>
    </row>
    <row r="6475" spans="6:6" x14ac:dyDescent="0.3">
      <c r="F6475" s="89" t="str">
        <v/>
      </c>
    </row>
    <row r="6476" spans="6:6" x14ac:dyDescent="0.3">
      <c r="F6476" s="89" t="str">
        <v/>
      </c>
    </row>
    <row r="6477" spans="6:6" x14ac:dyDescent="0.3">
      <c r="F6477" s="89" t="str">
        <v/>
      </c>
    </row>
    <row r="6478" spans="6:6" x14ac:dyDescent="0.3">
      <c r="F6478" s="89" t="str">
        <v/>
      </c>
    </row>
    <row r="6479" spans="6:6" x14ac:dyDescent="0.3">
      <c r="F6479" s="89" t="str">
        <v/>
      </c>
    </row>
    <row r="6480" spans="6:6" x14ac:dyDescent="0.3">
      <c r="F6480" s="89" t="str">
        <v/>
      </c>
    </row>
    <row r="6481" spans="6:6" x14ac:dyDescent="0.3">
      <c r="F6481" s="89" t="str">
        <v/>
      </c>
    </row>
    <row r="6482" spans="6:6" x14ac:dyDescent="0.3">
      <c r="F6482" s="89" t="str">
        <v/>
      </c>
    </row>
    <row r="6483" spans="6:6" x14ac:dyDescent="0.3">
      <c r="F6483" s="89" t="str">
        <v/>
      </c>
    </row>
    <row r="6484" spans="6:6" x14ac:dyDescent="0.3">
      <c r="F6484" s="89" t="str">
        <v/>
      </c>
    </row>
    <row r="6485" spans="6:6" x14ac:dyDescent="0.3">
      <c r="F6485" s="89" t="str">
        <v/>
      </c>
    </row>
    <row r="6486" spans="6:6" x14ac:dyDescent="0.3">
      <c r="F6486" s="89" t="str">
        <v/>
      </c>
    </row>
    <row r="6487" spans="6:6" x14ac:dyDescent="0.3">
      <c r="F6487" s="89" t="str">
        <v/>
      </c>
    </row>
    <row r="6488" spans="6:6" x14ac:dyDescent="0.3">
      <c r="F6488" s="89" t="str">
        <v/>
      </c>
    </row>
    <row r="6489" spans="6:6" x14ac:dyDescent="0.3">
      <c r="F6489" s="89" t="str">
        <v/>
      </c>
    </row>
    <row r="6490" spans="6:6" x14ac:dyDescent="0.3">
      <c r="F6490" s="89" t="str">
        <v/>
      </c>
    </row>
    <row r="6491" spans="6:6" x14ac:dyDescent="0.3">
      <c r="F6491" s="89" t="str">
        <v/>
      </c>
    </row>
    <row r="6492" spans="6:6" x14ac:dyDescent="0.3">
      <c r="F6492" s="89" t="str">
        <v/>
      </c>
    </row>
    <row r="6493" spans="6:6" x14ac:dyDescent="0.3">
      <c r="F6493" s="89" t="str">
        <v/>
      </c>
    </row>
    <row r="6494" spans="6:6" x14ac:dyDescent="0.3">
      <c r="F6494" s="89" t="str">
        <v/>
      </c>
    </row>
    <row r="6495" spans="6:6" x14ac:dyDescent="0.3">
      <c r="F6495" s="89" t="str">
        <v/>
      </c>
    </row>
    <row r="6496" spans="6:6" x14ac:dyDescent="0.3">
      <c r="F6496" s="89" t="str">
        <v/>
      </c>
    </row>
    <row r="6497" spans="6:6" x14ac:dyDescent="0.3">
      <c r="F6497" s="89" t="str">
        <v/>
      </c>
    </row>
    <row r="6498" spans="6:6" x14ac:dyDescent="0.3">
      <c r="F6498" s="89" t="str">
        <v/>
      </c>
    </row>
    <row r="6499" spans="6:6" x14ac:dyDescent="0.3">
      <c r="F6499" s="89" t="str">
        <v/>
      </c>
    </row>
    <row r="6500" spans="6:6" x14ac:dyDescent="0.3">
      <c r="F6500" s="89" t="str">
        <v/>
      </c>
    </row>
    <row r="6501" spans="6:6" x14ac:dyDescent="0.3">
      <c r="F6501" s="89" t="str">
        <v/>
      </c>
    </row>
    <row r="6502" spans="6:6" x14ac:dyDescent="0.3">
      <c r="F6502" s="89" t="str">
        <v/>
      </c>
    </row>
    <row r="6503" spans="6:6" x14ac:dyDescent="0.3">
      <c r="F6503" s="89" t="str">
        <v/>
      </c>
    </row>
    <row r="6504" spans="6:6" x14ac:dyDescent="0.3">
      <c r="F6504" s="89" t="str">
        <v/>
      </c>
    </row>
    <row r="6505" spans="6:6" x14ac:dyDescent="0.3">
      <c r="F6505" s="89" t="str">
        <v/>
      </c>
    </row>
    <row r="6506" spans="6:6" x14ac:dyDescent="0.3">
      <c r="F6506" s="89" t="str">
        <v/>
      </c>
    </row>
    <row r="6507" spans="6:6" x14ac:dyDescent="0.3">
      <c r="F6507" s="89" t="str">
        <v/>
      </c>
    </row>
    <row r="6508" spans="6:6" x14ac:dyDescent="0.3">
      <c r="F6508" s="89" t="str">
        <v/>
      </c>
    </row>
    <row r="6509" spans="6:6" x14ac:dyDescent="0.3">
      <c r="F6509" s="89" t="str">
        <v/>
      </c>
    </row>
    <row r="6510" spans="6:6" x14ac:dyDescent="0.3">
      <c r="F6510" s="89" t="str">
        <v/>
      </c>
    </row>
    <row r="6511" spans="6:6" x14ac:dyDescent="0.3">
      <c r="F6511" s="89" t="str">
        <v/>
      </c>
    </row>
    <row r="6512" spans="6:6" x14ac:dyDescent="0.3">
      <c r="F6512" s="89" t="str">
        <v/>
      </c>
    </row>
    <row r="6513" spans="6:6" x14ac:dyDescent="0.3">
      <c r="F6513" s="89" t="str">
        <v/>
      </c>
    </row>
    <row r="6514" spans="6:6" x14ac:dyDescent="0.3">
      <c r="F6514" s="89" t="str">
        <v/>
      </c>
    </row>
    <row r="6515" spans="6:6" x14ac:dyDescent="0.3">
      <c r="F6515" s="89" t="str">
        <v/>
      </c>
    </row>
    <row r="6516" spans="6:6" x14ac:dyDescent="0.3">
      <c r="F6516" s="89" t="str">
        <v/>
      </c>
    </row>
    <row r="6517" spans="6:6" x14ac:dyDescent="0.3">
      <c r="F6517" s="89" t="str">
        <v/>
      </c>
    </row>
    <row r="6518" spans="6:6" x14ac:dyDescent="0.3">
      <c r="F6518" s="89" t="str">
        <v/>
      </c>
    </row>
    <row r="6519" spans="6:6" x14ac:dyDescent="0.3">
      <c r="F6519" s="89" t="str">
        <v/>
      </c>
    </row>
    <row r="6520" spans="6:6" x14ac:dyDescent="0.3">
      <c r="F6520" s="89" t="str">
        <v/>
      </c>
    </row>
    <row r="6521" spans="6:6" x14ac:dyDescent="0.3">
      <c r="F6521" s="89" t="str">
        <v/>
      </c>
    </row>
    <row r="6522" spans="6:6" x14ac:dyDescent="0.3">
      <c r="F6522" s="89" t="str">
        <v/>
      </c>
    </row>
    <row r="6523" spans="6:6" x14ac:dyDescent="0.3">
      <c r="F6523" s="89" t="str">
        <v/>
      </c>
    </row>
    <row r="6524" spans="6:6" x14ac:dyDescent="0.3">
      <c r="F6524" s="89" t="str">
        <v/>
      </c>
    </row>
    <row r="6525" spans="6:6" x14ac:dyDescent="0.3">
      <c r="F6525" s="89" t="str">
        <v/>
      </c>
    </row>
    <row r="6526" spans="6:6" x14ac:dyDescent="0.3">
      <c r="F6526" s="89" t="str">
        <v/>
      </c>
    </row>
    <row r="6527" spans="6:6" x14ac:dyDescent="0.3">
      <c r="F6527" s="89" t="str">
        <v/>
      </c>
    </row>
    <row r="6528" spans="6:6" x14ac:dyDescent="0.3">
      <c r="F6528" s="89" t="str">
        <v/>
      </c>
    </row>
    <row r="6529" spans="6:6" x14ac:dyDescent="0.3">
      <c r="F6529" s="89" t="str">
        <v/>
      </c>
    </row>
    <row r="6530" spans="6:6" x14ac:dyDescent="0.3">
      <c r="F6530" s="89" t="str">
        <v/>
      </c>
    </row>
    <row r="6531" spans="6:6" x14ac:dyDescent="0.3">
      <c r="F6531" s="89" t="str">
        <v/>
      </c>
    </row>
    <row r="6532" spans="6:6" x14ac:dyDescent="0.3">
      <c r="F6532" s="89" t="str">
        <v/>
      </c>
    </row>
    <row r="6533" spans="6:6" x14ac:dyDescent="0.3">
      <c r="F6533" s="89" t="str">
        <v/>
      </c>
    </row>
    <row r="6534" spans="6:6" x14ac:dyDescent="0.3">
      <c r="F6534" s="89" t="str">
        <v/>
      </c>
    </row>
    <row r="6535" spans="6:6" x14ac:dyDescent="0.3">
      <c r="F6535" s="89" t="str">
        <v/>
      </c>
    </row>
    <row r="6536" spans="6:6" x14ac:dyDescent="0.3">
      <c r="F6536" s="89" t="str">
        <v/>
      </c>
    </row>
    <row r="6537" spans="6:6" x14ac:dyDescent="0.3">
      <c r="F6537" s="89" t="str">
        <v/>
      </c>
    </row>
    <row r="6538" spans="6:6" x14ac:dyDescent="0.3">
      <c r="F6538" s="89" t="str">
        <v/>
      </c>
    </row>
    <row r="6539" spans="6:6" x14ac:dyDescent="0.3">
      <c r="F6539" s="89" t="str">
        <v/>
      </c>
    </row>
    <row r="6540" spans="6:6" x14ac:dyDescent="0.3">
      <c r="F6540" s="89" t="str">
        <v/>
      </c>
    </row>
    <row r="6541" spans="6:6" x14ac:dyDescent="0.3">
      <c r="F6541" s="89" t="str">
        <v/>
      </c>
    </row>
    <row r="6542" spans="6:6" x14ac:dyDescent="0.3">
      <c r="F6542" s="89" t="str">
        <v/>
      </c>
    </row>
    <row r="6543" spans="6:6" x14ac:dyDescent="0.3">
      <c r="F6543" s="89" t="str">
        <v/>
      </c>
    </row>
    <row r="6544" spans="6:6" x14ac:dyDescent="0.3">
      <c r="F6544" s="89" t="str">
        <v/>
      </c>
    </row>
    <row r="6545" spans="6:6" x14ac:dyDescent="0.3">
      <c r="F6545" s="89" t="str">
        <v/>
      </c>
    </row>
    <row r="6546" spans="6:6" x14ac:dyDescent="0.3">
      <c r="F6546" s="89" t="str">
        <v/>
      </c>
    </row>
    <row r="6547" spans="6:6" x14ac:dyDescent="0.3">
      <c r="F6547" s="89" t="str">
        <v/>
      </c>
    </row>
    <row r="6548" spans="6:6" x14ac:dyDescent="0.3">
      <c r="F6548" s="89" t="str">
        <v/>
      </c>
    </row>
    <row r="6549" spans="6:6" x14ac:dyDescent="0.3">
      <c r="F6549" s="89" t="str">
        <v/>
      </c>
    </row>
    <row r="6550" spans="6:6" x14ac:dyDescent="0.3">
      <c r="F6550" s="89" t="str">
        <v/>
      </c>
    </row>
    <row r="6551" spans="6:6" x14ac:dyDescent="0.3">
      <c r="F6551" s="89" t="str">
        <v/>
      </c>
    </row>
    <row r="6552" spans="6:6" x14ac:dyDescent="0.3">
      <c r="F6552" s="89" t="str">
        <v/>
      </c>
    </row>
    <row r="6553" spans="6:6" x14ac:dyDescent="0.3">
      <c r="F6553" s="89" t="str">
        <v/>
      </c>
    </row>
    <row r="6554" spans="6:6" x14ac:dyDescent="0.3">
      <c r="F6554" s="89" t="str">
        <v/>
      </c>
    </row>
    <row r="6555" spans="6:6" x14ac:dyDescent="0.3">
      <c r="F6555" s="89" t="str">
        <v/>
      </c>
    </row>
    <row r="6556" spans="6:6" x14ac:dyDescent="0.3">
      <c r="F6556" s="89" t="str">
        <v/>
      </c>
    </row>
    <row r="6557" spans="6:6" x14ac:dyDescent="0.3">
      <c r="F6557" s="89" t="str">
        <v/>
      </c>
    </row>
    <row r="6558" spans="6:6" x14ac:dyDescent="0.3">
      <c r="F6558" s="89" t="str">
        <v/>
      </c>
    </row>
    <row r="6559" spans="6:6" x14ac:dyDescent="0.3">
      <c r="F6559" s="89" t="str">
        <v/>
      </c>
    </row>
    <row r="6560" spans="6:6" x14ac:dyDescent="0.3">
      <c r="F6560" s="89" t="str">
        <v/>
      </c>
    </row>
    <row r="6561" spans="6:6" x14ac:dyDescent="0.3">
      <c r="F6561" s="89" t="str">
        <v/>
      </c>
    </row>
    <row r="6562" spans="6:6" x14ac:dyDescent="0.3">
      <c r="F6562" s="89" t="str">
        <v/>
      </c>
    </row>
    <row r="6563" spans="6:6" x14ac:dyDescent="0.3">
      <c r="F6563" s="89" t="str">
        <v/>
      </c>
    </row>
    <row r="6564" spans="6:6" x14ac:dyDescent="0.3">
      <c r="F6564" s="89" t="str">
        <v/>
      </c>
    </row>
    <row r="6565" spans="6:6" x14ac:dyDescent="0.3">
      <c r="F6565" s="89" t="str">
        <v/>
      </c>
    </row>
    <row r="6566" spans="6:6" x14ac:dyDescent="0.3">
      <c r="F6566" s="89" t="str">
        <v/>
      </c>
    </row>
    <row r="6567" spans="6:6" x14ac:dyDescent="0.3">
      <c r="F6567" s="89" t="str">
        <v/>
      </c>
    </row>
    <row r="6568" spans="6:6" x14ac:dyDescent="0.3">
      <c r="F6568" s="89" t="str">
        <v/>
      </c>
    </row>
    <row r="6569" spans="6:6" x14ac:dyDescent="0.3">
      <c r="F6569" s="89" t="str">
        <v/>
      </c>
    </row>
    <row r="6570" spans="6:6" x14ac:dyDescent="0.3">
      <c r="F6570" s="89" t="str">
        <v/>
      </c>
    </row>
    <row r="6571" spans="6:6" x14ac:dyDescent="0.3">
      <c r="F6571" s="89" t="str">
        <v/>
      </c>
    </row>
    <row r="6572" spans="6:6" x14ac:dyDescent="0.3">
      <c r="F6572" s="89" t="str">
        <v/>
      </c>
    </row>
    <row r="6573" spans="6:6" x14ac:dyDescent="0.3">
      <c r="F6573" s="89" t="str">
        <v/>
      </c>
    </row>
    <row r="6574" spans="6:6" x14ac:dyDescent="0.3">
      <c r="F6574" s="89" t="str">
        <v/>
      </c>
    </row>
    <row r="6575" spans="6:6" x14ac:dyDescent="0.3">
      <c r="F6575" s="89" t="str">
        <v/>
      </c>
    </row>
    <row r="6576" spans="6:6" x14ac:dyDescent="0.3">
      <c r="F6576" s="89" t="str">
        <v/>
      </c>
    </row>
    <row r="6577" spans="6:6" x14ac:dyDescent="0.3">
      <c r="F6577" s="89" t="str">
        <v/>
      </c>
    </row>
    <row r="6578" spans="6:6" x14ac:dyDescent="0.3">
      <c r="F6578" s="89" t="str">
        <v/>
      </c>
    </row>
    <row r="6579" spans="6:6" x14ac:dyDescent="0.3">
      <c r="F6579" s="89" t="str">
        <v/>
      </c>
    </row>
    <row r="6580" spans="6:6" x14ac:dyDescent="0.3">
      <c r="F6580" s="89" t="str">
        <v/>
      </c>
    </row>
    <row r="6581" spans="6:6" x14ac:dyDescent="0.3">
      <c r="F6581" s="89" t="str">
        <v/>
      </c>
    </row>
    <row r="6582" spans="6:6" x14ac:dyDescent="0.3">
      <c r="F6582" s="89" t="str">
        <v/>
      </c>
    </row>
    <row r="6583" spans="6:6" x14ac:dyDescent="0.3">
      <c r="F6583" s="89" t="str">
        <v/>
      </c>
    </row>
    <row r="6584" spans="6:6" x14ac:dyDescent="0.3">
      <c r="F6584" s="89" t="str">
        <v/>
      </c>
    </row>
    <row r="6585" spans="6:6" x14ac:dyDescent="0.3">
      <c r="F6585" s="89" t="str">
        <v/>
      </c>
    </row>
    <row r="6586" spans="6:6" x14ac:dyDescent="0.3">
      <c r="F6586" s="89" t="str">
        <v/>
      </c>
    </row>
    <row r="6587" spans="6:6" x14ac:dyDescent="0.3">
      <c r="F6587" s="89" t="str">
        <v/>
      </c>
    </row>
    <row r="6588" spans="6:6" x14ac:dyDescent="0.3">
      <c r="F6588" s="89" t="str">
        <v/>
      </c>
    </row>
    <row r="6589" spans="6:6" x14ac:dyDescent="0.3">
      <c r="F6589" s="89" t="str">
        <v/>
      </c>
    </row>
    <row r="6590" spans="6:6" x14ac:dyDescent="0.3">
      <c r="F6590" s="89" t="str">
        <v/>
      </c>
    </row>
    <row r="6591" spans="6:6" x14ac:dyDescent="0.3">
      <c r="F6591" s="89" t="str">
        <v/>
      </c>
    </row>
    <row r="6592" spans="6:6" x14ac:dyDescent="0.3">
      <c r="F6592" s="89" t="str">
        <v/>
      </c>
    </row>
    <row r="6593" spans="6:6" x14ac:dyDescent="0.3">
      <c r="F6593" s="89" t="str">
        <v/>
      </c>
    </row>
    <row r="6594" spans="6:6" x14ac:dyDescent="0.3">
      <c r="F6594" s="89" t="str">
        <v/>
      </c>
    </row>
    <row r="6595" spans="6:6" x14ac:dyDescent="0.3">
      <c r="F6595" s="89" t="str">
        <v/>
      </c>
    </row>
    <row r="6596" spans="6:6" x14ac:dyDescent="0.3">
      <c r="F6596" s="89" t="str">
        <v/>
      </c>
    </row>
    <row r="6597" spans="6:6" x14ac:dyDescent="0.3">
      <c r="F6597" s="89" t="str">
        <v/>
      </c>
    </row>
    <row r="6598" spans="6:6" x14ac:dyDescent="0.3">
      <c r="F6598" s="89" t="str">
        <v/>
      </c>
    </row>
    <row r="6599" spans="6:6" x14ac:dyDescent="0.3">
      <c r="F6599" s="89" t="str">
        <v/>
      </c>
    </row>
    <row r="6600" spans="6:6" x14ac:dyDescent="0.3">
      <c r="F6600" s="89" t="str">
        <v/>
      </c>
    </row>
    <row r="6601" spans="6:6" x14ac:dyDescent="0.3">
      <c r="F6601" s="89" t="str">
        <v/>
      </c>
    </row>
    <row r="6602" spans="6:6" x14ac:dyDescent="0.3">
      <c r="F6602" s="89" t="str">
        <v/>
      </c>
    </row>
    <row r="6603" spans="6:6" x14ac:dyDescent="0.3">
      <c r="F6603" s="89" t="str">
        <v/>
      </c>
    </row>
    <row r="6604" spans="6:6" x14ac:dyDescent="0.3">
      <c r="F6604" s="89" t="str">
        <v/>
      </c>
    </row>
    <row r="6605" spans="6:6" x14ac:dyDescent="0.3">
      <c r="F6605" s="89" t="str">
        <v/>
      </c>
    </row>
    <row r="6606" spans="6:6" x14ac:dyDescent="0.3">
      <c r="F6606" s="89" t="str">
        <v/>
      </c>
    </row>
    <row r="6607" spans="6:6" x14ac:dyDescent="0.3">
      <c r="F6607" s="89" t="str">
        <v/>
      </c>
    </row>
    <row r="6608" spans="6:6" x14ac:dyDescent="0.3">
      <c r="F6608" s="89" t="str">
        <v/>
      </c>
    </row>
    <row r="6609" spans="6:6" x14ac:dyDescent="0.3">
      <c r="F6609" s="89" t="str">
        <v/>
      </c>
    </row>
    <row r="6610" spans="6:6" x14ac:dyDescent="0.3">
      <c r="F6610" s="89" t="str">
        <v/>
      </c>
    </row>
    <row r="6611" spans="6:6" x14ac:dyDescent="0.3">
      <c r="F6611" s="89" t="str">
        <v/>
      </c>
    </row>
    <row r="6612" spans="6:6" x14ac:dyDescent="0.3">
      <c r="F6612" s="89" t="str">
        <v/>
      </c>
    </row>
    <row r="6613" spans="6:6" x14ac:dyDescent="0.3">
      <c r="F6613" s="89" t="str">
        <v/>
      </c>
    </row>
    <row r="6614" spans="6:6" x14ac:dyDescent="0.3">
      <c r="F6614" s="89" t="str">
        <v/>
      </c>
    </row>
    <row r="6615" spans="6:6" x14ac:dyDescent="0.3">
      <c r="F6615" s="89" t="str">
        <v/>
      </c>
    </row>
    <row r="6616" spans="6:6" x14ac:dyDescent="0.3">
      <c r="F6616" s="89" t="str">
        <v/>
      </c>
    </row>
    <row r="6617" spans="6:6" x14ac:dyDescent="0.3">
      <c r="F6617" s="89" t="str">
        <v/>
      </c>
    </row>
    <row r="6618" spans="6:6" x14ac:dyDescent="0.3">
      <c r="F6618" s="89" t="str">
        <v/>
      </c>
    </row>
    <row r="6619" spans="6:6" x14ac:dyDescent="0.3">
      <c r="F6619" s="89" t="str">
        <v/>
      </c>
    </row>
    <row r="6620" spans="6:6" x14ac:dyDescent="0.3">
      <c r="F6620" s="89" t="str">
        <v/>
      </c>
    </row>
    <row r="6621" spans="6:6" x14ac:dyDescent="0.3">
      <c r="F6621" s="89" t="str">
        <v/>
      </c>
    </row>
    <row r="6622" spans="6:6" x14ac:dyDescent="0.3">
      <c r="F6622" s="89" t="str">
        <v/>
      </c>
    </row>
    <row r="6623" spans="6:6" x14ac:dyDescent="0.3">
      <c r="F6623" s="89" t="str">
        <v/>
      </c>
    </row>
    <row r="6624" spans="6:6" x14ac:dyDescent="0.3">
      <c r="F6624" s="89" t="str">
        <v/>
      </c>
    </row>
    <row r="6625" spans="6:6" x14ac:dyDescent="0.3">
      <c r="F6625" s="89" t="str">
        <v/>
      </c>
    </row>
    <row r="6626" spans="6:6" x14ac:dyDescent="0.3">
      <c r="F6626" s="89" t="str">
        <v/>
      </c>
    </row>
    <row r="6627" spans="6:6" x14ac:dyDescent="0.3">
      <c r="F6627" s="89" t="str">
        <v/>
      </c>
    </row>
    <row r="6628" spans="6:6" x14ac:dyDescent="0.3">
      <c r="F6628" s="89" t="str">
        <v/>
      </c>
    </row>
    <row r="6629" spans="6:6" x14ac:dyDescent="0.3">
      <c r="F6629" s="89" t="str">
        <v/>
      </c>
    </row>
    <row r="6630" spans="6:6" x14ac:dyDescent="0.3">
      <c r="F6630" s="89" t="str">
        <v/>
      </c>
    </row>
    <row r="6631" spans="6:6" x14ac:dyDescent="0.3">
      <c r="F6631" s="89" t="str">
        <v/>
      </c>
    </row>
    <row r="6632" spans="6:6" x14ac:dyDescent="0.3">
      <c r="F6632" s="89" t="str">
        <v/>
      </c>
    </row>
    <row r="6633" spans="6:6" x14ac:dyDescent="0.3">
      <c r="F6633" s="89" t="str">
        <v/>
      </c>
    </row>
    <row r="6634" spans="6:6" x14ac:dyDescent="0.3">
      <c r="F6634" s="89" t="str">
        <v/>
      </c>
    </row>
    <row r="6635" spans="6:6" x14ac:dyDescent="0.3">
      <c r="F6635" s="89" t="str">
        <v/>
      </c>
    </row>
    <row r="6636" spans="6:6" x14ac:dyDescent="0.3">
      <c r="F6636" s="89" t="str">
        <v/>
      </c>
    </row>
    <row r="6637" spans="6:6" x14ac:dyDescent="0.3">
      <c r="F6637" s="89" t="str">
        <v/>
      </c>
    </row>
    <row r="6638" spans="6:6" x14ac:dyDescent="0.3">
      <c r="F6638" s="89" t="str">
        <v/>
      </c>
    </row>
    <row r="6639" spans="6:6" x14ac:dyDescent="0.3">
      <c r="F6639" s="89" t="str">
        <v/>
      </c>
    </row>
    <row r="6640" spans="6:6" x14ac:dyDescent="0.3">
      <c r="F6640" s="89" t="str">
        <v/>
      </c>
    </row>
    <row r="6641" spans="6:6" x14ac:dyDescent="0.3">
      <c r="F6641" s="89" t="str">
        <v/>
      </c>
    </row>
    <row r="6642" spans="6:6" x14ac:dyDescent="0.3">
      <c r="F6642" s="89" t="str">
        <v/>
      </c>
    </row>
    <row r="6643" spans="6:6" x14ac:dyDescent="0.3">
      <c r="F6643" s="89" t="str">
        <v/>
      </c>
    </row>
    <row r="6644" spans="6:6" x14ac:dyDescent="0.3">
      <c r="F6644" s="89" t="str">
        <v/>
      </c>
    </row>
    <row r="6645" spans="6:6" x14ac:dyDescent="0.3">
      <c r="F6645" s="89" t="str">
        <v/>
      </c>
    </row>
    <row r="6646" spans="6:6" x14ac:dyDescent="0.3">
      <c r="F6646" s="89" t="str">
        <v/>
      </c>
    </row>
    <row r="6647" spans="6:6" x14ac:dyDescent="0.3">
      <c r="F6647" s="89" t="str">
        <v/>
      </c>
    </row>
    <row r="6648" spans="6:6" x14ac:dyDescent="0.3">
      <c r="F6648" s="89" t="str">
        <v/>
      </c>
    </row>
    <row r="6649" spans="6:6" x14ac:dyDescent="0.3">
      <c r="F6649" s="89" t="str">
        <v/>
      </c>
    </row>
    <row r="6650" spans="6:6" x14ac:dyDescent="0.3">
      <c r="F6650" s="89" t="str">
        <v/>
      </c>
    </row>
    <row r="6651" spans="6:6" x14ac:dyDescent="0.3">
      <c r="F6651" s="89" t="str">
        <v/>
      </c>
    </row>
    <row r="6652" spans="6:6" x14ac:dyDescent="0.3">
      <c r="F6652" s="89" t="str">
        <v/>
      </c>
    </row>
    <row r="6653" spans="6:6" x14ac:dyDescent="0.3">
      <c r="F6653" s="89" t="str">
        <v/>
      </c>
    </row>
    <row r="6654" spans="6:6" x14ac:dyDescent="0.3">
      <c r="F6654" s="89" t="str">
        <v/>
      </c>
    </row>
    <row r="6655" spans="6:6" x14ac:dyDescent="0.3">
      <c r="F6655" s="89" t="str">
        <v/>
      </c>
    </row>
    <row r="6656" spans="6:6" x14ac:dyDescent="0.3">
      <c r="F6656" s="89" t="str">
        <v/>
      </c>
    </row>
    <row r="6657" spans="6:6" x14ac:dyDescent="0.3">
      <c r="F6657" s="89" t="str">
        <v/>
      </c>
    </row>
    <row r="6658" spans="6:6" x14ac:dyDescent="0.3">
      <c r="F6658" s="89" t="str">
        <v/>
      </c>
    </row>
    <row r="6659" spans="6:6" x14ac:dyDescent="0.3">
      <c r="F6659" s="89" t="str">
        <v/>
      </c>
    </row>
    <row r="6660" spans="6:6" x14ac:dyDescent="0.3">
      <c r="F6660" s="89" t="str">
        <v/>
      </c>
    </row>
    <row r="6661" spans="6:6" x14ac:dyDescent="0.3">
      <c r="F6661" s="89" t="str">
        <v/>
      </c>
    </row>
    <row r="6662" spans="6:6" x14ac:dyDescent="0.3">
      <c r="F6662" s="89" t="str">
        <v/>
      </c>
    </row>
    <row r="6663" spans="6:6" x14ac:dyDescent="0.3">
      <c r="F6663" s="89" t="str">
        <v/>
      </c>
    </row>
    <row r="6664" spans="6:6" x14ac:dyDescent="0.3">
      <c r="F6664" s="89" t="str">
        <v/>
      </c>
    </row>
    <row r="6665" spans="6:6" x14ac:dyDescent="0.3">
      <c r="F6665" s="89" t="str">
        <v/>
      </c>
    </row>
    <row r="6666" spans="6:6" x14ac:dyDescent="0.3">
      <c r="F6666" s="89" t="str">
        <v/>
      </c>
    </row>
    <row r="6667" spans="6:6" x14ac:dyDescent="0.3">
      <c r="F6667" s="89" t="str">
        <v/>
      </c>
    </row>
    <row r="6668" spans="6:6" x14ac:dyDescent="0.3">
      <c r="F6668" s="89" t="str">
        <v/>
      </c>
    </row>
    <row r="6669" spans="6:6" x14ac:dyDescent="0.3">
      <c r="F6669" s="89" t="str">
        <v/>
      </c>
    </row>
    <row r="6670" spans="6:6" x14ac:dyDescent="0.3">
      <c r="F6670" s="89" t="str">
        <v/>
      </c>
    </row>
    <row r="6671" spans="6:6" x14ac:dyDescent="0.3">
      <c r="F6671" s="89" t="str">
        <v/>
      </c>
    </row>
    <row r="6672" spans="6:6" x14ac:dyDescent="0.3">
      <c r="F6672" s="89" t="str">
        <v/>
      </c>
    </row>
    <row r="6673" spans="6:6" x14ac:dyDescent="0.3">
      <c r="F6673" s="89" t="str">
        <v/>
      </c>
    </row>
    <row r="6674" spans="6:6" x14ac:dyDescent="0.3">
      <c r="F6674" s="89" t="str">
        <v/>
      </c>
    </row>
    <row r="6675" spans="6:6" x14ac:dyDescent="0.3">
      <c r="F6675" s="89" t="str">
        <v/>
      </c>
    </row>
    <row r="6676" spans="6:6" x14ac:dyDescent="0.3">
      <c r="F6676" s="89" t="str">
        <v/>
      </c>
    </row>
    <row r="6677" spans="6:6" x14ac:dyDescent="0.3">
      <c r="F6677" s="89" t="str">
        <v/>
      </c>
    </row>
    <row r="6678" spans="6:6" x14ac:dyDescent="0.3">
      <c r="F6678" s="89" t="str">
        <v/>
      </c>
    </row>
    <row r="6679" spans="6:6" x14ac:dyDescent="0.3">
      <c r="F6679" s="89" t="str">
        <v/>
      </c>
    </row>
    <row r="6680" spans="6:6" x14ac:dyDescent="0.3">
      <c r="F6680" s="89" t="str">
        <v/>
      </c>
    </row>
    <row r="6681" spans="6:6" x14ac:dyDescent="0.3">
      <c r="F6681" s="89" t="str">
        <v/>
      </c>
    </row>
    <row r="6682" spans="6:6" x14ac:dyDescent="0.3">
      <c r="F6682" s="89" t="str">
        <v/>
      </c>
    </row>
    <row r="6683" spans="6:6" x14ac:dyDescent="0.3">
      <c r="F6683" s="89" t="str">
        <v/>
      </c>
    </row>
    <row r="6684" spans="6:6" x14ac:dyDescent="0.3">
      <c r="F6684" s="89" t="str">
        <v/>
      </c>
    </row>
    <row r="6685" spans="6:6" x14ac:dyDescent="0.3">
      <c r="F6685" s="89" t="str">
        <v/>
      </c>
    </row>
    <row r="6686" spans="6:6" x14ac:dyDescent="0.3">
      <c r="F6686" s="89" t="str">
        <v/>
      </c>
    </row>
    <row r="6687" spans="6:6" x14ac:dyDescent="0.3">
      <c r="F6687" s="89" t="str">
        <v/>
      </c>
    </row>
    <row r="6688" spans="6:6" x14ac:dyDescent="0.3">
      <c r="F6688" s="89" t="str">
        <v/>
      </c>
    </row>
    <row r="6689" spans="6:6" x14ac:dyDescent="0.3">
      <c r="F6689" s="89" t="str">
        <v/>
      </c>
    </row>
    <row r="6690" spans="6:6" x14ac:dyDescent="0.3">
      <c r="F6690" s="89" t="str">
        <v/>
      </c>
    </row>
    <row r="6691" spans="6:6" x14ac:dyDescent="0.3">
      <c r="F6691" s="89" t="str">
        <v/>
      </c>
    </row>
    <row r="6692" spans="6:6" x14ac:dyDescent="0.3">
      <c r="F6692" s="89" t="str">
        <v/>
      </c>
    </row>
    <row r="6693" spans="6:6" x14ac:dyDescent="0.3">
      <c r="F6693" s="89" t="str">
        <v/>
      </c>
    </row>
    <row r="6694" spans="6:6" x14ac:dyDescent="0.3">
      <c r="F6694" s="89" t="str">
        <v/>
      </c>
    </row>
    <row r="6695" spans="6:6" x14ac:dyDescent="0.3">
      <c r="F6695" s="89" t="str">
        <v/>
      </c>
    </row>
    <row r="6696" spans="6:6" x14ac:dyDescent="0.3">
      <c r="F6696" s="89" t="str">
        <v/>
      </c>
    </row>
    <row r="6697" spans="6:6" x14ac:dyDescent="0.3">
      <c r="F6697" s="89" t="str">
        <v/>
      </c>
    </row>
    <row r="6698" spans="6:6" x14ac:dyDescent="0.3">
      <c r="F6698" s="89" t="str">
        <v/>
      </c>
    </row>
    <row r="6699" spans="6:6" x14ac:dyDescent="0.3">
      <c r="F6699" s="89" t="str">
        <v/>
      </c>
    </row>
    <row r="6700" spans="6:6" x14ac:dyDescent="0.3">
      <c r="F6700" s="89" t="str">
        <v/>
      </c>
    </row>
    <row r="6701" spans="6:6" x14ac:dyDescent="0.3">
      <c r="F6701" s="89" t="str">
        <v/>
      </c>
    </row>
    <row r="6702" spans="6:6" x14ac:dyDescent="0.3">
      <c r="F6702" s="89" t="str">
        <v/>
      </c>
    </row>
    <row r="6703" spans="6:6" x14ac:dyDescent="0.3">
      <c r="F6703" s="89" t="str">
        <v/>
      </c>
    </row>
    <row r="6704" spans="6:6" x14ac:dyDescent="0.3">
      <c r="F6704" s="89" t="str">
        <v/>
      </c>
    </row>
    <row r="6705" spans="6:6" x14ac:dyDescent="0.3">
      <c r="F6705" s="89" t="str">
        <v/>
      </c>
    </row>
    <row r="6706" spans="6:6" x14ac:dyDescent="0.3">
      <c r="F6706" s="89" t="str">
        <v/>
      </c>
    </row>
    <row r="6707" spans="6:6" x14ac:dyDescent="0.3">
      <c r="F6707" s="89" t="str">
        <v/>
      </c>
    </row>
    <row r="6708" spans="6:6" x14ac:dyDescent="0.3">
      <c r="F6708" s="89" t="str">
        <v/>
      </c>
    </row>
    <row r="6709" spans="6:6" x14ac:dyDescent="0.3">
      <c r="F6709" s="89" t="str">
        <v/>
      </c>
    </row>
    <row r="6710" spans="6:6" x14ac:dyDescent="0.3">
      <c r="F6710" s="89" t="str">
        <v/>
      </c>
    </row>
    <row r="6711" spans="6:6" x14ac:dyDescent="0.3">
      <c r="F6711" s="89" t="str">
        <v/>
      </c>
    </row>
    <row r="6712" spans="6:6" x14ac:dyDescent="0.3">
      <c r="F6712" s="89" t="str">
        <v/>
      </c>
    </row>
    <row r="6713" spans="6:6" x14ac:dyDescent="0.3">
      <c r="F6713" s="89" t="str">
        <v/>
      </c>
    </row>
    <row r="6714" spans="6:6" x14ac:dyDescent="0.3">
      <c r="F6714" s="89" t="str">
        <v/>
      </c>
    </row>
    <row r="6715" spans="6:6" x14ac:dyDescent="0.3">
      <c r="F6715" s="89" t="str">
        <v/>
      </c>
    </row>
    <row r="6716" spans="6:6" x14ac:dyDescent="0.3">
      <c r="F6716" s="89" t="str">
        <v/>
      </c>
    </row>
    <row r="6717" spans="6:6" x14ac:dyDescent="0.3">
      <c r="F6717" s="89" t="str">
        <v/>
      </c>
    </row>
    <row r="6718" spans="6:6" x14ac:dyDescent="0.3">
      <c r="F6718" s="89" t="str">
        <v/>
      </c>
    </row>
    <row r="6719" spans="6:6" x14ac:dyDescent="0.3">
      <c r="F6719" s="89" t="str">
        <v/>
      </c>
    </row>
    <row r="6720" spans="6:6" x14ac:dyDescent="0.3">
      <c r="F6720" s="89" t="str">
        <v/>
      </c>
    </row>
    <row r="6721" spans="6:6" x14ac:dyDescent="0.3">
      <c r="F6721" s="89" t="str">
        <v/>
      </c>
    </row>
    <row r="6722" spans="6:6" x14ac:dyDescent="0.3">
      <c r="F6722" s="89" t="str">
        <v/>
      </c>
    </row>
    <row r="6723" spans="6:6" x14ac:dyDescent="0.3">
      <c r="F6723" s="89" t="str">
        <v/>
      </c>
    </row>
    <row r="6724" spans="6:6" x14ac:dyDescent="0.3">
      <c r="F6724" s="89" t="str">
        <v/>
      </c>
    </row>
    <row r="6725" spans="6:6" x14ac:dyDescent="0.3">
      <c r="F6725" s="89" t="str">
        <v/>
      </c>
    </row>
    <row r="6726" spans="6:6" x14ac:dyDescent="0.3">
      <c r="F6726" s="89" t="str">
        <v/>
      </c>
    </row>
    <row r="6727" spans="6:6" x14ac:dyDescent="0.3">
      <c r="F6727" s="89" t="str">
        <v/>
      </c>
    </row>
    <row r="6728" spans="6:6" x14ac:dyDescent="0.3">
      <c r="F6728" s="89" t="str">
        <v/>
      </c>
    </row>
    <row r="6729" spans="6:6" x14ac:dyDescent="0.3">
      <c r="F6729" s="89" t="str">
        <v/>
      </c>
    </row>
    <row r="6730" spans="6:6" x14ac:dyDescent="0.3">
      <c r="F6730" s="89" t="str">
        <v/>
      </c>
    </row>
    <row r="6731" spans="6:6" x14ac:dyDescent="0.3">
      <c r="F6731" s="89" t="str">
        <v/>
      </c>
    </row>
    <row r="6732" spans="6:6" x14ac:dyDescent="0.3">
      <c r="F6732" s="89" t="str">
        <v/>
      </c>
    </row>
    <row r="6733" spans="6:6" x14ac:dyDescent="0.3">
      <c r="F6733" s="89" t="str">
        <v/>
      </c>
    </row>
    <row r="6734" spans="6:6" x14ac:dyDescent="0.3">
      <c r="F6734" s="89" t="str">
        <v/>
      </c>
    </row>
    <row r="6735" spans="6:6" x14ac:dyDescent="0.3">
      <c r="F6735" s="89" t="str">
        <v/>
      </c>
    </row>
    <row r="6736" spans="6:6" x14ac:dyDescent="0.3">
      <c r="F6736" s="89" t="str">
        <v/>
      </c>
    </row>
    <row r="6737" spans="6:6" x14ac:dyDescent="0.3">
      <c r="F6737" s="89" t="str">
        <v/>
      </c>
    </row>
    <row r="6738" spans="6:6" x14ac:dyDescent="0.3">
      <c r="F6738" s="89" t="str">
        <v/>
      </c>
    </row>
    <row r="6739" spans="6:6" x14ac:dyDescent="0.3">
      <c r="F6739" s="89" t="str">
        <v/>
      </c>
    </row>
    <row r="6740" spans="6:6" x14ac:dyDescent="0.3">
      <c r="F6740" s="89" t="str">
        <v/>
      </c>
    </row>
    <row r="6741" spans="6:6" x14ac:dyDescent="0.3">
      <c r="F6741" s="89" t="str">
        <v/>
      </c>
    </row>
    <row r="6742" spans="6:6" x14ac:dyDescent="0.3">
      <c r="F6742" s="89" t="str">
        <v/>
      </c>
    </row>
    <row r="6743" spans="6:6" x14ac:dyDescent="0.3">
      <c r="F6743" s="89" t="str">
        <v/>
      </c>
    </row>
    <row r="6744" spans="6:6" x14ac:dyDescent="0.3">
      <c r="F6744" s="89" t="str">
        <v/>
      </c>
    </row>
    <row r="6745" spans="6:6" x14ac:dyDescent="0.3">
      <c r="F6745" s="89" t="str">
        <v/>
      </c>
    </row>
    <row r="6746" spans="6:6" x14ac:dyDescent="0.3">
      <c r="F6746" s="89" t="str">
        <v/>
      </c>
    </row>
    <row r="6747" spans="6:6" x14ac:dyDescent="0.3">
      <c r="F6747" s="89" t="str">
        <v/>
      </c>
    </row>
    <row r="6748" spans="6:6" x14ac:dyDescent="0.3">
      <c r="F6748" s="89" t="str">
        <v/>
      </c>
    </row>
    <row r="6749" spans="6:6" x14ac:dyDescent="0.3">
      <c r="F6749" s="89" t="str">
        <v/>
      </c>
    </row>
    <row r="6750" spans="6:6" x14ac:dyDescent="0.3">
      <c r="F6750" s="89" t="str">
        <v/>
      </c>
    </row>
    <row r="6751" spans="6:6" x14ac:dyDescent="0.3">
      <c r="F6751" s="89" t="str">
        <v/>
      </c>
    </row>
    <row r="6752" spans="6:6" x14ac:dyDescent="0.3">
      <c r="F6752" s="89" t="str">
        <v/>
      </c>
    </row>
    <row r="6753" spans="6:6" x14ac:dyDescent="0.3">
      <c r="F6753" s="89" t="str">
        <v/>
      </c>
    </row>
    <row r="6754" spans="6:6" x14ac:dyDescent="0.3">
      <c r="F6754" s="89" t="str">
        <v/>
      </c>
    </row>
    <row r="6755" spans="6:6" x14ac:dyDescent="0.3">
      <c r="F6755" s="89" t="str">
        <v/>
      </c>
    </row>
    <row r="6756" spans="6:6" x14ac:dyDescent="0.3">
      <c r="F6756" s="89" t="str">
        <v/>
      </c>
    </row>
    <row r="6757" spans="6:6" x14ac:dyDescent="0.3">
      <c r="F6757" s="89" t="str">
        <v/>
      </c>
    </row>
    <row r="6758" spans="6:6" x14ac:dyDescent="0.3">
      <c r="F6758" s="89" t="str">
        <v/>
      </c>
    </row>
    <row r="6759" spans="6:6" x14ac:dyDescent="0.3">
      <c r="F6759" s="89" t="str">
        <v/>
      </c>
    </row>
    <row r="6760" spans="6:6" x14ac:dyDescent="0.3">
      <c r="F6760" s="89" t="str">
        <v/>
      </c>
    </row>
    <row r="6761" spans="6:6" x14ac:dyDescent="0.3">
      <c r="F6761" s="89" t="str">
        <v/>
      </c>
    </row>
    <row r="6762" spans="6:6" x14ac:dyDescent="0.3">
      <c r="F6762" s="89" t="str">
        <v/>
      </c>
    </row>
    <row r="6763" spans="6:6" x14ac:dyDescent="0.3">
      <c r="F6763" s="89" t="str">
        <v/>
      </c>
    </row>
    <row r="6764" spans="6:6" x14ac:dyDescent="0.3">
      <c r="F6764" s="89" t="str">
        <v/>
      </c>
    </row>
    <row r="6765" spans="6:6" x14ac:dyDescent="0.3">
      <c r="F6765" s="89" t="str">
        <v/>
      </c>
    </row>
    <row r="6766" spans="6:6" x14ac:dyDescent="0.3">
      <c r="F6766" s="89" t="str">
        <v/>
      </c>
    </row>
    <row r="6767" spans="6:6" x14ac:dyDescent="0.3">
      <c r="F6767" s="89" t="str">
        <v/>
      </c>
    </row>
    <row r="6768" spans="6:6" x14ac:dyDescent="0.3">
      <c r="F6768" s="89" t="str">
        <v/>
      </c>
    </row>
    <row r="6769" spans="6:6" x14ac:dyDescent="0.3">
      <c r="F6769" s="89" t="str">
        <v/>
      </c>
    </row>
    <row r="6770" spans="6:6" x14ac:dyDescent="0.3">
      <c r="F6770" s="89" t="str">
        <v/>
      </c>
    </row>
    <row r="6771" spans="6:6" x14ac:dyDescent="0.3">
      <c r="F6771" s="89" t="str">
        <v/>
      </c>
    </row>
    <row r="6772" spans="6:6" x14ac:dyDescent="0.3">
      <c r="F6772" s="89" t="str">
        <v/>
      </c>
    </row>
    <row r="6773" spans="6:6" x14ac:dyDescent="0.3">
      <c r="F6773" s="89" t="str">
        <v/>
      </c>
    </row>
    <row r="6774" spans="6:6" x14ac:dyDescent="0.3">
      <c r="F6774" s="89" t="str">
        <v/>
      </c>
    </row>
    <row r="6775" spans="6:6" x14ac:dyDescent="0.3">
      <c r="F6775" s="89" t="str">
        <v/>
      </c>
    </row>
    <row r="6776" spans="6:6" x14ac:dyDescent="0.3">
      <c r="F6776" s="89" t="str">
        <v/>
      </c>
    </row>
    <row r="6777" spans="6:6" x14ac:dyDescent="0.3">
      <c r="F6777" s="89" t="str">
        <v/>
      </c>
    </row>
    <row r="6778" spans="6:6" x14ac:dyDescent="0.3">
      <c r="F6778" s="89" t="str">
        <v/>
      </c>
    </row>
    <row r="6779" spans="6:6" x14ac:dyDescent="0.3">
      <c r="F6779" s="89" t="str">
        <v/>
      </c>
    </row>
    <row r="6780" spans="6:6" x14ac:dyDescent="0.3">
      <c r="F6780" s="89" t="str">
        <v/>
      </c>
    </row>
    <row r="6781" spans="6:6" x14ac:dyDescent="0.3">
      <c r="F6781" s="89" t="str">
        <v/>
      </c>
    </row>
    <row r="6782" spans="6:6" x14ac:dyDescent="0.3">
      <c r="F6782" s="89" t="str">
        <v/>
      </c>
    </row>
    <row r="6783" spans="6:6" x14ac:dyDescent="0.3">
      <c r="F6783" s="89" t="str">
        <v/>
      </c>
    </row>
    <row r="6784" spans="6:6" x14ac:dyDescent="0.3">
      <c r="F6784" s="89" t="str">
        <v/>
      </c>
    </row>
    <row r="6785" spans="6:6" x14ac:dyDescent="0.3">
      <c r="F6785" s="89" t="str">
        <v/>
      </c>
    </row>
    <row r="6786" spans="6:6" x14ac:dyDescent="0.3">
      <c r="F6786" s="89" t="str">
        <v/>
      </c>
    </row>
    <row r="6787" spans="6:6" x14ac:dyDescent="0.3">
      <c r="F6787" s="89" t="str">
        <v/>
      </c>
    </row>
    <row r="6788" spans="6:6" x14ac:dyDescent="0.3">
      <c r="F6788" s="89" t="str">
        <v/>
      </c>
    </row>
    <row r="6789" spans="6:6" x14ac:dyDescent="0.3">
      <c r="F6789" s="89" t="str">
        <v/>
      </c>
    </row>
    <row r="6790" spans="6:6" x14ac:dyDescent="0.3">
      <c r="F6790" s="89" t="str">
        <v/>
      </c>
    </row>
    <row r="6791" spans="6:6" x14ac:dyDescent="0.3">
      <c r="F6791" s="89" t="str">
        <v/>
      </c>
    </row>
    <row r="6792" spans="6:6" x14ac:dyDescent="0.3">
      <c r="F6792" s="89" t="str">
        <v/>
      </c>
    </row>
    <row r="6793" spans="6:6" x14ac:dyDescent="0.3">
      <c r="F6793" s="89" t="str">
        <v/>
      </c>
    </row>
    <row r="6794" spans="6:6" x14ac:dyDescent="0.3">
      <c r="F6794" s="89" t="str">
        <v/>
      </c>
    </row>
    <row r="6795" spans="6:6" x14ac:dyDescent="0.3">
      <c r="F6795" s="89" t="str">
        <v/>
      </c>
    </row>
    <row r="6796" spans="6:6" x14ac:dyDescent="0.3">
      <c r="F6796" s="89" t="str">
        <v/>
      </c>
    </row>
    <row r="6797" spans="6:6" x14ac:dyDescent="0.3">
      <c r="F6797" s="89" t="str">
        <v/>
      </c>
    </row>
    <row r="6798" spans="6:6" x14ac:dyDescent="0.3">
      <c r="F6798" s="89" t="str">
        <v/>
      </c>
    </row>
    <row r="6799" spans="6:6" x14ac:dyDescent="0.3">
      <c r="F6799" s="89" t="str">
        <v/>
      </c>
    </row>
    <row r="6800" spans="6:6" x14ac:dyDescent="0.3">
      <c r="F6800" s="89" t="str">
        <v/>
      </c>
    </row>
    <row r="6801" spans="6:6" x14ac:dyDescent="0.3">
      <c r="F6801" s="89" t="str">
        <v/>
      </c>
    </row>
    <row r="6802" spans="6:6" x14ac:dyDescent="0.3">
      <c r="F6802" s="89" t="str">
        <v/>
      </c>
    </row>
    <row r="6803" spans="6:6" x14ac:dyDescent="0.3">
      <c r="F6803" s="89" t="str">
        <v/>
      </c>
    </row>
    <row r="6804" spans="6:6" x14ac:dyDescent="0.3">
      <c r="F6804" s="89" t="str">
        <v/>
      </c>
    </row>
    <row r="6805" spans="6:6" x14ac:dyDescent="0.3">
      <c r="F6805" s="89" t="str">
        <v/>
      </c>
    </row>
    <row r="6806" spans="6:6" x14ac:dyDescent="0.3">
      <c r="F6806" s="89" t="str">
        <v/>
      </c>
    </row>
    <row r="6807" spans="6:6" x14ac:dyDescent="0.3">
      <c r="F6807" s="89" t="str">
        <v/>
      </c>
    </row>
    <row r="6808" spans="6:6" x14ac:dyDescent="0.3">
      <c r="F6808" s="89" t="str">
        <v/>
      </c>
    </row>
    <row r="6809" spans="6:6" x14ac:dyDescent="0.3">
      <c r="F6809" s="89" t="str">
        <v/>
      </c>
    </row>
    <row r="6810" spans="6:6" x14ac:dyDescent="0.3">
      <c r="F6810" s="89" t="str">
        <v/>
      </c>
    </row>
    <row r="6811" spans="6:6" x14ac:dyDescent="0.3">
      <c r="F6811" s="89" t="str">
        <v/>
      </c>
    </row>
    <row r="6812" spans="6:6" x14ac:dyDescent="0.3">
      <c r="F6812" s="89" t="str">
        <v/>
      </c>
    </row>
    <row r="6813" spans="6:6" x14ac:dyDescent="0.3">
      <c r="F6813" s="89" t="str">
        <v/>
      </c>
    </row>
    <row r="6814" spans="6:6" x14ac:dyDescent="0.3">
      <c r="F6814" s="89" t="str">
        <v/>
      </c>
    </row>
    <row r="6815" spans="6:6" x14ac:dyDescent="0.3">
      <c r="F6815" s="89" t="str">
        <v/>
      </c>
    </row>
    <row r="6816" spans="6:6" x14ac:dyDescent="0.3">
      <c r="F6816" s="89" t="str">
        <v/>
      </c>
    </row>
    <row r="6817" spans="6:6" x14ac:dyDescent="0.3">
      <c r="F6817" s="89" t="str">
        <v/>
      </c>
    </row>
    <row r="6818" spans="6:6" x14ac:dyDescent="0.3">
      <c r="F6818" s="89" t="str">
        <v/>
      </c>
    </row>
    <row r="6819" spans="6:6" x14ac:dyDescent="0.3">
      <c r="F6819" s="89" t="str">
        <v/>
      </c>
    </row>
    <row r="6820" spans="6:6" x14ac:dyDescent="0.3">
      <c r="F6820" s="89" t="str">
        <v/>
      </c>
    </row>
    <row r="6821" spans="6:6" x14ac:dyDescent="0.3">
      <c r="F6821" s="89" t="str">
        <v/>
      </c>
    </row>
    <row r="6822" spans="6:6" x14ac:dyDescent="0.3">
      <c r="F6822" s="89" t="str">
        <v/>
      </c>
    </row>
    <row r="6823" spans="6:6" x14ac:dyDescent="0.3">
      <c r="F6823" s="89" t="str">
        <v/>
      </c>
    </row>
    <row r="6824" spans="6:6" x14ac:dyDescent="0.3">
      <c r="F6824" s="89" t="str">
        <v/>
      </c>
    </row>
    <row r="6825" spans="6:6" x14ac:dyDescent="0.3">
      <c r="F6825" s="89" t="str">
        <v/>
      </c>
    </row>
    <row r="6826" spans="6:6" x14ac:dyDescent="0.3">
      <c r="F6826" s="89" t="str">
        <v/>
      </c>
    </row>
    <row r="6827" spans="6:6" x14ac:dyDescent="0.3">
      <c r="F6827" s="89" t="str">
        <v/>
      </c>
    </row>
    <row r="6828" spans="6:6" x14ac:dyDescent="0.3">
      <c r="F6828" s="89" t="str">
        <v/>
      </c>
    </row>
    <row r="6829" spans="6:6" x14ac:dyDescent="0.3">
      <c r="F6829" s="89" t="str">
        <v/>
      </c>
    </row>
    <row r="6830" spans="6:6" x14ac:dyDescent="0.3">
      <c r="F6830" s="89" t="str">
        <v/>
      </c>
    </row>
    <row r="6831" spans="6:6" x14ac:dyDescent="0.3">
      <c r="F6831" s="89" t="str">
        <v/>
      </c>
    </row>
    <row r="6832" spans="6:6" x14ac:dyDescent="0.3">
      <c r="F6832" s="89" t="str">
        <v/>
      </c>
    </row>
    <row r="6833" spans="6:6" x14ac:dyDescent="0.3">
      <c r="F6833" s="89" t="str">
        <v/>
      </c>
    </row>
    <row r="6834" spans="6:6" x14ac:dyDescent="0.3">
      <c r="F6834" s="89" t="str">
        <v/>
      </c>
    </row>
    <row r="6835" spans="6:6" x14ac:dyDescent="0.3">
      <c r="F6835" s="89" t="str">
        <v/>
      </c>
    </row>
    <row r="6836" spans="6:6" x14ac:dyDescent="0.3">
      <c r="F6836" s="89" t="str">
        <v/>
      </c>
    </row>
    <row r="6837" spans="6:6" x14ac:dyDescent="0.3">
      <c r="F6837" s="89" t="str">
        <v/>
      </c>
    </row>
    <row r="6838" spans="6:6" x14ac:dyDescent="0.3">
      <c r="F6838" s="89" t="str">
        <v/>
      </c>
    </row>
    <row r="6839" spans="6:6" x14ac:dyDescent="0.3">
      <c r="F6839" s="89" t="str">
        <v/>
      </c>
    </row>
    <row r="6840" spans="6:6" x14ac:dyDescent="0.3">
      <c r="F6840" s="89" t="str">
        <v/>
      </c>
    </row>
    <row r="6841" spans="6:6" x14ac:dyDescent="0.3">
      <c r="F6841" s="89" t="str">
        <v/>
      </c>
    </row>
    <row r="6842" spans="6:6" x14ac:dyDescent="0.3">
      <c r="F6842" s="89" t="str">
        <v/>
      </c>
    </row>
    <row r="6843" spans="6:6" x14ac:dyDescent="0.3">
      <c r="F6843" s="89" t="str">
        <v/>
      </c>
    </row>
    <row r="6844" spans="6:6" x14ac:dyDescent="0.3">
      <c r="F6844" s="89" t="str">
        <v/>
      </c>
    </row>
    <row r="6845" spans="6:6" x14ac:dyDescent="0.3">
      <c r="F6845" s="89" t="str">
        <v/>
      </c>
    </row>
    <row r="6846" spans="6:6" x14ac:dyDescent="0.3">
      <c r="F6846" s="89" t="str">
        <v/>
      </c>
    </row>
    <row r="6847" spans="6:6" x14ac:dyDescent="0.3">
      <c r="F6847" s="89" t="str">
        <v/>
      </c>
    </row>
    <row r="6848" spans="6:6" x14ac:dyDescent="0.3">
      <c r="F6848" s="89" t="str">
        <v/>
      </c>
    </row>
    <row r="6849" spans="6:6" x14ac:dyDescent="0.3">
      <c r="F6849" s="89" t="str">
        <v/>
      </c>
    </row>
    <row r="6850" spans="6:6" x14ac:dyDescent="0.3">
      <c r="F6850" s="89" t="str">
        <v/>
      </c>
    </row>
    <row r="6851" spans="6:6" x14ac:dyDescent="0.3">
      <c r="F6851" s="89" t="str">
        <v/>
      </c>
    </row>
    <row r="6852" spans="6:6" x14ac:dyDescent="0.3">
      <c r="F6852" s="89" t="str">
        <v/>
      </c>
    </row>
    <row r="6853" spans="6:6" x14ac:dyDescent="0.3">
      <c r="F6853" s="89" t="str">
        <v/>
      </c>
    </row>
    <row r="6854" spans="6:6" x14ac:dyDescent="0.3">
      <c r="F6854" s="89" t="str">
        <v/>
      </c>
    </row>
    <row r="6855" spans="6:6" x14ac:dyDescent="0.3">
      <c r="F6855" s="89" t="str">
        <v/>
      </c>
    </row>
    <row r="6856" spans="6:6" x14ac:dyDescent="0.3">
      <c r="F6856" s="89" t="str">
        <v/>
      </c>
    </row>
    <row r="6857" spans="6:6" x14ac:dyDescent="0.3">
      <c r="F6857" s="89" t="str">
        <v/>
      </c>
    </row>
    <row r="6858" spans="6:6" x14ac:dyDescent="0.3">
      <c r="F6858" s="89" t="str">
        <v/>
      </c>
    </row>
    <row r="6859" spans="6:6" x14ac:dyDescent="0.3">
      <c r="F6859" s="89" t="str">
        <v/>
      </c>
    </row>
    <row r="6860" spans="6:6" x14ac:dyDescent="0.3">
      <c r="F6860" s="89" t="str">
        <v/>
      </c>
    </row>
    <row r="6861" spans="6:6" x14ac:dyDescent="0.3">
      <c r="F6861" s="89" t="str">
        <v/>
      </c>
    </row>
    <row r="6862" spans="6:6" x14ac:dyDescent="0.3">
      <c r="F6862" s="89" t="str">
        <v/>
      </c>
    </row>
    <row r="6863" spans="6:6" x14ac:dyDescent="0.3">
      <c r="F6863" s="89" t="str">
        <v/>
      </c>
    </row>
    <row r="6864" spans="6:6" x14ac:dyDescent="0.3">
      <c r="F6864" s="89" t="str">
        <v/>
      </c>
    </row>
    <row r="6865" spans="6:6" x14ac:dyDescent="0.3">
      <c r="F6865" s="89" t="str">
        <v/>
      </c>
    </row>
    <row r="6866" spans="6:6" x14ac:dyDescent="0.3">
      <c r="F6866" s="89" t="str">
        <v/>
      </c>
    </row>
    <row r="6867" spans="6:6" x14ac:dyDescent="0.3">
      <c r="F6867" s="89" t="str">
        <v/>
      </c>
    </row>
    <row r="6868" spans="6:6" x14ac:dyDescent="0.3">
      <c r="F6868" s="89" t="str">
        <v/>
      </c>
    </row>
    <row r="6869" spans="6:6" x14ac:dyDescent="0.3">
      <c r="F6869" s="89" t="str">
        <v/>
      </c>
    </row>
    <row r="6870" spans="6:6" x14ac:dyDescent="0.3">
      <c r="F6870" s="89" t="str">
        <v/>
      </c>
    </row>
    <row r="6871" spans="6:6" x14ac:dyDescent="0.3">
      <c r="F6871" s="89" t="str">
        <v/>
      </c>
    </row>
    <row r="6872" spans="6:6" x14ac:dyDescent="0.3">
      <c r="F6872" s="89" t="str">
        <v/>
      </c>
    </row>
    <row r="6873" spans="6:6" x14ac:dyDescent="0.3">
      <c r="F6873" s="89" t="str">
        <v/>
      </c>
    </row>
    <row r="6874" spans="6:6" x14ac:dyDescent="0.3">
      <c r="F6874" s="89" t="str">
        <v/>
      </c>
    </row>
    <row r="6875" spans="6:6" x14ac:dyDescent="0.3">
      <c r="F6875" s="89" t="str">
        <v/>
      </c>
    </row>
    <row r="6876" spans="6:6" x14ac:dyDescent="0.3">
      <c r="F6876" s="89" t="str">
        <v/>
      </c>
    </row>
    <row r="6877" spans="6:6" x14ac:dyDescent="0.3">
      <c r="F6877" s="89" t="str">
        <v/>
      </c>
    </row>
    <row r="6878" spans="6:6" x14ac:dyDescent="0.3">
      <c r="F6878" s="89" t="str">
        <v/>
      </c>
    </row>
    <row r="6879" spans="6:6" x14ac:dyDescent="0.3">
      <c r="F6879" s="89" t="str">
        <v/>
      </c>
    </row>
    <row r="6880" spans="6:6" x14ac:dyDescent="0.3">
      <c r="F6880" s="89" t="str">
        <v/>
      </c>
    </row>
    <row r="6881" spans="6:6" x14ac:dyDescent="0.3">
      <c r="F6881" s="89" t="str">
        <v/>
      </c>
    </row>
    <row r="6882" spans="6:6" x14ac:dyDescent="0.3">
      <c r="F6882" s="89" t="str">
        <v/>
      </c>
    </row>
    <row r="6883" spans="6:6" x14ac:dyDescent="0.3">
      <c r="F6883" s="89" t="str">
        <v/>
      </c>
    </row>
    <row r="6884" spans="6:6" x14ac:dyDescent="0.3">
      <c r="F6884" s="89" t="str">
        <v/>
      </c>
    </row>
    <row r="6885" spans="6:6" x14ac:dyDescent="0.3">
      <c r="F6885" s="89" t="str">
        <v/>
      </c>
    </row>
    <row r="6886" spans="6:6" x14ac:dyDescent="0.3">
      <c r="F6886" s="89" t="str">
        <v/>
      </c>
    </row>
    <row r="6887" spans="6:6" x14ac:dyDescent="0.3">
      <c r="F6887" s="89" t="str">
        <v/>
      </c>
    </row>
    <row r="6888" spans="6:6" x14ac:dyDescent="0.3">
      <c r="F6888" s="89" t="str">
        <v/>
      </c>
    </row>
    <row r="6889" spans="6:6" x14ac:dyDescent="0.3">
      <c r="F6889" s="89" t="str">
        <v/>
      </c>
    </row>
    <row r="6890" spans="6:6" x14ac:dyDescent="0.3">
      <c r="F6890" s="89" t="str">
        <v/>
      </c>
    </row>
    <row r="6891" spans="6:6" x14ac:dyDescent="0.3">
      <c r="F6891" s="89" t="str">
        <v/>
      </c>
    </row>
    <row r="6892" spans="6:6" x14ac:dyDescent="0.3">
      <c r="F6892" s="89" t="str">
        <v/>
      </c>
    </row>
    <row r="6893" spans="6:6" x14ac:dyDescent="0.3">
      <c r="F6893" s="89" t="str">
        <v/>
      </c>
    </row>
    <row r="6894" spans="6:6" x14ac:dyDescent="0.3">
      <c r="F6894" s="89" t="str">
        <v/>
      </c>
    </row>
    <row r="6895" spans="6:6" x14ac:dyDescent="0.3">
      <c r="F6895" s="89" t="str">
        <v/>
      </c>
    </row>
    <row r="6896" spans="6:6" x14ac:dyDescent="0.3">
      <c r="F6896" s="89" t="str">
        <v/>
      </c>
    </row>
    <row r="6897" spans="6:6" x14ac:dyDescent="0.3">
      <c r="F6897" s="89" t="str">
        <v/>
      </c>
    </row>
    <row r="6898" spans="6:6" x14ac:dyDescent="0.3">
      <c r="F6898" s="89" t="str">
        <v/>
      </c>
    </row>
    <row r="6899" spans="6:6" x14ac:dyDescent="0.3">
      <c r="F6899" s="89" t="str">
        <v/>
      </c>
    </row>
    <row r="6900" spans="6:6" x14ac:dyDescent="0.3">
      <c r="F6900" s="89" t="str">
        <v/>
      </c>
    </row>
    <row r="6901" spans="6:6" x14ac:dyDescent="0.3">
      <c r="F6901" s="89" t="str">
        <v/>
      </c>
    </row>
    <row r="6902" spans="6:6" x14ac:dyDescent="0.3">
      <c r="F6902" s="89" t="str">
        <v/>
      </c>
    </row>
    <row r="6903" spans="6:6" x14ac:dyDescent="0.3">
      <c r="F6903" s="89" t="str">
        <v/>
      </c>
    </row>
    <row r="6904" spans="6:6" x14ac:dyDescent="0.3">
      <c r="F6904" s="89" t="str">
        <v/>
      </c>
    </row>
    <row r="6905" spans="6:6" x14ac:dyDescent="0.3">
      <c r="F6905" s="89" t="str">
        <v/>
      </c>
    </row>
    <row r="6906" spans="6:6" x14ac:dyDescent="0.3">
      <c r="F6906" s="89" t="str">
        <v/>
      </c>
    </row>
    <row r="6907" spans="6:6" x14ac:dyDescent="0.3">
      <c r="F6907" s="89" t="str">
        <v/>
      </c>
    </row>
    <row r="6908" spans="6:6" x14ac:dyDescent="0.3">
      <c r="F6908" s="89" t="str">
        <v/>
      </c>
    </row>
    <row r="6909" spans="6:6" x14ac:dyDescent="0.3">
      <c r="F6909" s="89" t="str">
        <v/>
      </c>
    </row>
    <row r="6910" spans="6:6" x14ac:dyDescent="0.3">
      <c r="F6910" s="89" t="str">
        <v/>
      </c>
    </row>
    <row r="6911" spans="6:6" x14ac:dyDescent="0.3">
      <c r="F6911" s="89" t="str">
        <v/>
      </c>
    </row>
    <row r="6912" spans="6:6" x14ac:dyDescent="0.3">
      <c r="F6912" s="89" t="str">
        <v/>
      </c>
    </row>
    <row r="6913" spans="6:6" x14ac:dyDescent="0.3">
      <c r="F6913" s="89" t="str">
        <v/>
      </c>
    </row>
    <row r="6914" spans="6:6" x14ac:dyDescent="0.3">
      <c r="F6914" s="89" t="str">
        <v/>
      </c>
    </row>
    <row r="6915" spans="6:6" x14ac:dyDescent="0.3">
      <c r="F6915" s="89" t="str">
        <v/>
      </c>
    </row>
    <row r="6916" spans="6:6" x14ac:dyDescent="0.3">
      <c r="F6916" s="89" t="str">
        <v/>
      </c>
    </row>
    <row r="6917" spans="6:6" x14ac:dyDescent="0.3">
      <c r="F6917" s="89" t="str">
        <v/>
      </c>
    </row>
    <row r="6918" spans="6:6" x14ac:dyDescent="0.3">
      <c r="F6918" s="89" t="str">
        <v/>
      </c>
    </row>
    <row r="6919" spans="6:6" x14ac:dyDescent="0.3">
      <c r="F6919" s="89" t="str">
        <v/>
      </c>
    </row>
    <row r="6920" spans="6:6" x14ac:dyDescent="0.3">
      <c r="F6920" s="89" t="str">
        <v/>
      </c>
    </row>
    <row r="6921" spans="6:6" x14ac:dyDescent="0.3">
      <c r="F6921" s="89" t="str">
        <v/>
      </c>
    </row>
    <row r="6922" spans="6:6" x14ac:dyDescent="0.3">
      <c r="F6922" s="89" t="str">
        <v/>
      </c>
    </row>
    <row r="6923" spans="6:6" x14ac:dyDescent="0.3">
      <c r="F6923" s="89" t="str">
        <v/>
      </c>
    </row>
    <row r="6924" spans="6:6" x14ac:dyDescent="0.3">
      <c r="F6924" s="89" t="str">
        <v/>
      </c>
    </row>
    <row r="6925" spans="6:6" x14ac:dyDescent="0.3">
      <c r="F6925" s="89" t="str">
        <v/>
      </c>
    </row>
    <row r="6926" spans="6:6" x14ac:dyDescent="0.3">
      <c r="F6926" s="89" t="str">
        <v/>
      </c>
    </row>
    <row r="6927" spans="6:6" x14ac:dyDescent="0.3">
      <c r="F6927" s="89" t="str">
        <v/>
      </c>
    </row>
    <row r="6928" spans="6:6" x14ac:dyDescent="0.3">
      <c r="F6928" s="89" t="str">
        <v/>
      </c>
    </row>
    <row r="6929" spans="6:6" x14ac:dyDescent="0.3">
      <c r="F6929" s="89" t="str">
        <v/>
      </c>
    </row>
    <row r="6930" spans="6:6" x14ac:dyDescent="0.3">
      <c r="F6930" s="89" t="str">
        <v/>
      </c>
    </row>
    <row r="6931" spans="6:6" x14ac:dyDescent="0.3">
      <c r="F6931" s="89" t="str">
        <v/>
      </c>
    </row>
    <row r="6932" spans="6:6" x14ac:dyDescent="0.3">
      <c r="F6932" s="89" t="str">
        <v/>
      </c>
    </row>
    <row r="6933" spans="6:6" x14ac:dyDescent="0.3">
      <c r="F6933" s="89" t="str">
        <v/>
      </c>
    </row>
    <row r="6934" spans="6:6" x14ac:dyDescent="0.3">
      <c r="F6934" s="89" t="str">
        <v/>
      </c>
    </row>
    <row r="6935" spans="6:6" x14ac:dyDescent="0.3">
      <c r="F6935" s="89" t="str">
        <v/>
      </c>
    </row>
    <row r="6936" spans="6:6" x14ac:dyDescent="0.3">
      <c r="F6936" s="89" t="str">
        <v/>
      </c>
    </row>
    <row r="6937" spans="6:6" x14ac:dyDescent="0.3">
      <c r="F6937" s="89" t="str">
        <v/>
      </c>
    </row>
    <row r="6938" spans="6:6" x14ac:dyDescent="0.3">
      <c r="F6938" s="89" t="str">
        <v/>
      </c>
    </row>
    <row r="6939" spans="6:6" x14ac:dyDescent="0.3">
      <c r="F6939" s="89" t="str">
        <v/>
      </c>
    </row>
    <row r="6940" spans="6:6" x14ac:dyDescent="0.3">
      <c r="F6940" s="89" t="str">
        <v/>
      </c>
    </row>
    <row r="6941" spans="6:6" x14ac:dyDescent="0.3">
      <c r="F6941" s="89" t="str">
        <v/>
      </c>
    </row>
    <row r="6942" spans="6:6" x14ac:dyDescent="0.3">
      <c r="F6942" s="89" t="str">
        <v/>
      </c>
    </row>
    <row r="6943" spans="6:6" x14ac:dyDescent="0.3">
      <c r="F6943" s="89" t="str">
        <v/>
      </c>
    </row>
    <row r="6944" spans="6:6" x14ac:dyDescent="0.3">
      <c r="F6944" s="89" t="str">
        <v/>
      </c>
    </row>
    <row r="6945" spans="6:6" x14ac:dyDescent="0.3">
      <c r="F6945" s="89" t="str">
        <v/>
      </c>
    </row>
    <row r="6946" spans="6:6" x14ac:dyDescent="0.3">
      <c r="F6946" s="89" t="str">
        <v/>
      </c>
    </row>
    <row r="6947" spans="6:6" x14ac:dyDescent="0.3">
      <c r="F6947" s="89" t="str">
        <v/>
      </c>
    </row>
    <row r="6948" spans="6:6" x14ac:dyDescent="0.3">
      <c r="F6948" s="89" t="str">
        <v/>
      </c>
    </row>
    <row r="6949" spans="6:6" x14ac:dyDescent="0.3">
      <c r="F6949" s="89" t="str">
        <v/>
      </c>
    </row>
    <row r="6950" spans="6:6" x14ac:dyDescent="0.3">
      <c r="F6950" s="89" t="str">
        <v/>
      </c>
    </row>
    <row r="6951" spans="6:6" x14ac:dyDescent="0.3">
      <c r="F6951" s="89" t="str">
        <v/>
      </c>
    </row>
    <row r="6952" spans="6:6" x14ac:dyDescent="0.3">
      <c r="F6952" s="89" t="str">
        <v/>
      </c>
    </row>
    <row r="6953" spans="6:6" x14ac:dyDescent="0.3">
      <c r="F6953" s="89" t="str">
        <v/>
      </c>
    </row>
    <row r="6954" spans="6:6" x14ac:dyDescent="0.3">
      <c r="F6954" s="89" t="str">
        <v/>
      </c>
    </row>
    <row r="6955" spans="6:6" x14ac:dyDescent="0.3">
      <c r="F6955" s="89" t="str">
        <v/>
      </c>
    </row>
    <row r="6956" spans="6:6" x14ac:dyDescent="0.3">
      <c r="F6956" s="89" t="str">
        <v/>
      </c>
    </row>
    <row r="6957" spans="6:6" x14ac:dyDescent="0.3">
      <c r="F6957" s="89" t="str">
        <v/>
      </c>
    </row>
    <row r="6958" spans="6:6" x14ac:dyDescent="0.3">
      <c r="F6958" s="89" t="str">
        <v/>
      </c>
    </row>
    <row r="6959" spans="6:6" x14ac:dyDescent="0.3">
      <c r="F6959" s="89" t="str">
        <v/>
      </c>
    </row>
    <row r="6960" spans="6:6" x14ac:dyDescent="0.3">
      <c r="F6960" s="89" t="str">
        <v/>
      </c>
    </row>
    <row r="6961" spans="6:6" x14ac:dyDescent="0.3">
      <c r="F6961" s="89" t="str">
        <v/>
      </c>
    </row>
    <row r="6962" spans="6:6" x14ac:dyDescent="0.3">
      <c r="F6962" s="89" t="str">
        <v/>
      </c>
    </row>
    <row r="6963" spans="6:6" x14ac:dyDescent="0.3">
      <c r="F6963" s="89" t="str">
        <v/>
      </c>
    </row>
    <row r="6964" spans="6:6" x14ac:dyDescent="0.3">
      <c r="F6964" s="89" t="str">
        <v/>
      </c>
    </row>
    <row r="6965" spans="6:6" x14ac:dyDescent="0.3">
      <c r="F6965" s="89" t="str">
        <v/>
      </c>
    </row>
    <row r="6966" spans="6:6" x14ac:dyDescent="0.3">
      <c r="F6966" s="89" t="str">
        <v/>
      </c>
    </row>
    <row r="6967" spans="6:6" x14ac:dyDescent="0.3">
      <c r="F6967" s="89" t="str">
        <v/>
      </c>
    </row>
    <row r="6968" spans="6:6" x14ac:dyDescent="0.3">
      <c r="F6968" s="89" t="str">
        <v/>
      </c>
    </row>
    <row r="6969" spans="6:6" x14ac:dyDescent="0.3">
      <c r="F6969" s="89" t="str">
        <v/>
      </c>
    </row>
    <row r="6970" spans="6:6" x14ac:dyDescent="0.3">
      <c r="F6970" s="89" t="str">
        <v/>
      </c>
    </row>
    <row r="6971" spans="6:6" x14ac:dyDescent="0.3">
      <c r="F6971" s="89" t="str">
        <v/>
      </c>
    </row>
    <row r="6972" spans="6:6" x14ac:dyDescent="0.3">
      <c r="F6972" s="89" t="str">
        <v/>
      </c>
    </row>
    <row r="6973" spans="6:6" x14ac:dyDescent="0.3">
      <c r="F6973" s="89" t="str">
        <v/>
      </c>
    </row>
    <row r="6974" spans="6:6" x14ac:dyDescent="0.3">
      <c r="F6974" s="89" t="str">
        <v/>
      </c>
    </row>
    <row r="6975" spans="6:6" x14ac:dyDescent="0.3">
      <c r="F6975" s="89" t="str">
        <v/>
      </c>
    </row>
    <row r="6976" spans="6:6" x14ac:dyDescent="0.3">
      <c r="F6976" s="89" t="str">
        <v/>
      </c>
    </row>
    <row r="6977" spans="6:6" x14ac:dyDescent="0.3">
      <c r="F6977" s="89" t="str">
        <v/>
      </c>
    </row>
    <row r="6978" spans="6:6" x14ac:dyDescent="0.3">
      <c r="F6978" s="89" t="str">
        <v/>
      </c>
    </row>
    <row r="6979" spans="6:6" x14ac:dyDescent="0.3">
      <c r="F6979" s="89" t="str">
        <v/>
      </c>
    </row>
    <row r="6980" spans="6:6" x14ac:dyDescent="0.3">
      <c r="F6980" s="89" t="str">
        <v/>
      </c>
    </row>
    <row r="6981" spans="6:6" x14ac:dyDescent="0.3">
      <c r="F6981" s="89" t="str">
        <v/>
      </c>
    </row>
    <row r="6982" spans="6:6" x14ac:dyDescent="0.3">
      <c r="F6982" s="89" t="str">
        <v/>
      </c>
    </row>
    <row r="6983" spans="6:6" x14ac:dyDescent="0.3">
      <c r="F6983" s="89" t="str">
        <v/>
      </c>
    </row>
    <row r="6984" spans="6:6" x14ac:dyDescent="0.3">
      <c r="F6984" s="89" t="str">
        <v/>
      </c>
    </row>
    <row r="6985" spans="6:6" x14ac:dyDescent="0.3">
      <c r="F6985" s="89" t="str">
        <v/>
      </c>
    </row>
    <row r="6986" spans="6:6" x14ac:dyDescent="0.3">
      <c r="F6986" s="89" t="str">
        <v/>
      </c>
    </row>
    <row r="6987" spans="6:6" x14ac:dyDescent="0.3">
      <c r="F6987" s="89" t="str">
        <v/>
      </c>
    </row>
    <row r="6988" spans="6:6" x14ac:dyDescent="0.3">
      <c r="F6988" s="89" t="str">
        <v/>
      </c>
    </row>
    <row r="6989" spans="6:6" x14ac:dyDescent="0.3">
      <c r="F6989" s="89" t="str">
        <v/>
      </c>
    </row>
    <row r="6990" spans="6:6" x14ac:dyDescent="0.3">
      <c r="F6990" s="89" t="str">
        <v/>
      </c>
    </row>
    <row r="6991" spans="6:6" x14ac:dyDescent="0.3">
      <c r="F6991" s="89" t="str">
        <v/>
      </c>
    </row>
    <row r="6992" spans="6:6" x14ac:dyDescent="0.3">
      <c r="F6992" s="89" t="str">
        <v/>
      </c>
    </row>
    <row r="6993" spans="6:6" x14ac:dyDescent="0.3">
      <c r="F6993" s="89" t="str">
        <v/>
      </c>
    </row>
    <row r="6994" spans="6:6" x14ac:dyDescent="0.3">
      <c r="F6994" s="89" t="str">
        <v/>
      </c>
    </row>
    <row r="6995" spans="6:6" x14ac:dyDescent="0.3">
      <c r="F6995" s="89" t="str">
        <v/>
      </c>
    </row>
    <row r="6996" spans="6:6" x14ac:dyDescent="0.3">
      <c r="F6996" s="89" t="str">
        <v/>
      </c>
    </row>
    <row r="6997" spans="6:6" x14ac:dyDescent="0.3">
      <c r="F6997" s="89" t="str">
        <v/>
      </c>
    </row>
    <row r="6998" spans="6:6" x14ac:dyDescent="0.3">
      <c r="F6998" s="89" t="str">
        <v/>
      </c>
    </row>
    <row r="6999" spans="6:6" x14ac:dyDescent="0.3">
      <c r="F6999" s="89" t="str">
        <v/>
      </c>
    </row>
    <row r="7000" spans="6:6" x14ac:dyDescent="0.3">
      <c r="F7000" s="89" t="str">
        <v/>
      </c>
    </row>
    <row r="7001" spans="6:6" x14ac:dyDescent="0.3">
      <c r="F7001" s="89" t="str">
        <v/>
      </c>
    </row>
    <row r="7002" spans="6:6" x14ac:dyDescent="0.3">
      <c r="F7002" s="89" t="str">
        <v/>
      </c>
    </row>
    <row r="7003" spans="6:6" x14ac:dyDescent="0.3">
      <c r="F7003" s="89" t="str">
        <v/>
      </c>
    </row>
    <row r="7004" spans="6:6" x14ac:dyDescent="0.3">
      <c r="F7004" s="89" t="str">
        <v/>
      </c>
    </row>
    <row r="7005" spans="6:6" x14ac:dyDescent="0.3">
      <c r="F7005" s="89" t="str">
        <v/>
      </c>
    </row>
    <row r="7006" spans="6:6" x14ac:dyDescent="0.3">
      <c r="F7006" s="89" t="str">
        <v/>
      </c>
    </row>
    <row r="7007" spans="6:6" x14ac:dyDescent="0.3">
      <c r="F7007" s="89" t="str">
        <v/>
      </c>
    </row>
    <row r="7008" spans="6:6" x14ac:dyDescent="0.3">
      <c r="F7008" s="89" t="str">
        <v/>
      </c>
    </row>
    <row r="7009" spans="6:6" x14ac:dyDescent="0.3">
      <c r="F7009" s="89" t="str">
        <v/>
      </c>
    </row>
    <row r="7010" spans="6:6" x14ac:dyDescent="0.3">
      <c r="F7010" s="89" t="str">
        <v/>
      </c>
    </row>
    <row r="7011" spans="6:6" x14ac:dyDescent="0.3">
      <c r="F7011" s="89" t="str">
        <v/>
      </c>
    </row>
    <row r="7012" spans="6:6" x14ac:dyDescent="0.3">
      <c r="F7012" s="89" t="str">
        <v/>
      </c>
    </row>
    <row r="7013" spans="6:6" x14ac:dyDescent="0.3">
      <c r="F7013" s="89" t="str">
        <v/>
      </c>
    </row>
    <row r="7014" spans="6:6" x14ac:dyDescent="0.3">
      <c r="F7014" s="89" t="str">
        <v/>
      </c>
    </row>
    <row r="7015" spans="6:6" x14ac:dyDescent="0.3">
      <c r="F7015" s="89" t="str">
        <v/>
      </c>
    </row>
    <row r="7016" spans="6:6" x14ac:dyDescent="0.3">
      <c r="F7016" s="89" t="str">
        <v/>
      </c>
    </row>
    <row r="7017" spans="6:6" x14ac:dyDescent="0.3">
      <c r="F7017" s="89" t="str">
        <v/>
      </c>
    </row>
    <row r="7018" spans="6:6" x14ac:dyDescent="0.3">
      <c r="F7018" s="89" t="str">
        <v/>
      </c>
    </row>
    <row r="7019" spans="6:6" x14ac:dyDescent="0.3">
      <c r="F7019" s="89" t="str">
        <v/>
      </c>
    </row>
    <row r="7020" spans="6:6" x14ac:dyDescent="0.3">
      <c r="F7020" s="89" t="str">
        <v/>
      </c>
    </row>
    <row r="7021" spans="6:6" x14ac:dyDescent="0.3">
      <c r="F7021" s="89" t="str">
        <v/>
      </c>
    </row>
    <row r="7022" spans="6:6" x14ac:dyDescent="0.3">
      <c r="F7022" s="89" t="str">
        <v/>
      </c>
    </row>
    <row r="7023" spans="6:6" x14ac:dyDescent="0.3">
      <c r="F7023" s="89" t="str">
        <v/>
      </c>
    </row>
    <row r="7024" spans="6:6" x14ac:dyDescent="0.3">
      <c r="F7024" s="89" t="str">
        <v/>
      </c>
    </row>
    <row r="7025" spans="6:6" x14ac:dyDescent="0.3">
      <c r="F7025" s="89" t="str">
        <v/>
      </c>
    </row>
    <row r="7026" spans="6:6" x14ac:dyDescent="0.3">
      <c r="F7026" s="89" t="str">
        <v/>
      </c>
    </row>
    <row r="7027" spans="6:6" x14ac:dyDescent="0.3">
      <c r="F7027" s="89" t="str">
        <v/>
      </c>
    </row>
    <row r="7028" spans="6:6" x14ac:dyDescent="0.3">
      <c r="F7028" s="89" t="str">
        <v/>
      </c>
    </row>
    <row r="7029" spans="6:6" x14ac:dyDescent="0.3">
      <c r="F7029" s="89" t="str">
        <v/>
      </c>
    </row>
    <row r="7030" spans="6:6" x14ac:dyDescent="0.3">
      <c r="F7030" s="89" t="str">
        <v/>
      </c>
    </row>
    <row r="7031" spans="6:6" x14ac:dyDescent="0.3">
      <c r="F7031" s="89" t="str">
        <v/>
      </c>
    </row>
    <row r="7032" spans="6:6" x14ac:dyDescent="0.3">
      <c r="F7032" s="89" t="str">
        <v/>
      </c>
    </row>
    <row r="7033" spans="6:6" x14ac:dyDescent="0.3">
      <c r="F7033" s="89" t="str">
        <v/>
      </c>
    </row>
    <row r="7034" spans="6:6" x14ac:dyDescent="0.3">
      <c r="F7034" s="89" t="str">
        <v/>
      </c>
    </row>
    <row r="7035" spans="6:6" x14ac:dyDescent="0.3">
      <c r="F7035" s="89" t="str">
        <v/>
      </c>
    </row>
    <row r="7036" spans="6:6" x14ac:dyDescent="0.3">
      <c r="F7036" s="89" t="str">
        <v/>
      </c>
    </row>
    <row r="7037" spans="6:6" x14ac:dyDescent="0.3">
      <c r="F7037" s="89" t="str">
        <v/>
      </c>
    </row>
    <row r="7038" spans="6:6" x14ac:dyDescent="0.3">
      <c r="F7038" s="89" t="str">
        <v/>
      </c>
    </row>
    <row r="7039" spans="6:6" x14ac:dyDescent="0.3">
      <c r="F7039" s="89" t="str">
        <v/>
      </c>
    </row>
    <row r="7040" spans="6:6" x14ac:dyDescent="0.3">
      <c r="F7040" s="89" t="str">
        <v/>
      </c>
    </row>
    <row r="7041" spans="6:6" x14ac:dyDescent="0.3">
      <c r="F7041" s="89" t="str">
        <v/>
      </c>
    </row>
    <row r="7042" spans="6:6" x14ac:dyDescent="0.3">
      <c r="F7042" s="89" t="str">
        <v/>
      </c>
    </row>
    <row r="7043" spans="6:6" x14ac:dyDescent="0.3">
      <c r="F7043" s="89" t="str">
        <v/>
      </c>
    </row>
    <row r="7044" spans="6:6" x14ac:dyDescent="0.3">
      <c r="F7044" s="89" t="str">
        <v/>
      </c>
    </row>
    <row r="7045" spans="6:6" x14ac:dyDescent="0.3">
      <c r="F7045" s="89" t="str">
        <v/>
      </c>
    </row>
    <row r="7046" spans="6:6" x14ac:dyDescent="0.3">
      <c r="F7046" s="89" t="str">
        <v/>
      </c>
    </row>
    <row r="7047" spans="6:6" x14ac:dyDescent="0.3">
      <c r="F7047" s="89" t="str">
        <v/>
      </c>
    </row>
    <row r="7048" spans="6:6" x14ac:dyDescent="0.3">
      <c r="F7048" s="89" t="str">
        <v/>
      </c>
    </row>
    <row r="7049" spans="6:6" x14ac:dyDescent="0.3">
      <c r="F7049" s="89" t="str">
        <v/>
      </c>
    </row>
    <row r="7050" spans="6:6" x14ac:dyDescent="0.3">
      <c r="F7050" s="89" t="str">
        <v/>
      </c>
    </row>
    <row r="7051" spans="6:6" x14ac:dyDescent="0.3">
      <c r="F7051" s="89" t="str">
        <v/>
      </c>
    </row>
    <row r="7052" spans="6:6" x14ac:dyDescent="0.3">
      <c r="F7052" s="89" t="str">
        <v/>
      </c>
    </row>
    <row r="7053" spans="6:6" x14ac:dyDescent="0.3">
      <c r="F7053" s="89" t="str">
        <v/>
      </c>
    </row>
    <row r="7054" spans="6:6" x14ac:dyDescent="0.3">
      <c r="F7054" s="89" t="str">
        <v/>
      </c>
    </row>
    <row r="7055" spans="6:6" x14ac:dyDescent="0.3">
      <c r="F7055" s="89" t="str">
        <v/>
      </c>
    </row>
    <row r="7056" spans="6:6" x14ac:dyDescent="0.3">
      <c r="F7056" s="89" t="str">
        <v/>
      </c>
    </row>
    <row r="7057" spans="6:6" x14ac:dyDescent="0.3">
      <c r="F7057" s="89" t="str">
        <v/>
      </c>
    </row>
    <row r="7058" spans="6:6" x14ac:dyDescent="0.3">
      <c r="F7058" s="89" t="str">
        <v/>
      </c>
    </row>
    <row r="7059" spans="6:6" x14ac:dyDescent="0.3">
      <c r="F7059" s="89" t="str">
        <v/>
      </c>
    </row>
    <row r="7060" spans="6:6" x14ac:dyDescent="0.3">
      <c r="F7060" s="89" t="str">
        <v/>
      </c>
    </row>
    <row r="7061" spans="6:6" x14ac:dyDescent="0.3">
      <c r="F7061" s="89" t="str">
        <v/>
      </c>
    </row>
    <row r="7062" spans="6:6" x14ac:dyDescent="0.3">
      <c r="F7062" s="89" t="str">
        <v/>
      </c>
    </row>
    <row r="7063" spans="6:6" x14ac:dyDescent="0.3">
      <c r="F7063" s="89" t="str">
        <v/>
      </c>
    </row>
    <row r="7064" spans="6:6" x14ac:dyDescent="0.3">
      <c r="F7064" s="89" t="str">
        <v/>
      </c>
    </row>
    <row r="7065" spans="6:6" x14ac:dyDescent="0.3">
      <c r="F7065" s="89" t="str">
        <v/>
      </c>
    </row>
    <row r="7066" spans="6:6" x14ac:dyDescent="0.3">
      <c r="F7066" s="89" t="str">
        <v/>
      </c>
    </row>
    <row r="7067" spans="6:6" x14ac:dyDescent="0.3">
      <c r="F7067" s="89" t="str">
        <v/>
      </c>
    </row>
    <row r="7068" spans="6:6" x14ac:dyDescent="0.3">
      <c r="F7068" s="89" t="str">
        <v/>
      </c>
    </row>
    <row r="7069" spans="6:6" x14ac:dyDescent="0.3">
      <c r="F7069" s="89" t="str">
        <v/>
      </c>
    </row>
    <row r="7070" spans="6:6" x14ac:dyDescent="0.3">
      <c r="F7070" s="89" t="str">
        <v/>
      </c>
    </row>
    <row r="7071" spans="6:6" x14ac:dyDescent="0.3">
      <c r="F7071" s="89" t="str">
        <v/>
      </c>
    </row>
    <row r="7072" spans="6:6" x14ac:dyDescent="0.3">
      <c r="F7072" s="89" t="str">
        <v/>
      </c>
    </row>
    <row r="7073" spans="6:6" x14ac:dyDescent="0.3">
      <c r="F7073" s="89" t="str">
        <v/>
      </c>
    </row>
    <row r="7074" spans="6:6" x14ac:dyDescent="0.3">
      <c r="F7074" s="89" t="str">
        <v/>
      </c>
    </row>
    <row r="7075" spans="6:6" x14ac:dyDescent="0.3">
      <c r="F7075" s="89" t="str">
        <v/>
      </c>
    </row>
    <row r="7076" spans="6:6" x14ac:dyDescent="0.3">
      <c r="F7076" s="89" t="str">
        <v/>
      </c>
    </row>
    <row r="7077" spans="6:6" x14ac:dyDescent="0.3">
      <c r="F7077" s="89" t="str">
        <v/>
      </c>
    </row>
    <row r="7078" spans="6:6" x14ac:dyDescent="0.3">
      <c r="F7078" s="89" t="str">
        <v/>
      </c>
    </row>
    <row r="7079" spans="6:6" x14ac:dyDescent="0.3">
      <c r="F7079" s="89" t="str">
        <v/>
      </c>
    </row>
    <row r="7080" spans="6:6" x14ac:dyDescent="0.3">
      <c r="F7080" s="89" t="str">
        <v/>
      </c>
    </row>
    <row r="7081" spans="6:6" x14ac:dyDescent="0.3">
      <c r="F7081" s="89" t="str">
        <v/>
      </c>
    </row>
    <row r="7082" spans="6:6" x14ac:dyDescent="0.3">
      <c r="F7082" s="89" t="str">
        <v/>
      </c>
    </row>
    <row r="7083" spans="6:6" x14ac:dyDescent="0.3">
      <c r="F7083" s="89" t="str">
        <v/>
      </c>
    </row>
    <row r="7084" spans="6:6" x14ac:dyDescent="0.3">
      <c r="F7084" s="89" t="str">
        <v/>
      </c>
    </row>
    <row r="7085" spans="6:6" x14ac:dyDescent="0.3">
      <c r="F7085" s="89" t="str">
        <v/>
      </c>
    </row>
    <row r="7086" spans="6:6" x14ac:dyDescent="0.3">
      <c r="F7086" s="89" t="str">
        <v/>
      </c>
    </row>
    <row r="7087" spans="6:6" x14ac:dyDescent="0.3">
      <c r="F7087" s="89" t="str">
        <v/>
      </c>
    </row>
    <row r="7088" spans="6:6" x14ac:dyDescent="0.3">
      <c r="F7088" s="89" t="str">
        <v/>
      </c>
    </row>
    <row r="7089" spans="6:6" x14ac:dyDescent="0.3">
      <c r="F7089" s="89" t="str">
        <v/>
      </c>
    </row>
    <row r="7090" spans="6:6" x14ac:dyDescent="0.3">
      <c r="F7090" s="89" t="str">
        <v/>
      </c>
    </row>
    <row r="7091" spans="6:6" x14ac:dyDescent="0.3">
      <c r="F7091" s="89" t="str">
        <v/>
      </c>
    </row>
    <row r="7092" spans="6:6" x14ac:dyDescent="0.3">
      <c r="F7092" s="89" t="str">
        <v/>
      </c>
    </row>
    <row r="7093" spans="6:6" x14ac:dyDescent="0.3">
      <c r="F7093" s="89" t="str">
        <v/>
      </c>
    </row>
    <row r="7094" spans="6:6" x14ac:dyDescent="0.3">
      <c r="F7094" s="89" t="str">
        <v/>
      </c>
    </row>
    <row r="7095" spans="6:6" x14ac:dyDescent="0.3">
      <c r="F7095" s="89" t="str">
        <v/>
      </c>
    </row>
    <row r="7096" spans="6:6" x14ac:dyDescent="0.3">
      <c r="F7096" s="89" t="str">
        <v/>
      </c>
    </row>
    <row r="7097" spans="6:6" x14ac:dyDescent="0.3">
      <c r="F7097" s="89" t="str">
        <v/>
      </c>
    </row>
    <row r="7098" spans="6:6" x14ac:dyDescent="0.3">
      <c r="F7098" s="89" t="str">
        <v/>
      </c>
    </row>
    <row r="7099" spans="6:6" x14ac:dyDescent="0.3">
      <c r="F7099" s="89" t="str">
        <v/>
      </c>
    </row>
    <row r="7100" spans="6:6" x14ac:dyDescent="0.3">
      <c r="F7100" s="89" t="str">
        <v/>
      </c>
    </row>
    <row r="7101" spans="6:6" x14ac:dyDescent="0.3">
      <c r="F7101" s="89" t="str">
        <v/>
      </c>
    </row>
    <row r="7102" spans="6:6" x14ac:dyDescent="0.3">
      <c r="F7102" s="89" t="str">
        <v/>
      </c>
    </row>
    <row r="7103" spans="6:6" x14ac:dyDescent="0.3">
      <c r="F7103" s="89" t="str">
        <v/>
      </c>
    </row>
    <row r="7104" spans="6:6" x14ac:dyDescent="0.3">
      <c r="F7104" s="89" t="str">
        <v/>
      </c>
    </row>
    <row r="7105" spans="6:6" x14ac:dyDescent="0.3">
      <c r="F7105" s="89" t="str">
        <v/>
      </c>
    </row>
    <row r="7106" spans="6:6" x14ac:dyDescent="0.3">
      <c r="F7106" s="89" t="str">
        <v/>
      </c>
    </row>
    <row r="7107" spans="6:6" x14ac:dyDescent="0.3">
      <c r="F7107" s="89" t="str">
        <v/>
      </c>
    </row>
    <row r="7108" spans="6:6" x14ac:dyDescent="0.3">
      <c r="F7108" s="89" t="str">
        <v/>
      </c>
    </row>
    <row r="7109" spans="6:6" x14ac:dyDescent="0.3">
      <c r="F7109" s="89" t="str">
        <v/>
      </c>
    </row>
    <row r="7110" spans="6:6" x14ac:dyDescent="0.3">
      <c r="F7110" s="89" t="str">
        <v/>
      </c>
    </row>
    <row r="7111" spans="6:6" x14ac:dyDescent="0.3">
      <c r="F7111" s="89" t="str">
        <v/>
      </c>
    </row>
    <row r="7112" spans="6:6" x14ac:dyDescent="0.3">
      <c r="F7112" s="89" t="str">
        <v/>
      </c>
    </row>
    <row r="7113" spans="6:6" x14ac:dyDescent="0.3">
      <c r="F7113" s="89" t="str">
        <v/>
      </c>
    </row>
    <row r="7114" spans="6:6" x14ac:dyDescent="0.3">
      <c r="F7114" s="89" t="str">
        <v/>
      </c>
    </row>
    <row r="7115" spans="6:6" x14ac:dyDescent="0.3">
      <c r="F7115" s="89" t="str">
        <v/>
      </c>
    </row>
    <row r="7116" spans="6:6" x14ac:dyDescent="0.3">
      <c r="F7116" s="89" t="str">
        <v/>
      </c>
    </row>
    <row r="7117" spans="6:6" x14ac:dyDescent="0.3">
      <c r="F7117" s="89" t="str">
        <v/>
      </c>
    </row>
    <row r="7118" spans="6:6" x14ac:dyDescent="0.3">
      <c r="F7118" s="89" t="str">
        <v/>
      </c>
    </row>
    <row r="7119" spans="6:6" x14ac:dyDescent="0.3">
      <c r="F7119" s="89" t="str">
        <v/>
      </c>
    </row>
    <row r="7120" spans="6:6" x14ac:dyDescent="0.3">
      <c r="F7120" s="89" t="str">
        <v/>
      </c>
    </row>
    <row r="7121" spans="6:6" x14ac:dyDescent="0.3">
      <c r="F7121" s="89" t="str">
        <v/>
      </c>
    </row>
    <row r="7122" spans="6:6" x14ac:dyDescent="0.3">
      <c r="F7122" s="89" t="str">
        <v/>
      </c>
    </row>
    <row r="7123" spans="6:6" x14ac:dyDescent="0.3">
      <c r="F7123" s="89" t="str">
        <v/>
      </c>
    </row>
    <row r="7124" spans="6:6" x14ac:dyDescent="0.3">
      <c r="F7124" s="89" t="str">
        <v/>
      </c>
    </row>
    <row r="7125" spans="6:6" x14ac:dyDescent="0.3">
      <c r="F7125" s="89" t="str">
        <v/>
      </c>
    </row>
    <row r="7126" spans="6:6" x14ac:dyDescent="0.3">
      <c r="F7126" s="89" t="str">
        <v/>
      </c>
    </row>
    <row r="7127" spans="6:6" x14ac:dyDescent="0.3">
      <c r="F7127" s="89" t="str">
        <v/>
      </c>
    </row>
    <row r="7128" spans="6:6" x14ac:dyDescent="0.3">
      <c r="F7128" s="89" t="str">
        <v/>
      </c>
    </row>
    <row r="7129" spans="6:6" x14ac:dyDescent="0.3">
      <c r="F7129" s="89" t="str">
        <v/>
      </c>
    </row>
    <row r="7130" spans="6:6" x14ac:dyDescent="0.3">
      <c r="F7130" s="89" t="str">
        <v/>
      </c>
    </row>
    <row r="7131" spans="6:6" x14ac:dyDescent="0.3">
      <c r="F7131" s="89" t="str">
        <v/>
      </c>
    </row>
    <row r="7132" spans="6:6" x14ac:dyDescent="0.3">
      <c r="F7132" s="89" t="str">
        <v/>
      </c>
    </row>
    <row r="7133" spans="6:6" x14ac:dyDescent="0.3">
      <c r="F7133" s="89" t="str">
        <v/>
      </c>
    </row>
    <row r="7134" spans="6:6" x14ac:dyDescent="0.3">
      <c r="F7134" s="89" t="str">
        <v/>
      </c>
    </row>
    <row r="7135" spans="6:6" x14ac:dyDescent="0.3">
      <c r="F7135" s="89" t="str">
        <v/>
      </c>
    </row>
    <row r="7136" spans="6:6" x14ac:dyDescent="0.3">
      <c r="F7136" s="89" t="str">
        <v/>
      </c>
    </row>
    <row r="7137" spans="6:6" x14ac:dyDescent="0.3">
      <c r="F7137" s="89" t="str">
        <v/>
      </c>
    </row>
    <row r="7138" spans="6:6" x14ac:dyDescent="0.3">
      <c r="F7138" s="89" t="str">
        <v/>
      </c>
    </row>
    <row r="7139" spans="6:6" x14ac:dyDescent="0.3">
      <c r="F7139" s="89" t="str">
        <v/>
      </c>
    </row>
    <row r="7140" spans="6:6" x14ac:dyDescent="0.3">
      <c r="F7140" s="89" t="str">
        <v/>
      </c>
    </row>
    <row r="7141" spans="6:6" x14ac:dyDescent="0.3">
      <c r="F7141" s="89" t="str">
        <v/>
      </c>
    </row>
    <row r="7142" spans="6:6" x14ac:dyDescent="0.3">
      <c r="F7142" s="89" t="str">
        <v/>
      </c>
    </row>
    <row r="7143" spans="6:6" x14ac:dyDescent="0.3">
      <c r="F7143" s="89" t="str">
        <v/>
      </c>
    </row>
    <row r="7144" spans="6:6" x14ac:dyDescent="0.3">
      <c r="F7144" s="89" t="str">
        <v/>
      </c>
    </row>
    <row r="7145" spans="6:6" x14ac:dyDescent="0.3">
      <c r="F7145" s="89" t="str">
        <v/>
      </c>
    </row>
    <row r="7146" spans="6:6" x14ac:dyDescent="0.3">
      <c r="F7146" s="89" t="str">
        <v/>
      </c>
    </row>
    <row r="7147" spans="6:6" x14ac:dyDescent="0.3">
      <c r="F7147" s="89" t="str">
        <v/>
      </c>
    </row>
    <row r="7148" spans="6:6" x14ac:dyDescent="0.3">
      <c r="F7148" s="89" t="str">
        <v/>
      </c>
    </row>
    <row r="7149" spans="6:6" x14ac:dyDescent="0.3">
      <c r="F7149" s="89" t="str">
        <v/>
      </c>
    </row>
    <row r="7150" spans="6:6" x14ac:dyDescent="0.3">
      <c r="F7150" s="89" t="str">
        <v/>
      </c>
    </row>
    <row r="7151" spans="6:6" x14ac:dyDescent="0.3">
      <c r="F7151" s="89" t="str">
        <v/>
      </c>
    </row>
    <row r="7152" spans="6:6" x14ac:dyDescent="0.3">
      <c r="F7152" s="89" t="str">
        <v/>
      </c>
    </row>
    <row r="7153" spans="6:6" x14ac:dyDescent="0.3">
      <c r="F7153" s="89" t="str">
        <v/>
      </c>
    </row>
    <row r="7154" spans="6:6" x14ac:dyDescent="0.3">
      <c r="F7154" s="89" t="str">
        <v/>
      </c>
    </row>
    <row r="7155" spans="6:6" x14ac:dyDescent="0.3">
      <c r="F7155" s="89" t="str">
        <v/>
      </c>
    </row>
    <row r="7156" spans="6:6" x14ac:dyDescent="0.3">
      <c r="F7156" s="89" t="str">
        <v/>
      </c>
    </row>
    <row r="7157" spans="6:6" x14ac:dyDescent="0.3">
      <c r="F7157" s="89" t="str">
        <v/>
      </c>
    </row>
    <row r="7158" spans="6:6" x14ac:dyDescent="0.3">
      <c r="F7158" s="89" t="str">
        <v/>
      </c>
    </row>
    <row r="7159" spans="6:6" x14ac:dyDescent="0.3">
      <c r="F7159" s="89" t="str">
        <v/>
      </c>
    </row>
    <row r="7160" spans="6:6" x14ac:dyDescent="0.3">
      <c r="F7160" s="89" t="str">
        <v/>
      </c>
    </row>
    <row r="7161" spans="6:6" x14ac:dyDescent="0.3">
      <c r="F7161" s="89" t="str">
        <v/>
      </c>
    </row>
    <row r="7162" spans="6:6" x14ac:dyDescent="0.3">
      <c r="F7162" s="89" t="str">
        <v/>
      </c>
    </row>
    <row r="7163" spans="6:6" x14ac:dyDescent="0.3">
      <c r="F7163" s="89" t="str">
        <v/>
      </c>
    </row>
    <row r="7164" spans="6:6" x14ac:dyDescent="0.3">
      <c r="F7164" s="89" t="str">
        <v/>
      </c>
    </row>
    <row r="7165" spans="6:6" x14ac:dyDescent="0.3">
      <c r="F7165" s="89" t="str">
        <v/>
      </c>
    </row>
    <row r="7166" spans="6:6" x14ac:dyDescent="0.3">
      <c r="F7166" s="89" t="str">
        <v/>
      </c>
    </row>
    <row r="7167" spans="6:6" x14ac:dyDescent="0.3">
      <c r="F7167" s="89" t="str">
        <v/>
      </c>
    </row>
    <row r="7168" spans="6:6" x14ac:dyDescent="0.3">
      <c r="F7168" s="89" t="str">
        <v/>
      </c>
    </row>
    <row r="7169" spans="6:6" x14ac:dyDescent="0.3">
      <c r="F7169" s="89" t="str">
        <v/>
      </c>
    </row>
    <row r="7170" spans="6:6" x14ac:dyDescent="0.3">
      <c r="F7170" s="89" t="str">
        <v/>
      </c>
    </row>
    <row r="7171" spans="6:6" x14ac:dyDescent="0.3">
      <c r="F7171" s="89" t="str">
        <v/>
      </c>
    </row>
    <row r="7172" spans="6:6" x14ac:dyDescent="0.3">
      <c r="F7172" s="89" t="str">
        <v/>
      </c>
    </row>
    <row r="7173" spans="6:6" x14ac:dyDescent="0.3">
      <c r="F7173" s="89" t="str">
        <v/>
      </c>
    </row>
    <row r="7174" spans="6:6" x14ac:dyDescent="0.3">
      <c r="F7174" s="89" t="str">
        <v/>
      </c>
    </row>
    <row r="7175" spans="6:6" x14ac:dyDescent="0.3">
      <c r="F7175" s="89" t="str">
        <v/>
      </c>
    </row>
    <row r="7176" spans="6:6" x14ac:dyDescent="0.3">
      <c r="F7176" s="89" t="str">
        <v/>
      </c>
    </row>
    <row r="7177" spans="6:6" x14ac:dyDescent="0.3">
      <c r="F7177" s="89" t="str">
        <v/>
      </c>
    </row>
    <row r="7178" spans="6:6" x14ac:dyDescent="0.3">
      <c r="F7178" s="89" t="str">
        <v/>
      </c>
    </row>
    <row r="7179" spans="6:6" x14ac:dyDescent="0.3">
      <c r="F7179" s="89" t="str">
        <v/>
      </c>
    </row>
    <row r="7180" spans="6:6" x14ac:dyDescent="0.3">
      <c r="F7180" s="89" t="str">
        <v/>
      </c>
    </row>
    <row r="7181" spans="6:6" x14ac:dyDescent="0.3">
      <c r="F7181" s="89" t="str">
        <v/>
      </c>
    </row>
    <row r="7182" spans="6:6" x14ac:dyDescent="0.3">
      <c r="F7182" s="89" t="str">
        <v/>
      </c>
    </row>
    <row r="7183" spans="6:6" x14ac:dyDescent="0.3">
      <c r="F7183" s="89" t="str">
        <v/>
      </c>
    </row>
    <row r="7184" spans="6:6" x14ac:dyDescent="0.3">
      <c r="F7184" s="89" t="str">
        <v/>
      </c>
    </row>
    <row r="7185" spans="6:6" x14ac:dyDescent="0.3">
      <c r="F7185" s="89" t="str">
        <v/>
      </c>
    </row>
    <row r="7186" spans="6:6" x14ac:dyDescent="0.3">
      <c r="F7186" s="89" t="str">
        <v/>
      </c>
    </row>
    <row r="7187" spans="6:6" x14ac:dyDescent="0.3">
      <c r="F7187" s="89" t="str">
        <v/>
      </c>
    </row>
    <row r="7188" spans="6:6" x14ac:dyDescent="0.3">
      <c r="F7188" s="89" t="str">
        <v/>
      </c>
    </row>
    <row r="7189" spans="6:6" x14ac:dyDescent="0.3">
      <c r="F7189" s="89" t="str">
        <v/>
      </c>
    </row>
    <row r="7190" spans="6:6" x14ac:dyDescent="0.3">
      <c r="F7190" s="89" t="str">
        <v/>
      </c>
    </row>
    <row r="7191" spans="6:6" x14ac:dyDescent="0.3">
      <c r="F7191" s="89" t="str">
        <v/>
      </c>
    </row>
    <row r="7192" spans="6:6" x14ac:dyDescent="0.3">
      <c r="F7192" s="89" t="str">
        <v/>
      </c>
    </row>
    <row r="7193" spans="6:6" x14ac:dyDescent="0.3">
      <c r="F7193" s="89" t="str">
        <v/>
      </c>
    </row>
    <row r="7194" spans="6:6" x14ac:dyDescent="0.3">
      <c r="F7194" s="89" t="str">
        <v/>
      </c>
    </row>
    <row r="7195" spans="6:6" x14ac:dyDescent="0.3">
      <c r="F7195" s="89" t="str">
        <v/>
      </c>
    </row>
    <row r="7196" spans="6:6" x14ac:dyDescent="0.3">
      <c r="F7196" s="89" t="str">
        <v/>
      </c>
    </row>
    <row r="7197" spans="6:6" x14ac:dyDescent="0.3">
      <c r="F7197" s="89" t="str">
        <v/>
      </c>
    </row>
    <row r="7198" spans="6:6" x14ac:dyDescent="0.3">
      <c r="F7198" s="89" t="str">
        <v/>
      </c>
    </row>
    <row r="7199" spans="6:6" x14ac:dyDescent="0.3">
      <c r="F7199" s="89" t="str">
        <v/>
      </c>
    </row>
    <row r="7200" spans="6:6" x14ac:dyDescent="0.3">
      <c r="F7200" s="89" t="str">
        <v/>
      </c>
    </row>
    <row r="7201" spans="6:6" x14ac:dyDescent="0.3">
      <c r="F7201" s="89" t="str">
        <v/>
      </c>
    </row>
    <row r="7202" spans="6:6" x14ac:dyDescent="0.3">
      <c r="F7202" s="89" t="str">
        <v/>
      </c>
    </row>
    <row r="7203" spans="6:6" x14ac:dyDescent="0.3">
      <c r="F7203" s="89" t="str">
        <v/>
      </c>
    </row>
    <row r="7204" spans="6:6" x14ac:dyDescent="0.3">
      <c r="F7204" s="89" t="str">
        <v/>
      </c>
    </row>
    <row r="7205" spans="6:6" x14ac:dyDescent="0.3">
      <c r="F7205" s="89" t="str">
        <v/>
      </c>
    </row>
    <row r="7206" spans="6:6" x14ac:dyDescent="0.3">
      <c r="F7206" s="89" t="str">
        <v/>
      </c>
    </row>
    <row r="7207" spans="6:6" x14ac:dyDescent="0.3">
      <c r="F7207" s="89" t="str">
        <v/>
      </c>
    </row>
    <row r="7208" spans="6:6" x14ac:dyDescent="0.3">
      <c r="F7208" s="89" t="str">
        <v/>
      </c>
    </row>
    <row r="7209" spans="6:6" x14ac:dyDescent="0.3">
      <c r="F7209" s="89" t="str">
        <v/>
      </c>
    </row>
    <row r="7210" spans="6:6" x14ac:dyDescent="0.3">
      <c r="F7210" s="89" t="str">
        <v/>
      </c>
    </row>
    <row r="7211" spans="6:6" x14ac:dyDescent="0.3">
      <c r="F7211" s="89" t="str">
        <v/>
      </c>
    </row>
    <row r="7212" spans="6:6" x14ac:dyDescent="0.3">
      <c r="F7212" s="89" t="str">
        <v/>
      </c>
    </row>
    <row r="7213" spans="6:6" x14ac:dyDescent="0.3">
      <c r="F7213" s="89" t="str">
        <v/>
      </c>
    </row>
    <row r="7214" spans="6:6" x14ac:dyDescent="0.3">
      <c r="F7214" s="89" t="str">
        <v/>
      </c>
    </row>
    <row r="7215" spans="6:6" x14ac:dyDescent="0.3">
      <c r="F7215" s="89" t="str">
        <v/>
      </c>
    </row>
    <row r="7216" spans="6:6" x14ac:dyDescent="0.3">
      <c r="F7216" s="89" t="str">
        <v/>
      </c>
    </row>
    <row r="7217" spans="6:6" x14ac:dyDescent="0.3">
      <c r="F7217" s="89" t="str">
        <v/>
      </c>
    </row>
    <row r="7218" spans="6:6" x14ac:dyDescent="0.3">
      <c r="F7218" s="89" t="str">
        <v/>
      </c>
    </row>
    <row r="7219" spans="6:6" x14ac:dyDescent="0.3">
      <c r="F7219" s="89" t="str">
        <v/>
      </c>
    </row>
    <row r="7220" spans="6:6" x14ac:dyDescent="0.3">
      <c r="F7220" s="89" t="str">
        <v/>
      </c>
    </row>
    <row r="7221" spans="6:6" x14ac:dyDescent="0.3">
      <c r="F7221" s="89" t="str">
        <v/>
      </c>
    </row>
    <row r="7222" spans="6:6" x14ac:dyDescent="0.3">
      <c r="F7222" s="89" t="str">
        <v/>
      </c>
    </row>
    <row r="7223" spans="6:6" x14ac:dyDescent="0.3">
      <c r="F7223" s="89" t="str">
        <v/>
      </c>
    </row>
    <row r="7224" spans="6:6" x14ac:dyDescent="0.3">
      <c r="F7224" s="89" t="str">
        <v/>
      </c>
    </row>
    <row r="7225" spans="6:6" x14ac:dyDescent="0.3">
      <c r="F7225" s="89" t="str">
        <v/>
      </c>
    </row>
    <row r="7226" spans="6:6" x14ac:dyDescent="0.3">
      <c r="F7226" s="89" t="str">
        <v/>
      </c>
    </row>
    <row r="7227" spans="6:6" x14ac:dyDescent="0.3">
      <c r="F7227" s="89" t="str">
        <v/>
      </c>
    </row>
    <row r="7228" spans="6:6" x14ac:dyDescent="0.3">
      <c r="F7228" s="89" t="str">
        <v/>
      </c>
    </row>
    <row r="7229" spans="6:6" x14ac:dyDescent="0.3">
      <c r="F7229" s="89" t="str">
        <v/>
      </c>
    </row>
    <row r="7230" spans="6:6" x14ac:dyDescent="0.3">
      <c r="F7230" s="89" t="str">
        <v/>
      </c>
    </row>
    <row r="7231" spans="6:6" x14ac:dyDescent="0.3">
      <c r="F7231" s="89" t="str">
        <v/>
      </c>
    </row>
    <row r="7232" spans="6:6" x14ac:dyDescent="0.3">
      <c r="F7232" s="89" t="str">
        <v/>
      </c>
    </row>
    <row r="7233" spans="6:6" x14ac:dyDescent="0.3">
      <c r="F7233" s="89" t="str">
        <v/>
      </c>
    </row>
    <row r="7234" spans="6:6" x14ac:dyDescent="0.3">
      <c r="F7234" s="89" t="str">
        <v/>
      </c>
    </row>
    <row r="7235" spans="6:6" x14ac:dyDescent="0.3">
      <c r="F7235" s="89" t="str">
        <v/>
      </c>
    </row>
    <row r="7236" spans="6:6" x14ac:dyDescent="0.3">
      <c r="F7236" s="89" t="str">
        <v/>
      </c>
    </row>
    <row r="7237" spans="6:6" x14ac:dyDescent="0.3">
      <c r="F7237" s="89" t="str">
        <v/>
      </c>
    </row>
    <row r="7238" spans="6:6" x14ac:dyDescent="0.3">
      <c r="F7238" s="89" t="str">
        <v/>
      </c>
    </row>
    <row r="7239" spans="6:6" x14ac:dyDescent="0.3">
      <c r="F7239" s="89" t="str">
        <v/>
      </c>
    </row>
    <row r="7240" spans="6:6" x14ac:dyDescent="0.3">
      <c r="F7240" s="89" t="str">
        <v/>
      </c>
    </row>
    <row r="7241" spans="6:6" x14ac:dyDescent="0.3">
      <c r="F7241" s="89" t="str">
        <v/>
      </c>
    </row>
    <row r="7242" spans="6:6" x14ac:dyDescent="0.3">
      <c r="F7242" s="89" t="str">
        <v/>
      </c>
    </row>
    <row r="7243" spans="6:6" x14ac:dyDescent="0.3">
      <c r="F7243" s="89" t="str">
        <v/>
      </c>
    </row>
    <row r="7244" spans="6:6" x14ac:dyDescent="0.3">
      <c r="F7244" s="89" t="str">
        <v/>
      </c>
    </row>
    <row r="7245" spans="6:6" x14ac:dyDescent="0.3">
      <c r="F7245" s="89" t="str">
        <v/>
      </c>
    </row>
    <row r="7246" spans="6:6" x14ac:dyDescent="0.3">
      <c r="F7246" s="89" t="str">
        <v/>
      </c>
    </row>
    <row r="7247" spans="6:6" x14ac:dyDescent="0.3">
      <c r="F7247" s="89" t="str">
        <v/>
      </c>
    </row>
    <row r="7248" spans="6:6" x14ac:dyDescent="0.3">
      <c r="F7248" s="89" t="str">
        <v/>
      </c>
    </row>
    <row r="7249" spans="6:6" x14ac:dyDescent="0.3">
      <c r="F7249" s="89" t="str">
        <v/>
      </c>
    </row>
    <row r="7250" spans="6:6" x14ac:dyDescent="0.3">
      <c r="F7250" s="89" t="str">
        <v/>
      </c>
    </row>
    <row r="7251" spans="6:6" x14ac:dyDescent="0.3">
      <c r="F7251" s="89" t="str">
        <v/>
      </c>
    </row>
    <row r="7252" spans="6:6" x14ac:dyDescent="0.3">
      <c r="F7252" s="89" t="str">
        <v/>
      </c>
    </row>
    <row r="7253" spans="6:6" x14ac:dyDescent="0.3">
      <c r="F7253" s="89" t="str">
        <v/>
      </c>
    </row>
    <row r="7254" spans="6:6" x14ac:dyDescent="0.3">
      <c r="F7254" s="89" t="str">
        <v/>
      </c>
    </row>
    <row r="7255" spans="6:6" x14ac:dyDescent="0.3">
      <c r="F7255" s="89" t="str">
        <v/>
      </c>
    </row>
    <row r="7256" spans="6:6" x14ac:dyDescent="0.3">
      <c r="F7256" s="89" t="str">
        <v/>
      </c>
    </row>
    <row r="7257" spans="6:6" x14ac:dyDescent="0.3">
      <c r="F7257" s="89" t="str">
        <v/>
      </c>
    </row>
    <row r="7258" spans="6:6" x14ac:dyDescent="0.3">
      <c r="F7258" s="89" t="str">
        <v/>
      </c>
    </row>
    <row r="7259" spans="6:6" x14ac:dyDescent="0.3">
      <c r="F7259" s="89" t="str">
        <v/>
      </c>
    </row>
    <row r="7260" spans="6:6" x14ac:dyDescent="0.3">
      <c r="F7260" s="89" t="str">
        <v/>
      </c>
    </row>
    <row r="7261" spans="6:6" x14ac:dyDescent="0.3">
      <c r="F7261" s="89" t="str">
        <v/>
      </c>
    </row>
    <row r="7262" spans="6:6" x14ac:dyDescent="0.3">
      <c r="F7262" s="89" t="str">
        <v/>
      </c>
    </row>
    <row r="7263" spans="6:6" x14ac:dyDescent="0.3">
      <c r="F7263" s="89" t="str">
        <v/>
      </c>
    </row>
    <row r="7264" spans="6:6" x14ac:dyDescent="0.3">
      <c r="F7264" s="89" t="str">
        <v/>
      </c>
    </row>
    <row r="7265" spans="6:6" x14ac:dyDescent="0.3">
      <c r="F7265" s="89" t="str">
        <v/>
      </c>
    </row>
    <row r="7266" spans="6:6" x14ac:dyDescent="0.3">
      <c r="F7266" s="89" t="str">
        <v/>
      </c>
    </row>
    <row r="7267" spans="6:6" x14ac:dyDescent="0.3">
      <c r="F7267" s="89" t="str">
        <v/>
      </c>
    </row>
    <row r="7268" spans="6:6" x14ac:dyDescent="0.3">
      <c r="F7268" s="89" t="str">
        <v/>
      </c>
    </row>
    <row r="7269" spans="6:6" x14ac:dyDescent="0.3">
      <c r="F7269" s="89" t="str">
        <v/>
      </c>
    </row>
    <row r="7270" spans="6:6" x14ac:dyDescent="0.3">
      <c r="F7270" s="89" t="str">
        <v/>
      </c>
    </row>
    <row r="7271" spans="6:6" x14ac:dyDescent="0.3">
      <c r="F7271" s="89" t="str">
        <v/>
      </c>
    </row>
    <row r="7272" spans="6:6" x14ac:dyDescent="0.3">
      <c r="F7272" s="89" t="str">
        <v/>
      </c>
    </row>
    <row r="7273" spans="6:6" x14ac:dyDescent="0.3">
      <c r="F7273" s="89" t="str">
        <v/>
      </c>
    </row>
    <row r="7274" spans="6:6" x14ac:dyDescent="0.3">
      <c r="F7274" s="89" t="str">
        <v/>
      </c>
    </row>
    <row r="7275" spans="6:6" x14ac:dyDescent="0.3">
      <c r="F7275" s="89" t="str">
        <v/>
      </c>
    </row>
    <row r="7276" spans="6:6" x14ac:dyDescent="0.3">
      <c r="F7276" s="89" t="str">
        <v/>
      </c>
    </row>
    <row r="7277" spans="6:6" x14ac:dyDescent="0.3">
      <c r="F7277" s="89" t="str">
        <v/>
      </c>
    </row>
    <row r="7278" spans="6:6" x14ac:dyDescent="0.3">
      <c r="F7278" s="89" t="str">
        <v/>
      </c>
    </row>
    <row r="7279" spans="6:6" x14ac:dyDescent="0.3">
      <c r="F7279" s="89" t="str">
        <v/>
      </c>
    </row>
    <row r="7280" spans="6:6" x14ac:dyDescent="0.3">
      <c r="F7280" s="89" t="str">
        <v/>
      </c>
    </row>
    <row r="7281" spans="6:6" x14ac:dyDescent="0.3">
      <c r="F7281" s="89" t="str">
        <v/>
      </c>
    </row>
    <row r="7282" spans="6:6" x14ac:dyDescent="0.3">
      <c r="F7282" s="89" t="str">
        <v/>
      </c>
    </row>
    <row r="7283" spans="6:6" x14ac:dyDescent="0.3">
      <c r="F7283" s="89" t="str">
        <v/>
      </c>
    </row>
    <row r="7284" spans="6:6" x14ac:dyDescent="0.3">
      <c r="F7284" s="89" t="str">
        <v/>
      </c>
    </row>
    <row r="7285" spans="6:6" x14ac:dyDescent="0.3">
      <c r="F7285" s="89" t="str">
        <v/>
      </c>
    </row>
    <row r="7286" spans="6:6" x14ac:dyDescent="0.3">
      <c r="F7286" s="89" t="str">
        <v/>
      </c>
    </row>
    <row r="7287" spans="6:6" x14ac:dyDescent="0.3">
      <c r="F7287" s="89" t="str">
        <v/>
      </c>
    </row>
    <row r="7288" spans="6:6" x14ac:dyDescent="0.3">
      <c r="F7288" s="89" t="str">
        <v/>
      </c>
    </row>
    <row r="7289" spans="6:6" x14ac:dyDescent="0.3">
      <c r="F7289" s="89" t="str">
        <v/>
      </c>
    </row>
    <row r="7290" spans="6:6" x14ac:dyDescent="0.3">
      <c r="F7290" s="89" t="str">
        <v/>
      </c>
    </row>
    <row r="7291" spans="6:6" x14ac:dyDescent="0.3">
      <c r="F7291" s="89" t="str">
        <v/>
      </c>
    </row>
    <row r="7292" spans="6:6" x14ac:dyDescent="0.3">
      <c r="F7292" s="89" t="str">
        <v/>
      </c>
    </row>
    <row r="7293" spans="6:6" x14ac:dyDescent="0.3">
      <c r="F7293" s="89" t="str">
        <v/>
      </c>
    </row>
    <row r="7294" spans="6:6" x14ac:dyDescent="0.3">
      <c r="F7294" s="89" t="str">
        <v/>
      </c>
    </row>
    <row r="7295" spans="6:6" x14ac:dyDescent="0.3">
      <c r="F7295" s="89" t="str">
        <v/>
      </c>
    </row>
    <row r="7296" spans="6:6" x14ac:dyDescent="0.3">
      <c r="F7296" s="89" t="str">
        <v/>
      </c>
    </row>
    <row r="7297" spans="6:6" x14ac:dyDescent="0.3">
      <c r="F7297" s="89" t="str">
        <v/>
      </c>
    </row>
    <row r="7298" spans="6:6" x14ac:dyDescent="0.3">
      <c r="F7298" s="89" t="str">
        <v/>
      </c>
    </row>
    <row r="7299" spans="6:6" x14ac:dyDescent="0.3">
      <c r="F7299" s="89" t="str">
        <v/>
      </c>
    </row>
    <row r="7300" spans="6:6" x14ac:dyDescent="0.3">
      <c r="F7300" s="89" t="str">
        <v/>
      </c>
    </row>
    <row r="7301" spans="6:6" x14ac:dyDescent="0.3">
      <c r="F7301" s="89" t="str">
        <v/>
      </c>
    </row>
    <row r="7302" spans="6:6" x14ac:dyDescent="0.3">
      <c r="F7302" s="89" t="str">
        <v/>
      </c>
    </row>
    <row r="7303" spans="6:6" x14ac:dyDescent="0.3">
      <c r="F7303" s="89" t="str">
        <v/>
      </c>
    </row>
    <row r="7304" spans="6:6" x14ac:dyDescent="0.3">
      <c r="F7304" s="89" t="str">
        <v/>
      </c>
    </row>
    <row r="7305" spans="6:6" x14ac:dyDescent="0.3">
      <c r="F7305" s="89" t="str">
        <v/>
      </c>
    </row>
    <row r="7306" spans="6:6" x14ac:dyDescent="0.3">
      <c r="F7306" s="89" t="str">
        <v/>
      </c>
    </row>
    <row r="7307" spans="6:6" x14ac:dyDescent="0.3">
      <c r="F7307" s="89" t="str">
        <v/>
      </c>
    </row>
    <row r="7308" spans="6:6" x14ac:dyDescent="0.3">
      <c r="F7308" s="89" t="str">
        <v/>
      </c>
    </row>
    <row r="7309" spans="6:6" x14ac:dyDescent="0.3">
      <c r="F7309" s="89" t="str">
        <v/>
      </c>
    </row>
    <row r="7310" spans="6:6" x14ac:dyDescent="0.3">
      <c r="F7310" s="89" t="str">
        <v/>
      </c>
    </row>
    <row r="7311" spans="6:6" x14ac:dyDescent="0.3">
      <c r="F7311" s="89" t="str">
        <v/>
      </c>
    </row>
    <row r="7312" spans="6:6" x14ac:dyDescent="0.3">
      <c r="F7312" s="89" t="str">
        <v/>
      </c>
    </row>
    <row r="7313" spans="6:6" x14ac:dyDescent="0.3">
      <c r="F7313" s="89" t="str">
        <v/>
      </c>
    </row>
    <row r="7314" spans="6:6" x14ac:dyDescent="0.3">
      <c r="F7314" s="89" t="str">
        <v/>
      </c>
    </row>
    <row r="7315" spans="6:6" x14ac:dyDescent="0.3">
      <c r="F7315" s="89" t="str">
        <v/>
      </c>
    </row>
    <row r="7316" spans="6:6" x14ac:dyDescent="0.3">
      <c r="F7316" s="89" t="str">
        <v/>
      </c>
    </row>
    <row r="7317" spans="6:6" x14ac:dyDescent="0.3">
      <c r="F7317" s="89" t="str">
        <v/>
      </c>
    </row>
    <row r="7318" spans="6:6" x14ac:dyDescent="0.3">
      <c r="F7318" s="89" t="str">
        <v/>
      </c>
    </row>
    <row r="7319" spans="6:6" x14ac:dyDescent="0.3">
      <c r="F7319" s="89" t="str">
        <v/>
      </c>
    </row>
    <row r="7320" spans="6:6" x14ac:dyDescent="0.3">
      <c r="F7320" s="89" t="str">
        <v/>
      </c>
    </row>
    <row r="7321" spans="6:6" x14ac:dyDescent="0.3">
      <c r="F7321" s="89" t="str">
        <v/>
      </c>
    </row>
    <row r="7322" spans="6:6" x14ac:dyDescent="0.3">
      <c r="F7322" s="89" t="str">
        <v/>
      </c>
    </row>
    <row r="7323" spans="6:6" x14ac:dyDescent="0.3">
      <c r="F7323" s="89" t="str">
        <v/>
      </c>
    </row>
    <row r="7324" spans="6:6" x14ac:dyDescent="0.3">
      <c r="F7324" s="89" t="str">
        <v/>
      </c>
    </row>
    <row r="7325" spans="6:6" x14ac:dyDescent="0.3">
      <c r="F7325" s="89" t="str">
        <v/>
      </c>
    </row>
    <row r="7326" spans="6:6" x14ac:dyDescent="0.3">
      <c r="F7326" s="89" t="str">
        <v/>
      </c>
    </row>
    <row r="7327" spans="6:6" x14ac:dyDescent="0.3">
      <c r="F7327" s="89" t="str">
        <v/>
      </c>
    </row>
    <row r="7328" spans="6:6" x14ac:dyDescent="0.3">
      <c r="F7328" s="89" t="str">
        <v/>
      </c>
    </row>
    <row r="7329" spans="6:6" x14ac:dyDescent="0.3">
      <c r="F7329" s="89" t="str">
        <v/>
      </c>
    </row>
    <row r="7330" spans="6:6" x14ac:dyDescent="0.3">
      <c r="F7330" s="89" t="str">
        <v/>
      </c>
    </row>
    <row r="7331" spans="6:6" x14ac:dyDescent="0.3">
      <c r="F7331" s="89" t="str">
        <v/>
      </c>
    </row>
    <row r="7332" spans="6:6" x14ac:dyDescent="0.3">
      <c r="F7332" s="89" t="str">
        <v/>
      </c>
    </row>
    <row r="7333" spans="6:6" x14ac:dyDescent="0.3">
      <c r="F7333" s="89" t="str">
        <v/>
      </c>
    </row>
    <row r="7334" spans="6:6" x14ac:dyDescent="0.3">
      <c r="F7334" s="89" t="str">
        <v/>
      </c>
    </row>
    <row r="7335" spans="6:6" x14ac:dyDescent="0.3">
      <c r="F7335" s="89" t="str">
        <v/>
      </c>
    </row>
    <row r="7336" spans="6:6" x14ac:dyDescent="0.3">
      <c r="F7336" s="89" t="str">
        <v/>
      </c>
    </row>
    <row r="7337" spans="6:6" x14ac:dyDescent="0.3">
      <c r="F7337" s="89" t="str">
        <v/>
      </c>
    </row>
    <row r="7338" spans="6:6" x14ac:dyDescent="0.3">
      <c r="F7338" s="89" t="str">
        <v/>
      </c>
    </row>
    <row r="7339" spans="6:6" x14ac:dyDescent="0.3">
      <c r="F7339" s="89" t="str">
        <v/>
      </c>
    </row>
    <row r="7340" spans="6:6" x14ac:dyDescent="0.3">
      <c r="F7340" s="89" t="str">
        <v/>
      </c>
    </row>
    <row r="7341" spans="6:6" x14ac:dyDescent="0.3">
      <c r="F7341" s="89" t="str">
        <v/>
      </c>
    </row>
    <row r="7342" spans="6:6" x14ac:dyDescent="0.3">
      <c r="F7342" s="89" t="str">
        <v/>
      </c>
    </row>
    <row r="7343" spans="6:6" x14ac:dyDescent="0.3">
      <c r="F7343" s="89" t="str">
        <v/>
      </c>
    </row>
    <row r="7344" spans="6:6" x14ac:dyDescent="0.3">
      <c r="F7344" s="89" t="str">
        <v/>
      </c>
    </row>
    <row r="7345" spans="6:6" x14ac:dyDescent="0.3">
      <c r="F7345" s="89" t="str">
        <v/>
      </c>
    </row>
    <row r="7346" spans="6:6" x14ac:dyDescent="0.3">
      <c r="F7346" s="89" t="str">
        <v/>
      </c>
    </row>
    <row r="7347" spans="6:6" x14ac:dyDescent="0.3">
      <c r="F7347" s="89" t="str">
        <v/>
      </c>
    </row>
    <row r="7348" spans="6:6" x14ac:dyDescent="0.3">
      <c r="F7348" s="89" t="str">
        <v/>
      </c>
    </row>
    <row r="7349" spans="6:6" x14ac:dyDescent="0.3">
      <c r="F7349" s="89" t="str">
        <v/>
      </c>
    </row>
    <row r="7350" spans="6:6" x14ac:dyDescent="0.3">
      <c r="F7350" s="89" t="str">
        <v/>
      </c>
    </row>
    <row r="7351" spans="6:6" x14ac:dyDescent="0.3">
      <c r="F7351" s="89" t="str">
        <v/>
      </c>
    </row>
    <row r="7352" spans="6:6" x14ac:dyDescent="0.3">
      <c r="F7352" s="89" t="str">
        <v/>
      </c>
    </row>
    <row r="7353" spans="6:6" x14ac:dyDescent="0.3">
      <c r="F7353" s="89" t="str">
        <v/>
      </c>
    </row>
    <row r="7354" spans="6:6" x14ac:dyDescent="0.3">
      <c r="F7354" s="89" t="str">
        <v/>
      </c>
    </row>
    <row r="7355" spans="6:6" x14ac:dyDescent="0.3">
      <c r="F7355" s="89" t="str">
        <v/>
      </c>
    </row>
    <row r="7356" spans="6:6" x14ac:dyDescent="0.3">
      <c r="F7356" s="89" t="str">
        <v/>
      </c>
    </row>
    <row r="7357" spans="6:6" x14ac:dyDescent="0.3">
      <c r="F7357" s="89" t="str">
        <v/>
      </c>
    </row>
    <row r="7358" spans="6:6" x14ac:dyDescent="0.3">
      <c r="F7358" s="89" t="str">
        <v/>
      </c>
    </row>
    <row r="7359" spans="6:6" x14ac:dyDescent="0.3">
      <c r="F7359" s="89" t="str">
        <v/>
      </c>
    </row>
    <row r="7360" spans="6:6" x14ac:dyDescent="0.3">
      <c r="F7360" s="89" t="str">
        <v/>
      </c>
    </row>
    <row r="7361" spans="6:6" x14ac:dyDescent="0.3">
      <c r="F7361" s="89" t="str">
        <v/>
      </c>
    </row>
    <row r="7362" spans="6:6" x14ac:dyDescent="0.3">
      <c r="F7362" s="89" t="str">
        <v/>
      </c>
    </row>
    <row r="7363" spans="6:6" x14ac:dyDescent="0.3">
      <c r="F7363" s="89" t="str">
        <v/>
      </c>
    </row>
    <row r="7364" spans="6:6" x14ac:dyDescent="0.3">
      <c r="F7364" s="89" t="str">
        <v/>
      </c>
    </row>
    <row r="7365" spans="6:6" x14ac:dyDescent="0.3">
      <c r="F7365" s="89" t="str">
        <v/>
      </c>
    </row>
    <row r="7366" spans="6:6" x14ac:dyDescent="0.3">
      <c r="F7366" s="89" t="str">
        <v/>
      </c>
    </row>
    <row r="7367" spans="6:6" x14ac:dyDescent="0.3">
      <c r="F7367" s="89" t="str">
        <v/>
      </c>
    </row>
    <row r="7368" spans="6:6" x14ac:dyDescent="0.3">
      <c r="F7368" s="89" t="str">
        <v/>
      </c>
    </row>
    <row r="7369" spans="6:6" x14ac:dyDescent="0.3">
      <c r="F7369" s="89" t="str">
        <v/>
      </c>
    </row>
    <row r="7370" spans="6:6" x14ac:dyDescent="0.3">
      <c r="F7370" s="89" t="str">
        <v/>
      </c>
    </row>
    <row r="7371" spans="6:6" x14ac:dyDescent="0.3">
      <c r="F7371" s="89" t="str">
        <v/>
      </c>
    </row>
    <row r="7372" spans="6:6" x14ac:dyDescent="0.3">
      <c r="F7372" s="89" t="str">
        <v/>
      </c>
    </row>
    <row r="7373" spans="6:6" x14ac:dyDescent="0.3">
      <c r="F7373" s="89" t="str">
        <v/>
      </c>
    </row>
    <row r="7374" spans="6:6" x14ac:dyDescent="0.3">
      <c r="F7374" s="89" t="str">
        <v/>
      </c>
    </row>
    <row r="7375" spans="6:6" x14ac:dyDescent="0.3">
      <c r="F7375" s="89" t="str">
        <v/>
      </c>
    </row>
    <row r="7376" spans="6:6" x14ac:dyDescent="0.3">
      <c r="F7376" s="89" t="str">
        <v/>
      </c>
    </row>
    <row r="7377" spans="6:6" x14ac:dyDescent="0.3">
      <c r="F7377" s="89" t="str">
        <v/>
      </c>
    </row>
    <row r="7378" spans="6:6" x14ac:dyDescent="0.3">
      <c r="F7378" s="89" t="str">
        <v/>
      </c>
    </row>
    <row r="7379" spans="6:6" x14ac:dyDescent="0.3">
      <c r="F7379" s="89" t="str">
        <v/>
      </c>
    </row>
    <row r="7380" spans="6:6" x14ac:dyDescent="0.3">
      <c r="F7380" s="89" t="str">
        <v/>
      </c>
    </row>
    <row r="7381" spans="6:6" x14ac:dyDescent="0.3">
      <c r="F7381" s="89" t="str">
        <v/>
      </c>
    </row>
    <row r="7382" spans="6:6" x14ac:dyDescent="0.3">
      <c r="F7382" s="89" t="str">
        <v/>
      </c>
    </row>
    <row r="7383" spans="6:6" x14ac:dyDescent="0.3">
      <c r="F7383" s="89" t="str">
        <v/>
      </c>
    </row>
    <row r="7384" spans="6:6" x14ac:dyDescent="0.3">
      <c r="F7384" s="89" t="str">
        <v/>
      </c>
    </row>
    <row r="7385" spans="6:6" x14ac:dyDescent="0.3">
      <c r="F7385" s="89" t="str">
        <v/>
      </c>
    </row>
    <row r="7386" spans="6:6" x14ac:dyDescent="0.3">
      <c r="F7386" s="89" t="str">
        <v/>
      </c>
    </row>
    <row r="7387" spans="6:6" x14ac:dyDescent="0.3">
      <c r="F7387" s="89" t="str">
        <v/>
      </c>
    </row>
    <row r="7388" spans="6:6" x14ac:dyDescent="0.3">
      <c r="F7388" s="89" t="str">
        <v/>
      </c>
    </row>
    <row r="7389" spans="6:6" x14ac:dyDescent="0.3">
      <c r="F7389" s="89" t="str">
        <v/>
      </c>
    </row>
    <row r="7390" spans="6:6" x14ac:dyDescent="0.3">
      <c r="F7390" s="89" t="str">
        <v/>
      </c>
    </row>
    <row r="7391" spans="6:6" x14ac:dyDescent="0.3">
      <c r="F7391" s="89" t="str">
        <v/>
      </c>
    </row>
    <row r="7392" spans="6:6" x14ac:dyDescent="0.3">
      <c r="F7392" s="89" t="str">
        <v/>
      </c>
    </row>
    <row r="7393" spans="6:6" x14ac:dyDescent="0.3">
      <c r="F7393" s="89" t="str">
        <v/>
      </c>
    </row>
    <row r="7394" spans="6:6" x14ac:dyDescent="0.3">
      <c r="F7394" s="89" t="str">
        <v/>
      </c>
    </row>
    <row r="7395" spans="6:6" x14ac:dyDescent="0.3">
      <c r="F7395" s="89" t="str">
        <v/>
      </c>
    </row>
    <row r="7396" spans="6:6" x14ac:dyDescent="0.3">
      <c r="F7396" s="89" t="str">
        <v/>
      </c>
    </row>
    <row r="7397" spans="6:6" x14ac:dyDescent="0.3">
      <c r="F7397" s="89" t="str">
        <v/>
      </c>
    </row>
    <row r="7398" spans="6:6" x14ac:dyDescent="0.3">
      <c r="F7398" s="89" t="str">
        <v/>
      </c>
    </row>
    <row r="7399" spans="6:6" x14ac:dyDescent="0.3">
      <c r="F7399" s="89" t="str">
        <v/>
      </c>
    </row>
    <row r="7400" spans="6:6" x14ac:dyDescent="0.3">
      <c r="F7400" s="89" t="str">
        <v/>
      </c>
    </row>
    <row r="7401" spans="6:6" x14ac:dyDescent="0.3">
      <c r="F7401" s="89" t="str">
        <v/>
      </c>
    </row>
    <row r="7402" spans="6:6" x14ac:dyDescent="0.3">
      <c r="F7402" s="89" t="str">
        <v/>
      </c>
    </row>
    <row r="7403" spans="6:6" x14ac:dyDescent="0.3">
      <c r="F7403" s="89" t="str">
        <v/>
      </c>
    </row>
    <row r="7404" spans="6:6" x14ac:dyDescent="0.3">
      <c r="F7404" s="89" t="str">
        <v/>
      </c>
    </row>
    <row r="7405" spans="6:6" x14ac:dyDescent="0.3">
      <c r="F7405" s="89" t="str">
        <v/>
      </c>
    </row>
    <row r="7406" spans="6:6" x14ac:dyDescent="0.3">
      <c r="F7406" s="89" t="str">
        <v/>
      </c>
    </row>
    <row r="7407" spans="6:6" x14ac:dyDescent="0.3">
      <c r="F7407" s="89" t="str">
        <v/>
      </c>
    </row>
    <row r="7408" spans="6:6" x14ac:dyDescent="0.3">
      <c r="F7408" s="89" t="str">
        <v/>
      </c>
    </row>
    <row r="7409" spans="6:6" x14ac:dyDescent="0.3">
      <c r="F7409" s="89" t="str">
        <v/>
      </c>
    </row>
    <row r="7410" spans="6:6" x14ac:dyDescent="0.3">
      <c r="F7410" s="89" t="str">
        <v/>
      </c>
    </row>
    <row r="7411" spans="6:6" x14ac:dyDescent="0.3">
      <c r="F7411" s="89" t="str">
        <v/>
      </c>
    </row>
    <row r="7412" spans="6:6" x14ac:dyDescent="0.3">
      <c r="F7412" s="89" t="str">
        <v/>
      </c>
    </row>
    <row r="7413" spans="6:6" x14ac:dyDescent="0.3">
      <c r="F7413" s="89" t="str">
        <v/>
      </c>
    </row>
    <row r="7414" spans="6:6" x14ac:dyDescent="0.3">
      <c r="F7414" s="89" t="str">
        <v/>
      </c>
    </row>
    <row r="7415" spans="6:6" x14ac:dyDescent="0.3">
      <c r="F7415" s="89" t="str">
        <v/>
      </c>
    </row>
    <row r="7416" spans="6:6" x14ac:dyDescent="0.3">
      <c r="F7416" s="89" t="str">
        <v/>
      </c>
    </row>
    <row r="7417" spans="6:6" x14ac:dyDescent="0.3">
      <c r="F7417" s="89" t="str">
        <v/>
      </c>
    </row>
    <row r="7418" spans="6:6" x14ac:dyDescent="0.3">
      <c r="F7418" s="89" t="str">
        <v/>
      </c>
    </row>
    <row r="7419" spans="6:6" x14ac:dyDescent="0.3">
      <c r="F7419" s="89" t="str">
        <v/>
      </c>
    </row>
    <row r="7420" spans="6:6" x14ac:dyDescent="0.3">
      <c r="F7420" s="89" t="str">
        <v/>
      </c>
    </row>
    <row r="7421" spans="6:6" x14ac:dyDescent="0.3">
      <c r="F7421" s="89" t="str">
        <v/>
      </c>
    </row>
    <row r="7422" spans="6:6" x14ac:dyDescent="0.3">
      <c r="F7422" s="89" t="str">
        <v/>
      </c>
    </row>
    <row r="7423" spans="6:6" x14ac:dyDescent="0.3">
      <c r="F7423" s="89" t="str">
        <v/>
      </c>
    </row>
    <row r="7424" spans="6:6" x14ac:dyDescent="0.3">
      <c r="F7424" s="89" t="str">
        <v/>
      </c>
    </row>
    <row r="7425" spans="6:6" x14ac:dyDescent="0.3">
      <c r="F7425" s="89" t="str">
        <v/>
      </c>
    </row>
    <row r="7426" spans="6:6" x14ac:dyDescent="0.3">
      <c r="F7426" s="89" t="str">
        <v/>
      </c>
    </row>
    <row r="7427" spans="6:6" x14ac:dyDescent="0.3">
      <c r="F7427" s="89" t="str">
        <v/>
      </c>
    </row>
    <row r="7428" spans="6:6" x14ac:dyDescent="0.3">
      <c r="F7428" s="89" t="str">
        <v/>
      </c>
    </row>
    <row r="7429" spans="6:6" x14ac:dyDescent="0.3">
      <c r="F7429" s="89" t="str">
        <v/>
      </c>
    </row>
    <row r="7430" spans="6:6" x14ac:dyDescent="0.3">
      <c r="F7430" s="89" t="str">
        <v/>
      </c>
    </row>
    <row r="7431" spans="6:6" x14ac:dyDescent="0.3">
      <c r="F7431" s="89" t="str">
        <v/>
      </c>
    </row>
    <row r="7432" spans="6:6" x14ac:dyDescent="0.3">
      <c r="F7432" s="89" t="str">
        <v/>
      </c>
    </row>
    <row r="7433" spans="6:6" x14ac:dyDescent="0.3">
      <c r="F7433" s="89" t="str">
        <v/>
      </c>
    </row>
    <row r="7434" spans="6:6" x14ac:dyDescent="0.3">
      <c r="F7434" s="89" t="str">
        <v/>
      </c>
    </row>
    <row r="7435" spans="6:6" x14ac:dyDescent="0.3">
      <c r="F7435" s="89" t="str">
        <v/>
      </c>
    </row>
    <row r="7436" spans="6:6" x14ac:dyDescent="0.3">
      <c r="F7436" s="89" t="str">
        <v/>
      </c>
    </row>
    <row r="7437" spans="6:6" x14ac:dyDescent="0.3">
      <c r="F7437" s="89" t="str">
        <v/>
      </c>
    </row>
    <row r="7438" spans="6:6" x14ac:dyDescent="0.3">
      <c r="F7438" s="89" t="str">
        <v/>
      </c>
    </row>
    <row r="7439" spans="6:6" x14ac:dyDescent="0.3">
      <c r="F7439" s="89" t="str">
        <v/>
      </c>
    </row>
    <row r="7440" spans="6:6" x14ac:dyDescent="0.3">
      <c r="F7440" s="89" t="str">
        <v/>
      </c>
    </row>
    <row r="7441" spans="6:6" x14ac:dyDescent="0.3">
      <c r="F7441" s="89" t="str">
        <v/>
      </c>
    </row>
    <row r="7442" spans="6:6" x14ac:dyDescent="0.3">
      <c r="F7442" s="89" t="str">
        <v/>
      </c>
    </row>
    <row r="7443" spans="6:6" x14ac:dyDescent="0.3">
      <c r="F7443" s="89" t="str">
        <v/>
      </c>
    </row>
    <row r="7444" spans="6:6" x14ac:dyDescent="0.3">
      <c r="F7444" s="89" t="str">
        <v/>
      </c>
    </row>
    <row r="7445" spans="6:6" x14ac:dyDescent="0.3">
      <c r="F7445" s="89" t="str">
        <v/>
      </c>
    </row>
    <row r="7446" spans="6:6" x14ac:dyDescent="0.3">
      <c r="F7446" s="89" t="str">
        <v/>
      </c>
    </row>
    <row r="7447" spans="6:6" x14ac:dyDescent="0.3">
      <c r="F7447" s="89" t="str">
        <v/>
      </c>
    </row>
    <row r="7448" spans="6:6" x14ac:dyDescent="0.3">
      <c r="F7448" s="89" t="str">
        <v/>
      </c>
    </row>
    <row r="7449" spans="6:6" x14ac:dyDescent="0.3">
      <c r="F7449" s="89" t="str">
        <v/>
      </c>
    </row>
    <row r="7450" spans="6:6" x14ac:dyDescent="0.3">
      <c r="F7450" s="89" t="str">
        <v/>
      </c>
    </row>
    <row r="7451" spans="6:6" x14ac:dyDescent="0.3">
      <c r="F7451" s="89" t="str">
        <v/>
      </c>
    </row>
    <row r="7452" spans="6:6" x14ac:dyDescent="0.3">
      <c r="F7452" s="89" t="str">
        <v/>
      </c>
    </row>
    <row r="7453" spans="6:6" x14ac:dyDescent="0.3">
      <c r="F7453" s="89" t="str">
        <v/>
      </c>
    </row>
    <row r="7454" spans="6:6" x14ac:dyDescent="0.3">
      <c r="F7454" s="89" t="str">
        <v/>
      </c>
    </row>
    <row r="7455" spans="6:6" x14ac:dyDescent="0.3">
      <c r="F7455" s="89" t="str">
        <v/>
      </c>
    </row>
    <row r="7456" spans="6:6" x14ac:dyDescent="0.3">
      <c r="F7456" s="89" t="str">
        <v/>
      </c>
    </row>
    <row r="7457" spans="6:6" x14ac:dyDescent="0.3">
      <c r="F7457" s="89" t="str">
        <v/>
      </c>
    </row>
    <row r="7458" spans="6:6" x14ac:dyDescent="0.3">
      <c r="F7458" s="89" t="str">
        <v/>
      </c>
    </row>
    <row r="7459" spans="6:6" x14ac:dyDescent="0.3">
      <c r="F7459" s="89" t="str">
        <v/>
      </c>
    </row>
    <row r="7460" spans="6:6" x14ac:dyDescent="0.3">
      <c r="F7460" s="89" t="str">
        <v/>
      </c>
    </row>
    <row r="7461" spans="6:6" x14ac:dyDescent="0.3">
      <c r="F7461" s="89" t="str">
        <v/>
      </c>
    </row>
    <row r="7462" spans="6:6" x14ac:dyDescent="0.3">
      <c r="F7462" s="89" t="str">
        <v/>
      </c>
    </row>
    <row r="7463" spans="6:6" x14ac:dyDescent="0.3">
      <c r="F7463" s="89" t="str">
        <v/>
      </c>
    </row>
    <row r="7464" spans="6:6" x14ac:dyDescent="0.3">
      <c r="F7464" s="89" t="str">
        <v/>
      </c>
    </row>
    <row r="7465" spans="6:6" x14ac:dyDescent="0.3">
      <c r="F7465" s="89" t="str">
        <v/>
      </c>
    </row>
    <row r="7466" spans="6:6" x14ac:dyDescent="0.3">
      <c r="F7466" s="89" t="str">
        <v/>
      </c>
    </row>
    <row r="7467" spans="6:6" x14ac:dyDescent="0.3">
      <c r="F7467" s="89" t="str">
        <v/>
      </c>
    </row>
    <row r="7468" spans="6:6" x14ac:dyDescent="0.3">
      <c r="F7468" s="89" t="str">
        <v/>
      </c>
    </row>
    <row r="7469" spans="6:6" x14ac:dyDescent="0.3">
      <c r="F7469" s="89" t="str">
        <v/>
      </c>
    </row>
    <row r="7470" spans="6:6" x14ac:dyDescent="0.3">
      <c r="F7470" s="89" t="str">
        <v/>
      </c>
    </row>
    <row r="7471" spans="6:6" x14ac:dyDescent="0.3">
      <c r="F7471" s="89" t="str">
        <v/>
      </c>
    </row>
    <row r="7472" spans="6:6" x14ac:dyDescent="0.3">
      <c r="F7472" s="89" t="str">
        <v/>
      </c>
    </row>
    <row r="7473" spans="6:6" x14ac:dyDescent="0.3">
      <c r="F7473" s="89" t="str">
        <v/>
      </c>
    </row>
    <row r="7474" spans="6:6" x14ac:dyDescent="0.3">
      <c r="F7474" s="89" t="str">
        <v/>
      </c>
    </row>
    <row r="7475" spans="6:6" x14ac:dyDescent="0.3">
      <c r="F7475" s="89" t="str">
        <v/>
      </c>
    </row>
    <row r="7476" spans="6:6" x14ac:dyDescent="0.3">
      <c r="F7476" s="89" t="str">
        <v/>
      </c>
    </row>
    <row r="7477" spans="6:6" x14ac:dyDescent="0.3">
      <c r="F7477" s="89" t="str">
        <v/>
      </c>
    </row>
    <row r="7478" spans="6:6" x14ac:dyDescent="0.3">
      <c r="F7478" s="89" t="str">
        <v/>
      </c>
    </row>
    <row r="7479" spans="6:6" x14ac:dyDescent="0.3">
      <c r="F7479" s="89" t="str">
        <v/>
      </c>
    </row>
    <row r="7480" spans="6:6" x14ac:dyDescent="0.3">
      <c r="F7480" s="89" t="str">
        <v/>
      </c>
    </row>
    <row r="7481" spans="6:6" x14ac:dyDescent="0.3">
      <c r="F7481" s="89" t="str">
        <v/>
      </c>
    </row>
    <row r="7482" spans="6:6" x14ac:dyDescent="0.3">
      <c r="F7482" s="89" t="str">
        <v/>
      </c>
    </row>
    <row r="7483" spans="6:6" x14ac:dyDescent="0.3">
      <c r="F7483" s="89" t="str">
        <v/>
      </c>
    </row>
    <row r="7484" spans="6:6" x14ac:dyDescent="0.3">
      <c r="F7484" s="89" t="str">
        <v/>
      </c>
    </row>
    <row r="7485" spans="6:6" x14ac:dyDescent="0.3">
      <c r="F7485" s="89" t="str">
        <v/>
      </c>
    </row>
    <row r="7486" spans="6:6" x14ac:dyDescent="0.3">
      <c r="F7486" s="89" t="str">
        <v/>
      </c>
    </row>
    <row r="7487" spans="6:6" x14ac:dyDescent="0.3">
      <c r="F7487" s="89" t="str">
        <v/>
      </c>
    </row>
    <row r="7488" spans="6:6" x14ac:dyDescent="0.3">
      <c r="F7488" s="89" t="str">
        <v/>
      </c>
    </row>
    <row r="7489" spans="6:6" x14ac:dyDescent="0.3">
      <c r="F7489" s="89" t="str">
        <v/>
      </c>
    </row>
    <row r="7490" spans="6:6" x14ac:dyDescent="0.3">
      <c r="F7490" s="89" t="str">
        <v/>
      </c>
    </row>
    <row r="7491" spans="6:6" x14ac:dyDescent="0.3">
      <c r="F7491" s="89" t="str">
        <v/>
      </c>
    </row>
    <row r="7492" spans="6:6" x14ac:dyDescent="0.3">
      <c r="F7492" s="89" t="str">
        <v/>
      </c>
    </row>
    <row r="7493" spans="6:6" x14ac:dyDescent="0.3">
      <c r="F7493" s="89" t="str">
        <v/>
      </c>
    </row>
    <row r="7494" spans="6:6" x14ac:dyDescent="0.3">
      <c r="F7494" s="89" t="str">
        <v/>
      </c>
    </row>
    <row r="7495" spans="6:6" x14ac:dyDescent="0.3">
      <c r="F7495" s="89" t="str">
        <v/>
      </c>
    </row>
    <row r="7496" spans="6:6" x14ac:dyDescent="0.3">
      <c r="F7496" s="89" t="str">
        <v/>
      </c>
    </row>
    <row r="7497" spans="6:6" x14ac:dyDescent="0.3">
      <c r="F7497" s="89" t="str">
        <v/>
      </c>
    </row>
    <row r="7498" spans="6:6" x14ac:dyDescent="0.3">
      <c r="F7498" s="89" t="str">
        <v/>
      </c>
    </row>
    <row r="7499" spans="6:6" x14ac:dyDescent="0.3">
      <c r="F7499" s="89" t="str">
        <v/>
      </c>
    </row>
    <row r="7500" spans="6:6" x14ac:dyDescent="0.3">
      <c r="F7500" s="89" t="str">
        <v/>
      </c>
    </row>
    <row r="7501" spans="6:6" x14ac:dyDescent="0.3">
      <c r="F7501" s="89" t="str">
        <v/>
      </c>
    </row>
    <row r="7502" spans="6:6" x14ac:dyDescent="0.3">
      <c r="F7502" s="89" t="str">
        <v/>
      </c>
    </row>
    <row r="7503" spans="6:6" x14ac:dyDescent="0.3">
      <c r="F7503" s="89" t="str">
        <v/>
      </c>
    </row>
    <row r="7504" spans="6:6" x14ac:dyDescent="0.3">
      <c r="F7504" s="89" t="str">
        <v/>
      </c>
    </row>
    <row r="7505" spans="6:6" x14ac:dyDescent="0.3">
      <c r="F7505" s="89" t="str">
        <v/>
      </c>
    </row>
    <row r="7506" spans="6:6" x14ac:dyDescent="0.3">
      <c r="F7506" s="89" t="str">
        <v/>
      </c>
    </row>
    <row r="7507" spans="6:6" x14ac:dyDescent="0.3">
      <c r="F7507" s="89" t="str">
        <v/>
      </c>
    </row>
    <row r="7508" spans="6:6" x14ac:dyDescent="0.3">
      <c r="F7508" s="89" t="str">
        <v/>
      </c>
    </row>
    <row r="7509" spans="6:6" x14ac:dyDescent="0.3">
      <c r="F7509" s="89" t="str">
        <v/>
      </c>
    </row>
    <row r="7510" spans="6:6" x14ac:dyDescent="0.3">
      <c r="F7510" s="89" t="str">
        <v/>
      </c>
    </row>
    <row r="7511" spans="6:6" x14ac:dyDescent="0.3">
      <c r="F7511" s="89" t="str">
        <v/>
      </c>
    </row>
    <row r="7512" spans="6:6" x14ac:dyDescent="0.3">
      <c r="F7512" s="89" t="str">
        <v/>
      </c>
    </row>
    <row r="7513" spans="6:6" x14ac:dyDescent="0.3">
      <c r="F7513" s="89" t="str">
        <v/>
      </c>
    </row>
    <row r="7514" spans="6:6" x14ac:dyDescent="0.3">
      <c r="F7514" s="89" t="str">
        <v/>
      </c>
    </row>
    <row r="7515" spans="6:6" x14ac:dyDescent="0.3">
      <c r="F7515" s="89" t="str">
        <v/>
      </c>
    </row>
    <row r="7516" spans="6:6" x14ac:dyDescent="0.3">
      <c r="F7516" s="89" t="str">
        <v/>
      </c>
    </row>
    <row r="7517" spans="6:6" x14ac:dyDescent="0.3">
      <c r="F7517" s="89" t="str">
        <v/>
      </c>
    </row>
    <row r="7518" spans="6:6" x14ac:dyDescent="0.3">
      <c r="F7518" s="89" t="str">
        <v/>
      </c>
    </row>
    <row r="7519" spans="6:6" x14ac:dyDescent="0.3">
      <c r="F7519" s="89" t="str">
        <v/>
      </c>
    </row>
    <row r="7520" spans="6:6" x14ac:dyDescent="0.3">
      <c r="F7520" s="89" t="str">
        <v/>
      </c>
    </row>
    <row r="7521" spans="6:6" x14ac:dyDescent="0.3">
      <c r="F7521" s="89" t="str">
        <v/>
      </c>
    </row>
    <row r="7522" spans="6:6" x14ac:dyDescent="0.3">
      <c r="F7522" s="89" t="str">
        <v/>
      </c>
    </row>
    <row r="7523" spans="6:6" x14ac:dyDescent="0.3">
      <c r="F7523" s="89" t="str">
        <v/>
      </c>
    </row>
    <row r="7524" spans="6:6" x14ac:dyDescent="0.3">
      <c r="F7524" s="89" t="str">
        <v/>
      </c>
    </row>
    <row r="7525" spans="6:6" x14ac:dyDescent="0.3">
      <c r="F7525" s="89" t="str">
        <v/>
      </c>
    </row>
    <row r="7526" spans="6:6" x14ac:dyDescent="0.3">
      <c r="F7526" s="89" t="str">
        <v/>
      </c>
    </row>
    <row r="7527" spans="6:6" x14ac:dyDescent="0.3">
      <c r="F7527" s="89" t="str">
        <v/>
      </c>
    </row>
    <row r="7528" spans="6:6" x14ac:dyDescent="0.3">
      <c r="F7528" s="89" t="str">
        <v/>
      </c>
    </row>
    <row r="7529" spans="6:6" x14ac:dyDescent="0.3">
      <c r="F7529" s="89" t="str">
        <v/>
      </c>
    </row>
    <row r="7530" spans="6:6" x14ac:dyDescent="0.3">
      <c r="F7530" s="89" t="str">
        <v/>
      </c>
    </row>
    <row r="7531" spans="6:6" x14ac:dyDescent="0.3">
      <c r="F7531" s="89" t="str">
        <v/>
      </c>
    </row>
    <row r="7532" spans="6:6" x14ac:dyDescent="0.3">
      <c r="F7532" s="89" t="str">
        <v/>
      </c>
    </row>
    <row r="7533" spans="6:6" x14ac:dyDescent="0.3">
      <c r="F7533" s="89" t="str">
        <v/>
      </c>
    </row>
    <row r="7534" spans="6:6" x14ac:dyDescent="0.3">
      <c r="F7534" s="89" t="str">
        <v/>
      </c>
    </row>
    <row r="7535" spans="6:6" x14ac:dyDescent="0.3">
      <c r="F7535" s="89" t="str">
        <v/>
      </c>
    </row>
    <row r="7536" spans="6:6" x14ac:dyDescent="0.3">
      <c r="F7536" s="89" t="str">
        <v/>
      </c>
    </row>
    <row r="7537" spans="6:6" x14ac:dyDescent="0.3">
      <c r="F7537" s="89" t="str">
        <v/>
      </c>
    </row>
    <row r="7538" spans="6:6" x14ac:dyDescent="0.3">
      <c r="F7538" s="89" t="str">
        <v/>
      </c>
    </row>
    <row r="7539" spans="6:6" x14ac:dyDescent="0.3">
      <c r="F7539" s="89" t="str">
        <v/>
      </c>
    </row>
    <row r="7540" spans="6:6" x14ac:dyDescent="0.3">
      <c r="F7540" s="89" t="str">
        <v/>
      </c>
    </row>
    <row r="7541" spans="6:6" x14ac:dyDescent="0.3">
      <c r="F7541" s="89" t="str">
        <v/>
      </c>
    </row>
    <row r="7542" spans="6:6" x14ac:dyDescent="0.3">
      <c r="F7542" s="89" t="str">
        <v/>
      </c>
    </row>
    <row r="7543" spans="6:6" x14ac:dyDescent="0.3">
      <c r="F7543" s="89" t="str">
        <v/>
      </c>
    </row>
    <row r="7544" spans="6:6" x14ac:dyDescent="0.3">
      <c r="F7544" s="89" t="str">
        <v/>
      </c>
    </row>
    <row r="7545" spans="6:6" x14ac:dyDescent="0.3">
      <c r="F7545" s="89" t="str">
        <v/>
      </c>
    </row>
    <row r="7546" spans="6:6" x14ac:dyDescent="0.3">
      <c r="F7546" s="89" t="str">
        <v/>
      </c>
    </row>
    <row r="7547" spans="6:6" x14ac:dyDescent="0.3">
      <c r="F7547" s="89" t="str">
        <v/>
      </c>
    </row>
    <row r="7548" spans="6:6" x14ac:dyDescent="0.3">
      <c r="F7548" s="89" t="str">
        <v/>
      </c>
    </row>
    <row r="7549" spans="6:6" x14ac:dyDescent="0.3">
      <c r="F7549" s="89" t="str">
        <v/>
      </c>
    </row>
    <row r="7550" spans="6:6" x14ac:dyDescent="0.3">
      <c r="F7550" s="89" t="str">
        <v/>
      </c>
    </row>
    <row r="7551" spans="6:6" x14ac:dyDescent="0.3">
      <c r="F7551" s="89" t="str">
        <v/>
      </c>
    </row>
    <row r="7552" spans="6:6" x14ac:dyDescent="0.3">
      <c r="F7552" s="89" t="str">
        <v/>
      </c>
    </row>
    <row r="7553" spans="6:6" x14ac:dyDescent="0.3">
      <c r="F7553" s="89" t="str">
        <v/>
      </c>
    </row>
    <row r="7554" spans="6:6" x14ac:dyDescent="0.3">
      <c r="F7554" s="89" t="str">
        <v/>
      </c>
    </row>
    <row r="7555" spans="6:6" x14ac:dyDescent="0.3">
      <c r="F7555" s="89" t="str">
        <v/>
      </c>
    </row>
    <row r="7556" spans="6:6" x14ac:dyDescent="0.3">
      <c r="F7556" s="89" t="str">
        <v/>
      </c>
    </row>
    <row r="7557" spans="6:6" x14ac:dyDescent="0.3">
      <c r="F7557" s="89" t="str">
        <v/>
      </c>
    </row>
    <row r="7558" spans="6:6" x14ac:dyDescent="0.3">
      <c r="F7558" s="89" t="str">
        <v/>
      </c>
    </row>
    <row r="7559" spans="6:6" x14ac:dyDescent="0.3">
      <c r="F7559" s="89" t="str">
        <v/>
      </c>
    </row>
    <row r="7560" spans="6:6" x14ac:dyDescent="0.3">
      <c r="F7560" s="89" t="str">
        <v/>
      </c>
    </row>
    <row r="7561" spans="6:6" x14ac:dyDescent="0.3">
      <c r="F7561" s="89" t="str">
        <v/>
      </c>
    </row>
    <row r="7562" spans="6:6" x14ac:dyDescent="0.3">
      <c r="F7562" s="89" t="str">
        <v/>
      </c>
    </row>
    <row r="7563" spans="6:6" x14ac:dyDescent="0.3">
      <c r="F7563" s="89" t="str">
        <v/>
      </c>
    </row>
    <row r="7564" spans="6:6" x14ac:dyDescent="0.3">
      <c r="F7564" s="89" t="str">
        <v/>
      </c>
    </row>
    <row r="7565" spans="6:6" x14ac:dyDescent="0.3">
      <c r="F7565" s="89" t="str">
        <v/>
      </c>
    </row>
    <row r="7566" spans="6:6" x14ac:dyDescent="0.3">
      <c r="F7566" s="89" t="str">
        <v/>
      </c>
    </row>
    <row r="7567" spans="6:6" x14ac:dyDescent="0.3">
      <c r="F7567" s="89" t="str">
        <v/>
      </c>
    </row>
    <row r="7568" spans="6:6" x14ac:dyDescent="0.3">
      <c r="F7568" s="89" t="str">
        <v/>
      </c>
    </row>
    <row r="7569" spans="6:6" x14ac:dyDescent="0.3">
      <c r="F7569" s="89" t="str">
        <v/>
      </c>
    </row>
    <row r="7570" spans="6:6" x14ac:dyDescent="0.3">
      <c r="F7570" s="89" t="str">
        <v/>
      </c>
    </row>
    <row r="7571" spans="6:6" x14ac:dyDescent="0.3">
      <c r="F7571" s="89" t="str">
        <v/>
      </c>
    </row>
    <row r="7572" spans="6:6" x14ac:dyDescent="0.3">
      <c r="F7572" s="89" t="str">
        <v/>
      </c>
    </row>
    <row r="7573" spans="6:6" x14ac:dyDescent="0.3">
      <c r="F7573" s="89" t="str">
        <v/>
      </c>
    </row>
    <row r="7574" spans="6:6" x14ac:dyDescent="0.3">
      <c r="F7574" s="89" t="str">
        <v/>
      </c>
    </row>
    <row r="7575" spans="6:6" x14ac:dyDescent="0.3">
      <c r="F7575" s="89" t="str">
        <v/>
      </c>
    </row>
    <row r="7576" spans="6:6" x14ac:dyDescent="0.3">
      <c r="F7576" s="89" t="str">
        <v/>
      </c>
    </row>
    <row r="7577" spans="6:6" x14ac:dyDescent="0.3">
      <c r="F7577" s="89" t="str">
        <v/>
      </c>
    </row>
    <row r="7578" spans="6:6" x14ac:dyDescent="0.3">
      <c r="F7578" s="89" t="str">
        <v/>
      </c>
    </row>
    <row r="7579" spans="6:6" x14ac:dyDescent="0.3">
      <c r="F7579" s="89" t="str">
        <v/>
      </c>
    </row>
    <row r="7580" spans="6:6" x14ac:dyDescent="0.3">
      <c r="F7580" s="89" t="str">
        <v/>
      </c>
    </row>
    <row r="7581" spans="6:6" x14ac:dyDescent="0.3">
      <c r="F7581" s="89" t="str">
        <v/>
      </c>
    </row>
    <row r="7582" spans="6:6" x14ac:dyDescent="0.3">
      <c r="F7582" s="89" t="str">
        <v/>
      </c>
    </row>
    <row r="7583" spans="6:6" x14ac:dyDescent="0.3">
      <c r="F7583" s="89" t="str">
        <v/>
      </c>
    </row>
    <row r="7584" spans="6:6" x14ac:dyDescent="0.3">
      <c r="F7584" s="89" t="str">
        <v/>
      </c>
    </row>
    <row r="7585" spans="6:6" x14ac:dyDescent="0.3">
      <c r="F7585" s="89" t="str">
        <v/>
      </c>
    </row>
    <row r="7586" spans="6:6" x14ac:dyDescent="0.3">
      <c r="F7586" s="89" t="str">
        <v/>
      </c>
    </row>
    <row r="7587" spans="6:6" x14ac:dyDescent="0.3">
      <c r="F7587" s="89" t="str">
        <v/>
      </c>
    </row>
    <row r="7588" spans="6:6" x14ac:dyDescent="0.3">
      <c r="F7588" s="89" t="str">
        <v/>
      </c>
    </row>
    <row r="7589" spans="6:6" x14ac:dyDescent="0.3">
      <c r="F7589" s="89" t="str">
        <v/>
      </c>
    </row>
    <row r="7590" spans="6:6" x14ac:dyDescent="0.3">
      <c r="F7590" s="89" t="str">
        <v/>
      </c>
    </row>
    <row r="7591" spans="6:6" x14ac:dyDescent="0.3">
      <c r="F7591" s="89" t="str">
        <v/>
      </c>
    </row>
    <row r="7592" spans="6:6" x14ac:dyDescent="0.3">
      <c r="F7592" s="89" t="str">
        <v/>
      </c>
    </row>
    <row r="7593" spans="6:6" x14ac:dyDescent="0.3">
      <c r="F7593" s="89" t="str">
        <v/>
      </c>
    </row>
    <row r="7594" spans="6:6" x14ac:dyDescent="0.3">
      <c r="F7594" s="89" t="str">
        <v/>
      </c>
    </row>
    <row r="7595" spans="6:6" x14ac:dyDescent="0.3">
      <c r="F7595" s="89" t="str">
        <v/>
      </c>
    </row>
    <row r="7596" spans="6:6" x14ac:dyDescent="0.3">
      <c r="F7596" s="89" t="str">
        <v/>
      </c>
    </row>
    <row r="7597" spans="6:6" x14ac:dyDescent="0.3">
      <c r="F7597" s="89" t="str">
        <v/>
      </c>
    </row>
    <row r="7598" spans="6:6" x14ac:dyDescent="0.3">
      <c r="F7598" s="89" t="str">
        <v/>
      </c>
    </row>
    <row r="7599" spans="6:6" x14ac:dyDescent="0.3">
      <c r="F7599" s="89" t="str">
        <v/>
      </c>
    </row>
    <row r="7600" spans="6:6" x14ac:dyDescent="0.3">
      <c r="F7600" s="89" t="str">
        <v/>
      </c>
    </row>
    <row r="7601" spans="6:6" x14ac:dyDescent="0.3">
      <c r="F7601" s="89" t="str">
        <v/>
      </c>
    </row>
    <row r="7602" spans="6:6" x14ac:dyDescent="0.3">
      <c r="F7602" s="89" t="str">
        <v/>
      </c>
    </row>
    <row r="7603" spans="6:6" x14ac:dyDescent="0.3">
      <c r="F7603" s="89" t="str">
        <v/>
      </c>
    </row>
    <row r="7604" spans="6:6" x14ac:dyDescent="0.3">
      <c r="F7604" s="89" t="str">
        <v/>
      </c>
    </row>
    <row r="7605" spans="6:6" x14ac:dyDescent="0.3">
      <c r="F7605" s="89" t="str">
        <v/>
      </c>
    </row>
    <row r="7606" spans="6:6" x14ac:dyDescent="0.3">
      <c r="F7606" s="89" t="str">
        <v/>
      </c>
    </row>
    <row r="7607" spans="6:6" x14ac:dyDescent="0.3">
      <c r="F7607" s="89" t="str">
        <v/>
      </c>
    </row>
    <row r="7608" spans="6:6" x14ac:dyDescent="0.3">
      <c r="F7608" s="89" t="str">
        <v/>
      </c>
    </row>
    <row r="7609" spans="6:6" x14ac:dyDescent="0.3">
      <c r="F7609" s="89" t="str">
        <v/>
      </c>
    </row>
    <row r="7610" spans="6:6" x14ac:dyDescent="0.3">
      <c r="F7610" s="89" t="str">
        <v/>
      </c>
    </row>
    <row r="7611" spans="6:6" x14ac:dyDescent="0.3">
      <c r="F7611" s="89" t="str">
        <v/>
      </c>
    </row>
    <row r="7612" spans="6:6" x14ac:dyDescent="0.3">
      <c r="F7612" s="89" t="str">
        <v/>
      </c>
    </row>
    <row r="7613" spans="6:6" x14ac:dyDescent="0.3">
      <c r="F7613" s="89" t="str">
        <v/>
      </c>
    </row>
    <row r="7614" spans="6:6" x14ac:dyDescent="0.3">
      <c r="F7614" s="89" t="str">
        <v/>
      </c>
    </row>
    <row r="7615" spans="6:6" x14ac:dyDescent="0.3">
      <c r="F7615" s="89" t="str">
        <v/>
      </c>
    </row>
    <row r="7616" spans="6:6" x14ac:dyDescent="0.3">
      <c r="F7616" s="89" t="str">
        <v/>
      </c>
    </row>
    <row r="7617" spans="6:6" x14ac:dyDescent="0.3">
      <c r="F7617" s="89" t="str">
        <v/>
      </c>
    </row>
    <row r="7618" spans="6:6" x14ac:dyDescent="0.3">
      <c r="F7618" s="89" t="str">
        <v/>
      </c>
    </row>
    <row r="7619" spans="6:6" x14ac:dyDescent="0.3">
      <c r="F7619" s="89" t="str">
        <v/>
      </c>
    </row>
    <row r="7620" spans="6:6" x14ac:dyDescent="0.3">
      <c r="F7620" s="89" t="str">
        <v/>
      </c>
    </row>
    <row r="7621" spans="6:6" x14ac:dyDescent="0.3">
      <c r="F7621" s="89" t="str">
        <v/>
      </c>
    </row>
    <row r="7622" spans="6:6" x14ac:dyDescent="0.3">
      <c r="F7622" s="89" t="str">
        <v/>
      </c>
    </row>
    <row r="7623" spans="6:6" x14ac:dyDescent="0.3">
      <c r="F7623" s="89" t="str">
        <v/>
      </c>
    </row>
    <row r="7624" spans="6:6" x14ac:dyDescent="0.3">
      <c r="F7624" s="89" t="str">
        <v/>
      </c>
    </row>
    <row r="7625" spans="6:6" x14ac:dyDescent="0.3">
      <c r="F7625" s="89" t="str">
        <v/>
      </c>
    </row>
    <row r="7626" spans="6:6" x14ac:dyDescent="0.3">
      <c r="F7626" s="89" t="str">
        <v/>
      </c>
    </row>
    <row r="7627" spans="6:6" x14ac:dyDescent="0.3">
      <c r="F7627" s="89" t="str">
        <v/>
      </c>
    </row>
    <row r="7628" spans="6:6" x14ac:dyDescent="0.3">
      <c r="F7628" s="89" t="str">
        <v/>
      </c>
    </row>
    <row r="7629" spans="6:6" x14ac:dyDescent="0.3">
      <c r="F7629" s="89" t="str">
        <v/>
      </c>
    </row>
    <row r="7630" spans="6:6" x14ac:dyDescent="0.3">
      <c r="F7630" s="89" t="str">
        <v/>
      </c>
    </row>
    <row r="7631" spans="6:6" x14ac:dyDescent="0.3">
      <c r="F7631" s="89" t="str">
        <v/>
      </c>
    </row>
    <row r="7632" spans="6:6" x14ac:dyDescent="0.3">
      <c r="F7632" s="89" t="str">
        <v/>
      </c>
    </row>
    <row r="7633" spans="6:6" x14ac:dyDescent="0.3">
      <c r="F7633" s="89" t="str">
        <v/>
      </c>
    </row>
    <row r="7634" spans="6:6" x14ac:dyDescent="0.3">
      <c r="F7634" s="89" t="str">
        <v/>
      </c>
    </row>
    <row r="7635" spans="6:6" x14ac:dyDescent="0.3">
      <c r="F7635" s="89" t="str">
        <v/>
      </c>
    </row>
    <row r="7636" spans="6:6" x14ac:dyDescent="0.3">
      <c r="F7636" s="89" t="str">
        <v/>
      </c>
    </row>
    <row r="7637" spans="6:6" x14ac:dyDescent="0.3">
      <c r="F7637" s="89" t="str">
        <v/>
      </c>
    </row>
    <row r="7638" spans="6:6" x14ac:dyDescent="0.3">
      <c r="F7638" s="89" t="str">
        <v/>
      </c>
    </row>
    <row r="7639" spans="6:6" x14ac:dyDescent="0.3">
      <c r="F7639" s="89" t="str">
        <v/>
      </c>
    </row>
    <row r="7640" spans="6:6" x14ac:dyDescent="0.3">
      <c r="F7640" s="89" t="str">
        <v/>
      </c>
    </row>
    <row r="7641" spans="6:6" x14ac:dyDescent="0.3">
      <c r="F7641" s="89" t="str">
        <v/>
      </c>
    </row>
    <row r="7642" spans="6:6" x14ac:dyDescent="0.3">
      <c r="F7642" s="89" t="str">
        <v/>
      </c>
    </row>
    <row r="7643" spans="6:6" x14ac:dyDescent="0.3">
      <c r="F7643" s="89" t="str">
        <v/>
      </c>
    </row>
    <row r="7644" spans="6:6" x14ac:dyDescent="0.3">
      <c r="F7644" s="89" t="str">
        <v/>
      </c>
    </row>
    <row r="7645" spans="6:6" x14ac:dyDescent="0.3">
      <c r="F7645" s="89" t="str">
        <v/>
      </c>
    </row>
    <row r="7646" spans="6:6" x14ac:dyDescent="0.3">
      <c r="F7646" s="89" t="str">
        <v/>
      </c>
    </row>
    <row r="7647" spans="6:6" x14ac:dyDescent="0.3">
      <c r="F7647" s="89" t="str">
        <v/>
      </c>
    </row>
    <row r="7648" spans="6:6" x14ac:dyDescent="0.3">
      <c r="F7648" s="89" t="str">
        <v/>
      </c>
    </row>
    <row r="7649" spans="6:6" x14ac:dyDescent="0.3">
      <c r="F7649" s="89" t="str">
        <v/>
      </c>
    </row>
    <row r="7650" spans="6:6" x14ac:dyDescent="0.3">
      <c r="F7650" s="89" t="str">
        <v/>
      </c>
    </row>
    <row r="7651" spans="6:6" x14ac:dyDescent="0.3">
      <c r="F7651" s="89" t="str">
        <v/>
      </c>
    </row>
    <row r="7652" spans="6:6" x14ac:dyDescent="0.3">
      <c r="F7652" s="89" t="str">
        <v/>
      </c>
    </row>
    <row r="7653" spans="6:6" x14ac:dyDescent="0.3">
      <c r="F7653" s="89" t="str">
        <v/>
      </c>
    </row>
    <row r="7654" spans="6:6" x14ac:dyDescent="0.3">
      <c r="F7654" s="89" t="str">
        <v/>
      </c>
    </row>
    <row r="7655" spans="6:6" x14ac:dyDescent="0.3">
      <c r="F7655" s="89" t="str">
        <v/>
      </c>
    </row>
    <row r="7656" spans="6:6" x14ac:dyDescent="0.3">
      <c r="F7656" s="89" t="str">
        <v/>
      </c>
    </row>
    <row r="7657" spans="6:6" x14ac:dyDescent="0.3">
      <c r="F7657" s="89" t="str">
        <v/>
      </c>
    </row>
    <row r="7658" spans="6:6" x14ac:dyDescent="0.3">
      <c r="F7658" s="89" t="str">
        <v/>
      </c>
    </row>
    <row r="7659" spans="6:6" x14ac:dyDescent="0.3">
      <c r="F7659" s="89" t="str">
        <v/>
      </c>
    </row>
    <row r="7660" spans="6:6" x14ac:dyDescent="0.3">
      <c r="F7660" s="89" t="str">
        <v/>
      </c>
    </row>
    <row r="7661" spans="6:6" x14ac:dyDescent="0.3">
      <c r="F7661" s="89" t="str">
        <v/>
      </c>
    </row>
    <row r="7662" spans="6:6" x14ac:dyDescent="0.3">
      <c r="F7662" s="89" t="str">
        <v/>
      </c>
    </row>
    <row r="7663" spans="6:6" x14ac:dyDescent="0.3">
      <c r="F7663" s="89" t="str">
        <v/>
      </c>
    </row>
    <row r="7664" spans="6:6" x14ac:dyDescent="0.3">
      <c r="F7664" s="89" t="str">
        <v/>
      </c>
    </row>
    <row r="7665" spans="6:6" x14ac:dyDescent="0.3">
      <c r="F7665" s="89" t="str">
        <v/>
      </c>
    </row>
    <row r="7666" spans="6:6" x14ac:dyDescent="0.3">
      <c r="F7666" s="89" t="str">
        <v/>
      </c>
    </row>
    <row r="7667" spans="6:6" x14ac:dyDescent="0.3">
      <c r="F7667" s="89" t="str">
        <v/>
      </c>
    </row>
    <row r="7668" spans="6:6" x14ac:dyDescent="0.3">
      <c r="F7668" s="89" t="str">
        <v/>
      </c>
    </row>
    <row r="7669" spans="6:6" x14ac:dyDescent="0.3">
      <c r="F7669" s="89" t="str">
        <v/>
      </c>
    </row>
    <row r="7670" spans="6:6" x14ac:dyDescent="0.3">
      <c r="F7670" s="89" t="str">
        <v/>
      </c>
    </row>
    <row r="7671" spans="6:6" x14ac:dyDescent="0.3">
      <c r="F7671" s="89" t="str">
        <v/>
      </c>
    </row>
    <row r="7672" spans="6:6" x14ac:dyDescent="0.3">
      <c r="F7672" s="89" t="str">
        <v/>
      </c>
    </row>
    <row r="7673" spans="6:6" x14ac:dyDescent="0.3">
      <c r="F7673" s="89" t="str">
        <v/>
      </c>
    </row>
    <row r="7674" spans="6:6" x14ac:dyDescent="0.3">
      <c r="F7674" s="89" t="str">
        <v/>
      </c>
    </row>
    <row r="7675" spans="6:6" x14ac:dyDescent="0.3">
      <c r="F7675" s="89" t="str">
        <v/>
      </c>
    </row>
    <row r="7676" spans="6:6" x14ac:dyDescent="0.3">
      <c r="F7676" s="89" t="str">
        <v/>
      </c>
    </row>
    <row r="7677" spans="6:6" x14ac:dyDescent="0.3">
      <c r="F7677" s="89" t="str">
        <v/>
      </c>
    </row>
    <row r="7678" spans="6:6" x14ac:dyDescent="0.3">
      <c r="F7678" s="89" t="str">
        <v/>
      </c>
    </row>
    <row r="7679" spans="6:6" x14ac:dyDescent="0.3">
      <c r="F7679" s="89" t="str">
        <v/>
      </c>
    </row>
    <row r="7680" spans="6:6" x14ac:dyDescent="0.3">
      <c r="F7680" s="89" t="str">
        <v/>
      </c>
    </row>
    <row r="7681" spans="6:6" x14ac:dyDescent="0.3">
      <c r="F7681" s="89" t="str">
        <v/>
      </c>
    </row>
    <row r="7682" spans="6:6" x14ac:dyDescent="0.3">
      <c r="F7682" s="89" t="str">
        <v/>
      </c>
    </row>
    <row r="7683" spans="6:6" x14ac:dyDescent="0.3">
      <c r="F7683" s="89" t="str">
        <v/>
      </c>
    </row>
    <row r="7684" spans="6:6" x14ac:dyDescent="0.3">
      <c r="F7684" s="89" t="str">
        <v/>
      </c>
    </row>
    <row r="7685" spans="6:6" x14ac:dyDescent="0.3">
      <c r="F7685" s="89" t="str">
        <v/>
      </c>
    </row>
    <row r="7686" spans="6:6" x14ac:dyDescent="0.3">
      <c r="F7686" s="89" t="str">
        <v/>
      </c>
    </row>
    <row r="7687" spans="6:6" x14ac:dyDescent="0.3">
      <c r="F7687" s="89" t="str">
        <v/>
      </c>
    </row>
    <row r="7688" spans="6:6" x14ac:dyDescent="0.3">
      <c r="F7688" s="89" t="str">
        <v/>
      </c>
    </row>
    <row r="7689" spans="6:6" x14ac:dyDescent="0.3">
      <c r="F7689" s="89" t="str">
        <v/>
      </c>
    </row>
    <row r="7690" spans="6:6" x14ac:dyDescent="0.3">
      <c r="F7690" s="89" t="str">
        <v/>
      </c>
    </row>
    <row r="7691" spans="6:6" x14ac:dyDescent="0.3">
      <c r="F7691" s="89" t="str">
        <v/>
      </c>
    </row>
    <row r="7692" spans="6:6" x14ac:dyDescent="0.3">
      <c r="F7692" s="89" t="str">
        <v/>
      </c>
    </row>
    <row r="7693" spans="6:6" x14ac:dyDescent="0.3">
      <c r="F7693" s="89" t="str">
        <v/>
      </c>
    </row>
    <row r="7694" spans="6:6" x14ac:dyDescent="0.3">
      <c r="F7694" s="89" t="str">
        <v/>
      </c>
    </row>
    <row r="7695" spans="6:6" x14ac:dyDescent="0.3">
      <c r="F7695" s="89" t="str">
        <v/>
      </c>
    </row>
    <row r="7696" spans="6:6" x14ac:dyDescent="0.3">
      <c r="F7696" s="89" t="str">
        <v/>
      </c>
    </row>
    <row r="7697" spans="6:6" x14ac:dyDescent="0.3">
      <c r="F7697" s="89" t="str">
        <v/>
      </c>
    </row>
    <row r="7698" spans="6:6" x14ac:dyDescent="0.3">
      <c r="F7698" s="89" t="str">
        <v/>
      </c>
    </row>
    <row r="7699" spans="6:6" x14ac:dyDescent="0.3">
      <c r="F7699" s="89" t="str">
        <v/>
      </c>
    </row>
    <row r="7700" spans="6:6" x14ac:dyDescent="0.3">
      <c r="F7700" s="89" t="str">
        <v/>
      </c>
    </row>
    <row r="7701" spans="6:6" x14ac:dyDescent="0.3">
      <c r="F7701" s="89" t="str">
        <v/>
      </c>
    </row>
    <row r="7702" spans="6:6" x14ac:dyDescent="0.3">
      <c r="F7702" s="89" t="str">
        <v/>
      </c>
    </row>
    <row r="7703" spans="6:6" x14ac:dyDescent="0.3">
      <c r="F7703" s="89" t="str">
        <v/>
      </c>
    </row>
    <row r="7704" spans="6:6" x14ac:dyDescent="0.3">
      <c r="F7704" s="89" t="str">
        <v/>
      </c>
    </row>
    <row r="7705" spans="6:6" x14ac:dyDescent="0.3">
      <c r="F7705" s="89" t="str">
        <v/>
      </c>
    </row>
    <row r="7706" spans="6:6" x14ac:dyDescent="0.3">
      <c r="F7706" s="89" t="str">
        <v/>
      </c>
    </row>
    <row r="7707" spans="6:6" x14ac:dyDescent="0.3">
      <c r="F7707" s="89" t="str">
        <v/>
      </c>
    </row>
    <row r="7708" spans="6:6" x14ac:dyDescent="0.3">
      <c r="F7708" s="89" t="str">
        <v/>
      </c>
    </row>
    <row r="7709" spans="6:6" x14ac:dyDescent="0.3">
      <c r="F7709" s="89" t="str">
        <v/>
      </c>
    </row>
    <row r="7710" spans="6:6" x14ac:dyDescent="0.3">
      <c r="F7710" s="89" t="str">
        <v/>
      </c>
    </row>
    <row r="7711" spans="6:6" x14ac:dyDescent="0.3">
      <c r="F7711" s="89" t="str">
        <v/>
      </c>
    </row>
    <row r="7712" spans="6:6" x14ac:dyDescent="0.3">
      <c r="F7712" s="89" t="str">
        <v/>
      </c>
    </row>
    <row r="7713" spans="6:6" x14ac:dyDescent="0.3">
      <c r="F7713" s="89" t="str">
        <v/>
      </c>
    </row>
    <row r="7714" spans="6:6" x14ac:dyDescent="0.3">
      <c r="F7714" s="89" t="str">
        <v/>
      </c>
    </row>
    <row r="7715" spans="6:6" x14ac:dyDescent="0.3">
      <c r="F7715" s="89" t="str">
        <v/>
      </c>
    </row>
    <row r="7716" spans="6:6" x14ac:dyDescent="0.3">
      <c r="F7716" s="89" t="str">
        <v/>
      </c>
    </row>
    <row r="7717" spans="6:6" x14ac:dyDescent="0.3">
      <c r="F7717" s="89" t="str">
        <v/>
      </c>
    </row>
    <row r="7718" spans="6:6" x14ac:dyDescent="0.3">
      <c r="F7718" s="89" t="str">
        <v/>
      </c>
    </row>
    <row r="7719" spans="6:6" x14ac:dyDescent="0.3">
      <c r="F7719" s="89" t="str">
        <v/>
      </c>
    </row>
    <row r="7720" spans="6:6" x14ac:dyDescent="0.3">
      <c r="F7720" s="89" t="str">
        <v/>
      </c>
    </row>
    <row r="7721" spans="6:6" x14ac:dyDescent="0.3">
      <c r="F7721" s="89" t="str">
        <v/>
      </c>
    </row>
    <row r="7722" spans="6:6" x14ac:dyDescent="0.3">
      <c r="F7722" s="89" t="str">
        <v/>
      </c>
    </row>
    <row r="7723" spans="6:6" x14ac:dyDescent="0.3">
      <c r="F7723" s="89" t="str">
        <v/>
      </c>
    </row>
    <row r="7724" spans="6:6" x14ac:dyDescent="0.3">
      <c r="F7724" s="89" t="str">
        <v/>
      </c>
    </row>
    <row r="7725" spans="6:6" x14ac:dyDescent="0.3">
      <c r="F7725" s="89" t="str">
        <v/>
      </c>
    </row>
    <row r="7726" spans="6:6" x14ac:dyDescent="0.3">
      <c r="F7726" s="89" t="str">
        <v/>
      </c>
    </row>
    <row r="7727" spans="6:6" x14ac:dyDescent="0.3">
      <c r="F7727" s="89" t="str">
        <v/>
      </c>
    </row>
    <row r="7728" spans="6:6" x14ac:dyDescent="0.3">
      <c r="F7728" s="89" t="str">
        <v/>
      </c>
    </row>
    <row r="7729" spans="6:6" x14ac:dyDescent="0.3">
      <c r="F7729" s="89" t="str">
        <v/>
      </c>
    </row>
    <row r="7730" spans="6:6" x14ac:dyDescent="0.3">
      <c r="F7730" s="89" t="str">
        <v/>
      </c>
    </row>
    <row r="7731" spans="6:6" x14ac:dyDescent="0.3">
      <c r="F7731" s="89" t="str">
        <v/>
      </c>
    </row>
    <row r="7732" spans="6:6" x14ac:dyDescent="0.3">
      <c r="F7732" s="89" t="str">
        <v/>
      </c>
    </row>
    <row r="7733" spans="6:6" x14ac:dyDescent="0.3">
      <c r="F7733" s="89" t="str">
        <v/>
      </c>
    </row>
    <row r="7734" spans="6:6" x14ac:dyDescent="0.3">
      <c r="F7734" s="89" t="str">
        <v/>
      </c>
    </row>
    <row r="7735" spans="6:6" x14ac:dyDescent="0.3">
      <c r="F7735" s="89" t="str">
        <v/>
      </c>
    </row>
    <row r="7736" spans="6:6" x14ac:dyDescent="0.3">
      <c r="F7736" s="89" t="str">
        <v/>
      </c>
    </row>
    <row r="7737" spans="6:6" x14ac:dyDescent="0.3">
      <c r="F7737" s="89" t="str">
        <v/>
      </c>
    </row>
    <row r="7738" spans="6:6" x14ac:dyDescent="0.3">
      <c r="F7738" s="89" t="str">
        <v/>
      </c>
    </row>
    <row r="7739" spans="6:6" x14ac:dyDescent="0.3">
      <c r="F7739" s="89" t="str">
        <v/>
      </c>
    </row>
    <row r="7740" spans="6:6" x14ac:dyDescent="0.3">
      <c r="F7740" s="89" t="str">
        <v/>
      </c>
    </row>
    <row r="7741" spans="6:6" x14ac:dyDescent="0.3">
      <c r="F7741" s="89" t="str">
        <v/>
      </c>
    </row>
    <row r="7742" spans="6:6" x14ac:dyDescent="0.3">
      <c r="F7742" s="89" t="str">
        <v/>
      </c>
    </row>
    <row r="7743" spans="6:6" x14ac:dyDescent="0.3">
      <c r="F7743" s="89" t="str">
        <v/>
      </c>
    </row>
    <row r="7744" spans="6:6" x14ac:dyDescent="0.3">
      <c r="F7744" s="89" t="str">
        <v/>
      </c>
    </row>
    <row r="7745" spans="6:6" x14ac:dyDescent="0.3">
      <c r="F7745" s="89" t="str">
        <v/>
      </c>
    </row>
    <row r="7746" spans="6:6" x14ac:dyDescent="0.3">
      <c r="F7746" s="89" t="str">
        <v/>
      </c>
    </row>
    <row r="7747" spans="6:6" x14ac:dyDescent="0.3">
      <c r="F7747" s="89" t="str">
        <v/>
      </c>
    </row>
    <row r="7748" spans="6:6" x14ac:dyDescent="0.3">
      <c r="F7748" s="89" t="str">
        <v/>
      </c>
    </row>
    <row r="7749" spans="6:6" x14ac:dyDescent="0.3">
      <c r="F7749" s="89" t="str">
        <v/>
      </c>
    </row>
    <row r="7750" spans="6:6" x14ac:dyDescent="0.3">
      <c r="F7750" s="89" t="str">
        <v/>
      </c>
    </row>
    <row r="7751" spans="6:6" x14ac:dyDescent="0.3">
      <c r="F7751" s="89" t="str">
        <v/>
      </c>
    </row>
    <row r="7752" spans="6:6" x14ac:dyDescent="0.3">
      <c r="F7752" s="89" t="str">
        <v/>
      </c>
    </row>
    <row r="7753" spans="6:6" x14ac:dyDescent="0.3">
      <c r="F7753" s="89" t="str">
        <v/>
      </c>
    </row>
    <row r="7754" spans="6:6" x14ac:dyDescent="0.3">
      <c r="F7754" s="89" t="str">
        <v/>
      </c>
    </row>
    <row r="7755" spans="6:6" x14ac:dyDescent="0.3">
      <c r="F7755" s="89" t="str">
        <v/>
      </c>
    </row>
    <row r="7756" spans="6:6" x14ac:dyDescent="0.3">
      <c r="F7756" s="89" t="str">
        <v/>
      </c>
    </row>
    <row r="7757" spans="6:6" x14ac:dyDescent="0.3">
      <c r="F7757" s="89" t="str">
        <v/>
      </c>
    </row>
    <row r="7758" spans="6:6" x14ac:dyDescent="0.3">
      <c r="F7758" s="89" t="str">
        <v/>
      </c>
    </row>
    <row r="7759" spans="6:6" x14ac:dyDescent="0.3">
      <c r="F7759" s="89" t="str">
        <v/>
      </c>
    </row>
    <row r="7760" spans="6:6" x14ac:dyDescent="0.3">
      <c r="F7760" s="89" t="str">
        <v/>
      </c>
    </row>
    <row r="7761" spans="6:6" x14ac:dyDescent="0.3">
      <c r="F7761" s="89" t="str">
        <v/>
      </c>
    </row>
    <row r="7762" spans="6:6" x14ac:dyDescent="0.3">
      <c r="F7762" s="89" t="str">
        <v/>
      </c>
    </row>
    <row r="7763" spans="6:6" x14ac:dyDescent="0.3">
      <c r="F7763" s="89" t="str">
        <v/>
      </c>
    </row>
    <row r="7764" spans="6:6" x14ac:dyDescent="0.3">
      <c r="F7764" s="89" t="str">
        <v/>
      </c>
    </row>
    <row r="7765" spans="6:6" x14ac:dyDescent="0.3">
      <c r="F7765" s="89" t="str">
        <v/>
      </c>
    </row>
    <row r="7766" spans="6:6" x14ac:dyDescent="0.3">
      <c r="F7766" s="89" t="str">
        <v/>
      </c>
    </row>
    <row r="7767" spans="6:6" x14ac:dyDescent="0.3">
      <c r="F7767" s="89" t="str">
        <v/>
      </c>
    </row>
    <row r="7768" spans="6:6" x14ac:dyDescent="0.3">
      <c r="F7768" s="89" t="str">
        <v/>
      </c>
    </row>
    <row r="7769" spans="6:6" x14ac:dyDescent="0.3">
      <c r="F7769" s="89" t="str">
        <v/>
      </c>
    </row>
    <row r="7770" spans="6:6" x14ac:dyDescent="0.3">
      <c r="F7770" s="89" t="str">
        <v/>
      </c>
    </row>
    <row r="7771" spans="6:6" x14ac:dyDescent="0.3">
      <c r="F7771" s="89" t="str">
        <v/>
      </c>
    </row>
    <row r="7772" spans="6:6" x14ac:dyDescent="0.3">
      <c r="F7772" s="89" t="str">
        <v/>
      </c>
    </row>
    <row r="7773" spans="6:6" x14ac:dyDescent="0.3">
      <c r="F7773" s="89" t="str">
        <v/>
      </c>
    </row>
    <row r="7774" spans="6:6" x14ac:dyDescent="0.3">
      <c r="F7774" s="89" t="str">
        <v/>
      </c>
    </row>
    <row r="7775" spans="6:6" x14ac:dyDescent="0.3">
      <c r="F7775" s="89" t="str">
        <v/>
      </c>
    </row>
    <row r="7776" spans="6:6" x14ac:dyDescent="0.3">
      <c r="F7776" s="89" t="str">
        <v/>
      </c>
    </row>
    <row r="7777" spans="6:6" x14ac:dyDescent="0.3">
      <c r="F7777" s="89" t="str">
        <v/>
      </c>
    </row>
    <row r="7778" spans="6:6" x14ac:dyDescent="0.3">
      <c r="F7778" s="89" t="str">
        <v/>
      </c>
    </row>
    <row r="7779" spans="6:6" x14ac:dyDescent="0.3">
      <c r="F7779" s="89" t="str">
        <v/>
      </c>
    </row>
    <row r="7780" spans="6:6" x14ac:dyDescent="0.3">
      <c r="F7780" s="89" t="str">
        <v/>
      </c>
    </row>
    <row r="7781" spans="6:6" x14ac:dyDescent="0.3">
      <c r="F7781" s="89" t="str">
        <v/>
      </c>
    </row>
    <row r="7782" spans="6:6" x14ac:dyDescent="0.3">
      <c r="F7782" s="89" t="str">
        <v/>
      </c>
    </row>
    <row r="7783" spans="6:6" x14ac:dyDescent="0.3">
      <c r="F7783" s="89" t="str">
        <v/>
      </c>
    </row>
    <row r="7784" spans="6:6" x14ac:dyDescent="0.3">
      <c r="F7784" s="89" t="str">
        <v/>
      </c>
    </row>
    <row r="7785" spans="6:6" x14ac:dyDescent="0.3">
      <c r="F7785" s="89" t="str">
        <v/>
      </c>
    </row>
    <row r="7786" spans="6:6" x14ac:dyDescent="0.3">
      <c r="F7786" s="89" t="str">
        <v/>
      </c>
    </row>
    <row r="7787" spans="6:6" x14ac:dyDescent="0.3">
      <c r="F7787" s="89" t="str">
        <v/>
      </c>
    </row>
    <row r="7788" spans="6:6" x14ac:dyDescent="0.3">
      <c r="F7788" s="89" t="str">
        <v/>
      </c>
    </row>
    <row r="7789" spans="6:6" x14ac:dyDescent="0.3">
      <c r="F7789" s="89" t="str">
        <v/>
      </c>
    </row>
    <row r="7790" spans="6:6" x14ac:dyDescent="0.3">
      <c r="F7790" s="89" t="str">
        <v/>
      </c>
    </row>
    <row r="7791" spans="6:6" x14ac:dyDescent="0.3">
      <c r="F7791" s="89" t="str">
        <v/>
      </c>
    </row>
    <row r="7792" spans="6:6" x14ac:dyDescent="0.3">
      <c r="F7792" s="89" t="str">
        <v/>
      </c>
    </row>
    <row r="7793" spans="6:6" x14ac:dyDescent="0.3">
      <c r="F7793" s="89" t="str">
        <v/>
      </c>
    </row>
    <row r="7794" spans="6:6" x14ac:dyDescent="0.3">
      <c r="F7794" s="89" t="str">
        <v/>
      </c>
    </row>
    <row r="7795" spans="6:6" x14ac:dyDescent="0.3">
      <c r="F7795" s="89" t="str">
        <v/>
      </c>
    </row>
    <row r="7796" spans="6:6" x14ac:dyDescent="0.3">
      <c r="F7796" s="89" t="str">
        <v/>
      </c>
    </row>
    <row r="7797" spans="6:6" x14ac:dyDescent="0.3">
      <c r="F7797" s="89" t="str">
        <v/>
      </c>
    </row>
    <row r="7798" spans="6:6" x14ac:dyDescent="0.3">
      <c r="F7798" s="89" t="str">
        <v/>
      </c>
    </row>
    <row r="7799" spans="6:6" x14ac:dyDescent="0.3">
      <c r="F7799" s="89" t="str">
        <v/>
      </c>
    </row>
    <row r="7800" spans="6:6" x14ac:dyDescent="0.3">
      <c r="F7800" s="89" t="str">
        <v/>
      </c>
    </row>
    <row r="7801" spans="6:6" x14ac:dyDescent="0.3">
      <c r="F7801" s="89" t="str">
        <v/>
      </c>
    </row>
    <row r="7802" spans="6:6" x14ac:dyDescent="0.3">
      <c r="F7802" s="89" t="str">
        <v/>
      </c>
    </row>
    <row r="7803" spans="6:6" x14ac:dyDescent="0.3">
      <c r="F7803" s="89" t="str">
        <v/>
      </c>
    </row>
    <row r="7804" spans="6:6" x14ac:dyDescent="0.3">
      <c r="F7804" s="89" t="str">
        <v/>
      </c>
    </row>
    <row r="7805" spans="6:6" x14ac:dyDescent="0.3">
      <c r="F7805" s="89" t="str">
        <v/>
      </c>
    </row>
    <row r="7806" spans="6:6" x14ac:dyDescent="0.3">
      <c r="F7806" s="89" t="str">
        <v/>
      </c>
    </row>
    <row r="7807" spans="6:6" x14ac:dyDescent="0.3">
      <c r="F7807" s="89" t="str">
        <v/>
      </c>
    </row>
    <row r="7808" spans="6:6" x14ac:dyDescent="0.3">
      <c r="F7808" s="89" t="str">
        <v/>
      </c>
    </row>
    <row r="7809" spans="6:6" x14ac:dyDescent="0.3">
      <c r="F7809" s="89" t="str">
        <v/>
      </c>
    </row>
    <row r="7810" spans="6:6" x14ac:dyDescent="0.3">
      <c r="F7810" s="89" t="str">
        <v/>
      </c>
    </row>
    <row r="7811" spans="6:6" x14ac:dyDescent="0.3">
      <c r="F7811" s="89" t="str">
        <v/>
      </c>
    </row>
    <row r="7812" spans="6:6" x14ac:dyDescent="0.3">
      <c r="F7812" s="89" t="str">
        <v/>
      </c>
    </row>
    <row r="7813" spans="6:6" x14ac:dyDescent="0.3">
      <c r="F7813" s="89" t="str">
        <v/>
      </c>
    </row>
    <row r="7814" spans="6:6" x14ac:dyDescent="0.3">
      <c r="F7814" s="89" t="str">
        <v/>
      </c>
    </row>
    <row r="7815" spans="6:6" x14ac:dyDescent="0.3">
      <c r="F7815" s="89" t="str">
        <v/>
      </c>
    </row>
    <row r="7816" spans="6:6" x14ac:dyDescent="0.3">
      <c r="F7816" s="89" t="str">
        <v/>
      </c>
    </row>
    <row r="7817" spans="6:6" x14ac:dyDescent="0.3">
      <c r="F7817" s="89" t="str">
        <v/>
      </c>
    </row>
    <row r="7818" spans="6:6" x14ac:dyDescent="0.3">
      <c r="F7818" s="89" t="str">
        <v/>
      </c>
    </row>
    <row r="7819" spans="6:6" x14ac:dyDescent="0.3">
      <c r="F7819" s="89" t="str">
        <v/>
      </c>
    </row>
    <row r="7820" spans="6:6" x14ac:dyDescent="0.3">
      <c r="F7820" s="89" t="str">
        <v/>
      </c>
    </row>
    <row r="7821" spans="6:6" x14ac:dyDescent="0.3">
      <c r="F7821" s="89" t="str">
        <v/>
      </c>
    </row>
    <row r="7822" spans="6:6" x14ac:dyDescent="0.3">
      <c r="F7822" s="89" t="str">
        <v/>
      </c>
    </row>
    <row r="7823" spans="6:6" x14ac:dyDescent="0.3">
      <c r="F7823" s="89" t="str">
        <v/>
      </c>
    </row>
    <row r="7824" spans="6:6" x14ac:dyDescent="0.3">
      <c r="F7824" s="89" t="str">
        <v/>
      </c>
    </row>
    <row r="7825" spans="6:6" x14ac:dyDescent="0.3">
      <c r="F7825" s="89" t="str">
        <v/>
      </c>
    </row>
    <row r="7826" spans="6:6" x14ac:dyDescent="0.3">
      <c r="F7826" s="89" t="str">
        <v/>
      </c>
    </row>
    <row r="7827" spans="6:6" x14ac:dyDescent="0.3">
      <c r="F7827" s="89" t="str">
        <v/>
      </c>
    </row>
    <row r="7828" spans="6:6" x14ac:dyDescent="0.3">
      <c r="F7828" s="89" t="str">
        <v/>
      </c>
    </row>
    <row r="7829" spans="6:6" x14ac:dyDescent="0.3">
      <c r="F7829" s="89" t="str">
        <v/>
      </c>
    </row>
    <row r="7830" spans="6:6" x14ac:dyDescent="0.3">
      <c r="F7830" s="89" t="str">
        <v/>
      </c>
    </row>
    <row r="7831" spans="6:6" x14ac:dyDescent="0.3">
      <c r="F7831" s="89" t="str">
        <v/>
      </c>
    </row>
    <row r="7832" spans="6:6" x14ac:dyDescent="0.3">
      <c r="F7832" s="89" t="str">
        <v/>
      </c>
    </row>
    <row r="7833" spans="6:6" x14ac:dyDescent="0.3">
      <c r="F7833" s="89" t="str">
        <v/>
      </c>
    </row>
    <row r="7834" spans="6:6" x14ac:dyDescent="0.3">
      <c r="F7834" s="89" t="str">
        <v/>
      </c>
    </row>
    <row r="7835" spans="6:6" x14ac:dyDescent="0.3">
      <c r="F7835" s="89" t="str">
        <v/>
      </c>
    </row>
    <row r="7836" spans="6:6" x14ac:dyDescent="0.3">
      <c r="F7836" s="89" t="str">
        <v/>
      </c>
    </row>
    <row r="7837" spans="6:6" x14ac:dyDescent="0.3">
      <c r="F7837" s="89" t="str">
        <v/>
      </c>
    </row>
    <row r="7838" spans="6:6" x14ac:dyDescent="0.3">
      <c r="F7838" s="89" t="str">
        <v/>
      </c>
    </row>
    <row r="7839" spans="6:6" x14ac:dyDescent="0.3">
      <c r="F7839" s="89" t="str">
        <v/>
      </c>
    </row>
    <row r="7840" spans="6:6" x14ac:dyDescent="0.3">
      <c r="F7840" s="89" t="str">
        <v/>
      </c>
    </row>
    <row r="7841" spans="6:6" x14ac:dyDescent="0.3">
      <c r="F7841" s="89" t="str">
        <v/>
      </c>
    </row>
    <row r="7842" spans="6:6" x14ac:dyDescent="0.3">
      <c r="F7842" s="89" t="str">
        <v/>
      </c>
    </row>
    <row r="7843" spans="6:6" x14ac:dyDescent="0.3">
      <c r="F7843" s="89" t="str">
        <v/>
      </c>
    </row>
    <row r="7844" spans="6:6" x14ac:dyDescent="0.3">
      <c r="F7844" s="89" t="str">
        <v/>
      </c>
    </row>
    <row r="7845" spans="6:6" x14ac:dyDescent="0.3">
      <c r="F7845" s="89" t="str">
        <v/>
      </c>
    </row>
    <row r="7846" spans="6:6" x14ac:dyDescent="0.3">
      <c r="F7846" s="89" t="str">
        <v/>
      </c>
    </row>
    <row r="7847" spans="6:6" x14ac:dyDescent="0.3">
      <c r="F7847" s="89" t="str">
        <v/>
      </c>
    </row>
    <row r="7848" spans="6:6" x14ac:dyDescent="0.3">
      <c r="F7848" s="89" t="str">
        <v/>
      </c>
    </row>
    <row r="7849" spans="6:6" x14ac:dyDescent="0.3">
      <c r="F7849" s="89" t="str">
        <v/>
      </c>
    </row>
    <row r="7850" spans="6:6" x14ac:dyDescent="0.3">
      <c r="F7850" s="89" t="str">
        <v/>
      </c>
    </row>
    <row r="7851" spans="6:6" x14ac:dyDescent="0.3">
      <c r="F7851" s="89" t="str">
        <v/>
      </c>
    </row>
    <row r="7852" spans="6:6" x14ac:dyDescent="0.3">
      <c r="F7852" s="89" t="str">
        <v/>
      </c>
    </row>
    <row r="7853" spans="6:6" x14ac:dyDescent="0.3">
      <c r="F7853" s="89" t="str">
        <v/>
      </c>
    </row>
    <row r="7854" spans="6:6" x14ac:dyDescent="0.3">
      <c r="F7854" s="89" t="str">
        <v/>
      </c>
    </row>
    <row r="7855" spans="6:6" x14ac:dyDescent="0.3">
      <c r="F7855" s="89" t="str">
        <v/>
      </c>
    </row>
    <row r="7856" spans="6:6" x14ac:dyDescent="0.3">
      <c r="F7856" s="89" t="str">
        <v/>
      </c>
    </row>
    <row r="7857" spans="6:6" x14ac:dyDescent="0.3">
      <c r="F7857" s="89" t="str">
        <v/>
      </c>
    </row>
    <row r="7858" spans="6:6" x14ac:dyDescent="0.3">
      <c r="F7858" s="89" t="str">
        <v/>
      </c>
    </row>
    <row r="7859" spans="6:6" x14ac:dyDescent="0.3">
      <c r="F7859" s="89" t="str">
        <v/>
      </c>
    </row>
    <row r="7860" spans="6:6" x14ac:dyDescent="0.3">
      <c r="F7860" s="89" t="str">
        <v/>
      </c>
    </row>
    <row r="7861" spans="6:6" x14ac:dyDescent="0.3">
      <c r="F7861" s="89" t="str">
        <v/>
      </c>
    </row>
    <row r="7862" spans="6:6" x14ac:dyDescent="0.3">
      <c r="F7862" s="89" t="str">
        <v/>
      </c>
    </row>
    <row r="7863" spans="6:6" x14ac:dyDescent="0.3">
      <c r="F7863" s="89" t="str">
        <v/>
      </c>
    </row>
    <row r="7864" spans="6:6" x14ac:dyDescent="0.3">
      <c r="F7864" s="89" t="str">
        <v/>
      </c>
    </row>
    <row r="7865" spans="6:6" x14ac:dyDescent="0.3">
      <c r="F7865" s="89" t="str">
        <v/>
      </c>
    </row>
    <row r="7866" spans="6:6" x14ac:dyDescent="0.3">
      <c r="F7866" s="89" t="str">
        <v/>
      </c>
    </row>
    <row r="7867" spans="6:6" x14ac:dyDescent="0.3">
      <c r="F7867" s="89" t="str">
        <v/>
      </c>
    </row>
    <row r="7868" spans="6:6" x14ac:dyDescent="0.3">
      <c r="F7868" s="89" t="str">
        <v/>
      </c>
    </row>
    <row r="7869" spans="6:6" x14ac:dyDescent="0.3">
      <c r="F7869" s="89" t="str">
        <v/>
      </c>
    </row>
    <row r="7870" spans="6:6" x14ac:dyDescent="0.3">
      <c r="F7870" s="89" t="str">
        <v/>
      </c>
    </row>
    <row r="7871" spans="6:6" x14ac:dyDescent="0.3">
      <c r="F7871" s="89" t="str">
        <v/>
      </c>
    </row>
    <row r="7872" spans="6:6" x14ac:dyDescent="0.3">
      <c r="F7872" s="89" t="str">
        <v/>
      </c>
    </row>
    <row r="7873" spans="6:6" x14ac:dyDescent="0.3">
      <c r="F7873" s="89" t="str">
        <v/>
      </c>
    </row>
    <row r="7874" spans="6:6" x14ac:dyDescent="0.3">
      <c r="F7874" s="89" t="str">
        <v/>
      </c>
    </row>
    <row r="7875" spans="6:6" x14ac:dyDescent="0.3">
      <c r="F7875" s="89" t="str">
        <v/>
      </c>
    </row>
    <row r="7876" spans="6:6" x14ac:dyDescent="0.3">
      <c r="F7876" s="89" t="str">
        <v/>
      </c>
    </row>
    <row r="7877" spans="6:6" x14ac:dyDescent="0.3">
      <c r="F7877" s="89" t="str">
        <v/>
      </c>
    </row>
    <row r="7878" spans="6:6" x14ac:dyDescent="0.3">
      <c r="F7878" s="89" t="str">
        <v/>
      </c>
    </row>
    <row r="7879" spans="6:6" x14ac:dyDescent="0.3">
      <c r="F7879" s="89" t="str">
        <v/>
      </c>
    </row>
    <row r="7880" spans="6:6" x14ac:dyDescent="0.3">
      <c r="F7880" s="89" t="str">
        <v/>
      </c>
    </row>
    <row r="7881" spans="6:6" x14ac:dyDescent="0.3">
      <c r="F7881" s="89" t="str">
        <v/>
      </c>
    </row>
    <row r="7882" spans="6:6" x14ac:dyDescent="0.3">
      <c r="F7882" s="89" t="str">
        <v/>
      </c>
    </row>
    <row r="7883" spans="6:6" x14ac:dyDescent="0.3">
      <c r="F7883" s="89" t="str">
        <v/>
      </c>
    </row>
    <row r="7884" spans="6:6" x14ac:dyDescent="0.3">
      <c r="F7884" s="89" t="str">
        <v/>
      </c>
    </row>
    <row r="7885" spans="6:6" x14ac:dyDescent="0.3">
      <c r="F7885" s="89" t="str">
        <v/>
      </c>
    </row>
    <row r="7886" spans="6:6" x14ac:dyDescent="0.3">
      <c r="F7886" s="89" t="str">
        <v/>
      </c>
    </row>
    <row r="7887" spans="6:6" x14ac:dyDescent="0.3">
      <c r="F7887" s="89" t="str">
        <v/>
      </c>
    </row>
    <row r="7888" spans="6:6" x14ac:dyDescent="0.3">
      <c r="F7888" s="89" t="str">
        <v/>
      </c>
    </row>
    <row r="7889" spans="6:6" x14ac:dyDescent="0.3">
      <c r="F7889" s="89" t="str">
        <v/>
      </c>
    </row>
    <row r="7890" spans="6:6" x14ac:dyDescent="0.3">
      <c r="F7890" s="89" t="str">
        <v/>
      </c>
    </row>
    <row r="7891" spans="6:6" x14ac:dyDescent="0.3">
      <c r="F7891" s="89" t="str">
        <v/>
      </c>
    </row>
    <row r="7892" spans="6:6" x14ac:dyDescent="0.3">
      <c r="F7892" s="89" t="str">
        <v/>
      </c>
    </row>
    <row r="7893" spans="6:6" x14ac:dyDescent="0.3">
      <c r="F7893" s="89" t="str">
        <v/>
      </c>
    </row>
    <row r="7894" spans="6:6" x14ac:dyDescent="0.3">
      <c r="F7894" s="89" t="str">
        <v/>
      </c>
    </row>
    <row r="7895" spans="6:6" x14ac:dyDescent="0.3">
      <c r="F7895" s="89" t="str">
        <v/>
      </c>
    </row>
    <row r="7896" spans="6:6" x14ac:dyDescent="0.3">
      <c r="F7896" s="89" t="str">
        <v/>
      </c>
    </row>
    <row r="7897" spans="6:6" x14ac:dyDescent="0.3">
      <c r="F7897" s="89" t="str">
        <v/>
      </c>
    </row>
    <row r="7898" spans="6:6" x14ac:dyDescent="0.3">
      <c r="F7898" s="89" t="str">
        <v/>
      </c>
    </row>
    <row r="7899" spans="6:6" x14ac:dyDescent="0.3">
      <c r="F7899" s="89" t="str">
        <v/>
      </c>
    </row>
    <row r="7900" spans="6:6" x14ac:dyDescent="0.3">
      <c r="F7900" s="89" t="str">
        <v/>
      </c>
    </row>
    <row r="7901" spans="6:6" x14ac:dyDescent="0.3">
      <c r="F7901" s="89" t="str">
        <v/>
      </c>
    </row>
    <row r="7902" spans="6:6" x14ac:dyDescent="0.3">
      <c r="F7902" s="89" t="str">
        <v/>
      </c>
    </row>
    <row r="7903" spans="6:6" x14ac:dyDescent="0.3">
      <c r="F7903" s="89" t="str">
        <v/>
      </c>
    </row>
    <row r="7904" spans="6:6" x14ac:dyDescent="0.3">
      <c r="F7904" s="89" t="str">
        <v/>
      </c>
    </row>
    <row r="7905" spans="6:6" x14ac:dyDescent="0.3">
      <c r="F7905" s="89" t="str">
        <v/>
      </c>
    </row>
    <row r="7906" spans="6:6" x14ac:dyDescent="0.3">
      <c r="F7906" s="89" t="str">
        <v/>
      </c>
    </row>
    <row r="7907" spans="6:6" x14ac:dyDescent="0.3">
      <c r="F7907" s="89" t="str">
        <v/>
      </c>
    </row>
    <row r="7908" spans="6:6" x14ac:dyDescent="0.3">
      <c r="F7908" s="89" t="str">
        <v/>
      </c>
    </row>
    <row r="7909" spans="6:6" x14ac:dyDescent="0.3">
      <c r="F7909" s="89" t="str">
        <v/>
      </c>
    </row>
    <row r="7910" spans="6:6" x14ac:dyDescent="0.3">
      <c r="F7910" s="89" t="str">
        <v/>
      </c>
    </row>
    <row r="7911" spans="6:6" x14ac:dyDescent="0.3">
      <c r="F7911" s="89" t="str">
        <v/>
      </c>
    </row>
    <row r="7912" spans="6:6" x14ac:dyDescent="0.3">
      <c r="F7912" s="89" t="str">
        <v/>
      </c>
    </row>
    <row r="7913" spans="6:6" x14ac:dyDescent="0.3">
      <c r="F7913" s="89" t="str">
        <v/>
      </c>
    </row>
    <row r="7914" spans="6:6" x14ac:dyDescent="0.3">
      <c r="F7914" s="89" t="str">
        <v/>
      </c>
    </row>
    <row r="7915" spans="6:6" x14ac:dyDescent="0.3">
      <c r="F7915" s="89" t="str">
        <v/>
      </c>
    </row>
    <row r="7916" spans="6:6" x14ac:dyDescent="0.3">
      <c r="F7916" s="89" t="str">
        <v/>
      </c>
    </row>
    <row r="7917" spans="6:6" x14ac:dyDescent="0.3">
      <c r="F7917" s="89" t="str">
        <v/>
      </c>
    </row>
    <row r="7918" spans="6:6" x14ac:dyDescent="0.3">
      <c r="F7918" s="89" t="str">
        <v/>
      </c>
    </row>
    <row r="7919" spans="6:6" x14ac:dyDescent="0.3">
      <c r="F7919" s="89" t="str">
        <v/>
      </c>
    </row>
    <row r="7920" spans="6:6" x14ac:dyDescent="0.3">
      <c r="F7920" s="89" t="str">
        <v/>
      </c>
    </row>
    <row r="7921" spans="6:6" x14ac:dyDescent="0.3">
      <c r="F7921" s="89" t="str">
        <v/>
      </c>
    </row>
    <row r="7922" spans="6:6" x14ac:dyDescent="0.3">
      <c r="F7922" s="89" t="str">
        <v/>
      </c>
    </row>
    <row r="7923" spans="6:6" x14ac:dyDescent="0.3">
      <c r="F7923" s="89" t="str">
        <v/>
      </c>
    </row>
    <row r="7924" spans="6:6" x14ac:dyDescent="0.3">
      <c r="F7924" s="89" t="str">
        <v/>
      </c>
    </row>
    <row r="7925" spans="6:6" x14ac:dyDescent="0.3">
      <c r="F7925" s="89" t="str">
        <v/>
      </c>
    </row>
    <row r="7926" spans="6:6" x14ac:dyDescent="0.3">
      <c r="F7926" s="89" t="str">
        <v/>
      </c>
    </row>
    <row r="7927" spans="6:6" x14ac:dyDescent="0.3">
      <c r="F7927" s="89" t="str">
        <v/>
      </c>
    </row>
    <row r="7928" spans="6:6" x14ac:dyDescent="0.3">
      <c r="F7928" s="89" t="str">
        <v/>
      </c>
    </row>
    <row r="7929" spans="6:6" x14ac:dyDescent="0.3">
      <c r="F7929" s="89" t="str">
        <v/>
      </c>
    </row>
    <row r="7930" spans="6:6" x14ac:dyDescent="0.3">
      <c r="F7930" s="89" t="str">
        <v/>
      </c>
    </row>
    <row r="7931" spans="6:6" x14ac:dyDescent="0.3">
      <c r="F7931" s="89" t="str">
        <v/>
      </c>
    </row>
    <row r="7932" spans="6:6" x14ac:dyDescent="0.3">
      <c r="F7932" s="89" t="str">
        <v/>
      </c>
    </row>
    <row r="7933" spans="6:6" x14ac:dyDescent="0.3">
      <c r="F7933" s="89" t="str">
        <v/>
      </c>
    </row>
    <row r="7934" spans="6:6" x14ac:dyDescent="0.3">
      <c r="F7934" s="89" t="str">
        <v/>
      </c>
    </row>
    <row r="7935" spans="6:6" x14ac:dyDescent="0.3">
      <c r="F7935" s="89" t="str">
        <v/>
      </c>
    </row>
    <row r="7936" spans="6:6" x14ac:dyDescent="0.3">
      <c r="F7936" s="89" t="str">
        <v/>
      </c>
    </row>
    <row r="7937" spans="6:6" x14ac:dyDescent="0.3">
      <c r="F7937" s="89" t="str">
        <v/>
      </c>
    </row>
    <row r="7938" spans="6:6" x14ac:dyDescent="0.3">
      <c r="F7938" s="89" t="str">
        <v/>
      </c>
    </row>
    <row r="7939" spans="6:6" x14ac:dyDescent="0.3">
      <c r="F7939" s="89" t="str">
        <v/>
      </c>
    </row>
    <row r="7940" spans="6:6" x14ac:dyDescent="0.3">
      <c r="F7940" s="89" t="str">
        <v/>
      </c>
    </row>
    <row r="7941" spans="6:6" x14ac:dyDescent="0.3">
      <c r="F7941" s="89" t="str">
        <v/>
      </c>
    </row>
    <row r="7942" spans="6:6" x14ac:dyDescent="0.3">
      <c r="F7942" s="89" t="str">
        <v/>
      </c>
    </row>
    <row r="7943" spans="6:6" x14ac:dyDescent="0.3">
      <c r="F7943" s="89" t="str">
        <v/>
      </c>
    </row>
    <row r="7944" spans="6:6" x14ac:dyDescent="0.3">
      <c r="F7944" s="89" t="str">
        <v/>
      </c>
    </row>
    <row r="7945" spans="6:6" x14ac:dyDescent="0.3">
      <c r="F7945" s="89" t="str">
        <v/>
      </c>
    </row>
    <row r="7946" spans="6:6" x14ac:dyDescent="0.3">
      <c r="F7946" s="89" t="str">
        <v/>
      </c>
    </row>
    <row r="7947" spans="6:6" x14ac:dyDescent="0.3">
      <c r="F7947" s="89" t="str">
        <v/>
      </c>
    </row>
    <row r="7948" spans="6:6" x14ac:dyDescent="0.3">
      <c r="F7948" s="89" t="str">
        <v/>
      </c>
    </row>
    <row r="7949" spans="6:6" x14ac:dyDescent="0.3">
      <c r="F7949" s="89" t="str">
        <v/>
      </c>
    </row>
    <row r="7950" spans="6:6" x14ac:dyDescent="0.3">
      <c r="F7950" s="89" t="str">
        <v/>
      </c>
    </row>
    <row r="7951" spans="6:6" x14ac:dyDescent="0.3">
      <c r="F7951" s="89" t="str">
        <v/>
      </c>
    </row>
    <row r="7952" spans="6:6" x14ac:dyDescent="0.3">
      <c r="F7952" s="89" t="str">
        <v/>
      </c>
    </row>
    <row r="7953" spans="6:6" x14ac:dyDescent="0.3">
      <c r="F7953" s="89" t="str">
        <v/>
      </c>
    </row>
    <row r="7954" spans="6:6" x14ac:dyDescent="0.3">
      <c r="F7954" s="89" t="str">
        <v/>
      </c>
    </row>
    <row r="7955" spans="6:6" x14ac:dyDescent="0.3">
      <c r="F7955" s="89" t="str">
        <v/>
      </c>
    </row>
    <row r="7956" spans="6:6" x14ac:dyDescent="0.3">
      <c r="F7956" s="89" t="str">
        <v/>
      </c>
    </row>
    <row r="7957" spans="6:6" x14ac:dyDescent="0.3">
      <c r="F7957" s="89" t="str">
        <v/>
      </c>
    </row>
    <row r="7958" spans="6:6" x14ac:dyDescent="0.3">
      <c r="F7958" s="89" t="str">
        <v/>
      </c>
    </row>
    <row r="7959" spans="6:6" x14ac:dyDescent="0.3">
      <c r="F7959" s="89" t="str">
        <v/>
      </c>
    </row>
    <row r="7960" spans="6:6" x14ac:dyDescent="0.3">
      <c r="F7960" s="89" t="str">
        <v/>
      </c>
    </row>
    <row r="7961" spans="6:6" x14ac:dyDescent="0.3">
      <c r="F7961" s="89" t="str">
        <v/>
      </c>
    </row>
    <row r="7962" spans="6:6" x14ac:dyDescent="0.3">
      <c r="F7962" s="89" t="str">
        <v/>
      </c>
    </row>
    <row r="7963" spans="6:6" x14ac:dyDescent="0.3">
      <c r="F7963" s="89" t="str">
        <v/>
      </c>
    </row>
    <row r="7964" spans="6:6" x14ac:dyDescent="0.3">
      <c r="F7964" s="89" t="str">
        <v/>
      </c>
    </row>
    <row r="7965" spans="6:6" x14ac:dyDescent="0.3">
      <c r="F7965" s="89" t="str">
        <v/>
      </c>
    </row>
    <row r="7966" spans="6:6" x14ac:dyDescent="0.3">
      <c r="F7966" s="89" t="str">
        <v/>
      </c>
    </row>
    <row r="7967" spans="6:6" x14ac:dyDescent="0.3">
      <c r="F7967" s="89" t="str">
        <v/>
      </c>
    </row>
    <row r="7968" spans="6:6" x14ac:dyDescent="0.3">
      <c r="F7968" s="89" t="str">
        <v/>
      </c>
    </row>
    <row r="7969" spans="6:6" x14ac:dyDescent="0.3">
      <c r="F7969" s="89" t="str">
        <v/>
      </c>
    </row>
    <row r="7970" spans="6:6" x14ac:dyDescent="0.3">
      <c r="F7970" s="89" t="str">
        <v/>
      </c>
    </row>
    <row r="7971" spans="6:6" x14ac:dyDescent="0.3">
      <c r="F7971" s="89" t="str">
        <v/>
      </c>
    </row>
    <row r="7972" spans="6:6" x14ac:dyDescent="0.3">
      <c r="F7972" s="89" t="str">
        <v/>
      </c>
    </row>
    <row r="7973" spans="6:6" x14ac:dyDescent="0.3">
      <c r="F7973" s="89" t="str">
        <v/>
      </c>
    </row>
    <row r="7974" spans="6:6" x14ac:dyDescent="0.3">
      <c r="F7974" s="89" t="str">
        <v/>
      </c>
    </row>
    <row r="7975" spans="6:6" x14ac:dyDescent="0.3">
      <c r="F7975" s="89" t="str">
        <v/>
      </c>
    </row>
    <row r="7976" spans="6:6" x14ac:dyDescent="0.3">
      <c r="F7976" s="89" t="str">
        <v/>
      </c>
    </row>
    <row r="7977" spans="6:6" x14ac:dyDescent="0.3">
      <c r="F7977" s="89" t="str">
        <v/>
      </c>
    </row>
    <row r="7978" spans="6:6" x14ac:dyDescent="0.3">
      <c r="F7978" s="89" t="str">
        <v/>
      </c>
    </row>
    <row r="7979" spans="6:6" x14ac:dyDescent="0.3">
      <c r="F7979" s="89" t="str">
        <v/>
      </c>
    </row>
    <row r="7980" spans="6:6" x14ac:dyDescent="0.3">
      <c r="F7980" s="89" t="str">
        <v/>
      </c>
    </row>
    <row r="7981" spans="6:6" x14ac:dyDescent="0.3">
      <c r="F7981" s="89" t="str">
        <v/>
      </c>
    </row>
    <row r="7982" spans="6:6" x14ac:dyDescent="0.3">
      <c r="F7982" s="89" t="str">
        <v/>
      </c>
    </row>
    <row r="7983" spans="6:6" x14ac:dyDescent="0.3">
      <c r="F7983" s="89" t="str">
        <v/>
      </c>
    </row>
    <row r="7984" spans="6:6" x14ac:dyDescent="0.3">
      <c r="F7984" s="89" t="str">
        <v/>
      </c>
    </row>
    <row r="7985" spans="6:6" x14ac:dyDescent="0.3">
      <c r="F7985" s="89" t="str">
        <v/>
      </c>
    </row>
    <row r="7986" spans="6:6" x14ac:dyDescent="0.3">
      <c r="F7986" s="89" t="str">
        <v/>
      </c>
    </row>
    <row r="7987" spans="6:6" x14ac:dyDescent="0.3">
      <c r="F7987" s="89" t="str">
        <v/>
      </c>
    </row>
    <row r="7988" spans="6:6" x14ac:dyDescent="0.3">
      <c r="F7988" s="89" t="str">
        <v/>
      </c>
    </row>
    <row r="7989" spans="6:6" x14ac:dyDescent="0.3">
      <c r="F7989" s="89" t="str">
        <v/>
      </c>
    </row>
    <row r="7990" spans="6:6" x14ac:dyDescent="0.3">
      <c r="F7990" s="89" t="str">
        <v/>
      </c>
    </row>
    <row r="7991" spans="6:6" x14ac:dyDescent="0.3">
      <c r="F7991" s="89" t="str">
        <v/>
      </c>
    </row>
    <row r="7992" spans="6:6" x14ac:dyDescent="0.3">
      <c r="F7992" s="89" t="str">
        <v/>
      </c>
    </row>
    <row r="7993" spans="6:6" x14ac:dyDescent="0.3">
      <c r="F7993" s="89" t="str">
        <v/>
      </c>
    </row>
    <row r="7994" spans="6:6" x14ac:dyDescent="0.3">
      <c r="F7994" s="89" t="str">
        <v/>
      </c>
    </row>
    <row r="7995" spans="6:6" x14ac:dyDescent="0.3">
      <c r="F7995" s="89" t="str">
        <v/>
      </c>
    </row>
    <row r="7996" spans="6:6" x14ac:dyDescent="0.3">
      <c r="F7996" s="89" t="str">
        <v/>
      </c>
    </row>
    <row r="7997" spans="6:6" x14ac:dyDescent="0.3">
      <c r="F7997" s="89" t="str">
        <v/>
      </c>
    </row>
    <row r="7998" spans="6:6" x14ac:dyDescent="0.3">
      <c r="F7998" s="89" t="str">
        <v/>
      </c>
    </row>
    <row r="7999" spans="6:6" x14ac:dyDescent="0.3">
      <c r="F7999" s="89" t="str">
        <v/>
      </c>
    </row>
    <row r="8000" spans="6:6" x14ac:dyDescent="0.3">
      <c r="F8000" s="89" t="str">
        <v/>
      </c>
    </row>
    <row r="8001" spans="6:6" x14ac:dyDescent="0.3">
      <c r="F8001" s="89" t="str">
        <v/>
      </c>
    </row>
    <row r="8002" spans="6:6" x14ac:dyDescent="0.3">
      <c r="F8002" s="89" t="str">
        <v/>
      </c>
    </row>
    <row r="8003" spans="6:6" x14ac:dyDescent="0.3">
      <c r="F8003" s="89" t="str">
        <v/>
      </c>
    </row>
    <row r="8004" spans="6:6" x14ac:dyDescent="0.3">
      <c r="F8004" s="89" t="str">
        <v/>
      </c>
    </row>
    <row r="8005" spans="6:6" x14ac:dyDescent="0.3">
      <c r="F8005" s="89" t="str">
        <v/>
      </c>
    </row>
    <row r="8006" spans="6:6" x14ac:dyDescent="0.3">
      <c r="F8006" s="89" t="str">
        <v/>
      </c>
    </row>
    <row r="8007" spans="6:6" x14ac:dyDescent="0.3">
      <c r="F8007" s="89" t="str">
        <v/>
      </c>
    </row>
    <row r="8008" spans="6:6" x14ac:dyDescent="0.3">
      <c r="F8008" s="89" t="str">
        <v/>
      </c>
    </row>
    <row r="8009" spans="6:6" x14ac:dyDescent="0.3">
      <c r="F8009" s="89" t="str">
        <v/>
      </c>
    </row>
    <row r="8010" spans="6:6" x14ac:dyDescent="0.3">
      <c r="F8010" s="89" t="str">
        <v/>
      </c>
    </row>
    <row r="8011" spans="6:6" x14ac:dyDescent="0.3">
      <c r="F8011" s="89" t="str">
        <v/>
      </c>
    </row>
    <row r="8012" spans="6:6" x14ac:dyDescent="0.3">
      <c r="F8012" s="89" t="str">
        <v/>
      </c>
    </row>
    <row r="8013" spans="6:6" x14ac:dyDescent="0.3">
      <c r="F8013" s="89" t="str">
        <v/>
      </c>
    </row>
    <row r="8014" spans="6:6" x14ac:dyDescent="0.3">
      <c r="F8014" s="89" t="str">
        <v/>
      </c>
    </row>
    <row r="8015" spans="6:6" x14ac:dyDescent="0.3">
      <c r="F8015" s="89" t="str">
        <v/>
      </c>
    </row>
    <row r="8016" spans="6:6" x14ac:dyDescent="0.3">
      <c r="F8016" s="89" t="str">
        <v/>
      </c>
    </row>
    <row r="8017" spans="6:6" x14ac:dyDescent="0.3">
      <c r="F8017" s="89" t="str">
        <v/>
      </c>
    </row>
    <row r="8018" spans="6:6" x14ac:dyDescent="0.3">
      <c r="F8018" s="89" t="str">
        <v/>
      </c>
    </row>
    <row r="8019" spans="6:6" x14ac:dyDescent="0.3">
      <c r="F8019" s="89" t="str">
        <v/>
      </c>
    </row>
    <row r="8020" spans="6:6" x14ac:dyDescent="0.3">
      <c r="F8020" s="89" t="str">
        <v/>
      </c>
    </row>
    <row r="8021" spans="6:6" x14ac:dyDescent="0.3">
      <c r="F8021" s="89" t="str">
        <v/>
      </c>
    </row>
    <row r="8022" spans="6:6" x14ac:dyDescent="0.3">
      <c r="F8022" s="89" t="str">
        <v/>
      </c>
    </row>
    <row r="8023" spans="6:6" x14ac:dyDescent="0.3">
      <c r="F8023" s="89" t="str">
        <v/>
      </c>
    </row>
    <row r="8024" spans="6:6" x14ac:dyDescent="0.3">
      <c r="F8024" s="89" t="str">
        <v/>
      </c>
    </row>
    <row r="8025" spans="6:6" x14ac:dyDescent="0.3">
      <c r="F8025" s="89" t="str">
        <v/>
      </c>
    </row>
    <row r="8026" spans="6:6" x14ac:dyDescent="0.3">
      <c r="F8026" s="89" t="str">
        <v/>
      </c>
    </row>
    <row r="8027" spans="6:6" x14ac:dyDescent="0.3">
      <c r="F8027" s="89" t="str">
        <v/>
      </c>
    </row>
    <row r="8028" spans="6:6" x14ac:dyDescent="0.3">
      <c r="F8028" s="89" t="str">
        <v/>
      </c>
    </row>
    <row r="8029" spans="6:6" x14ac:dyDescent="0.3">
      <c r="F8029" s="89" t="str">
        <v/>
      </c>
    </row>
    <row r="8030" spans="6:6" x14ac:dyDescent="0.3">
      <c r="F8030" s="89" t="str">
        <v/>
      </c>
    </row>
    <row r="8031" spans="6:6" x14ac:dyDescent="0.3">
      <c r="F8031" s="89" t="str">
        <v/>
      </c>
    </row>
    <row r="8032" spans="6:6" x14ac:dyDescent="0.3">
      <c r="F8032" s="89" t="str">
        <v/>
      </c>
    </row>
    <row r="8033" spans="6:6" x14ac:dyDescent="0.3">
      <c r="F8033" s="89" t="str">
        <v/>
      </c>
    </row>
    <row r="8034" spans="6:6" x14ac:dyDescent="0.3">
      <c r="F8034" s="89" t="str">
        <v/>
      </c>
    </row>
    <row r="8035" spans="6:6" x14ac:dyDescent="0.3">
      <c r="F8035" s="89" t="str">
        <v/>
      </c>
    </row>
    <row r="8036" spans="6:6" x14ac:dyDescent="0.3">
      <c r="F8036" s="89" t="str">
        <v/>
      </c>
    </row>
    <row r="8037" spans="6:6" x14ac:dyDescent="0.3">
      <c r="F8037" s="89" t="str">
        <v/>
      </c>
    </row>
    <row r="8038" spans="6:6" x14ac:dyDescent="0.3">
      <c r="F8038" s="89" t="str">
        <v/>
      </c>
    </row>
    <row r="8039" spans="6:6" x14ac:dyDescent="0.3">
      <c r="F8039" s="89" t="str">
        <v/>
      </c>
    </row>
    <row r="8040" spans="6:6" x14ac:dyDescent="0.3">
      <c r="F8040" s="89" t="str">
        <v/>
      </c>
    </row>
    <row r="8041" spans="6:6" x14ac:dyDescent="0.3">
      <c r="F8041" s="89" t="str">
        <v/>
      </c>
    </row>
    <row r="8042" spans="6:6" x14ac:dyDescent="0.3">
      <c r="F8042" s="89" t="str">
        <v/>
      </c>
    </row>
    <row r="8043" spans="6:6" x14ac:dyDescent="0.3">
      <c r="F8043" s="89" t="str">
        <v/>
      </c>
    </row>
    <row r="8044" spans="6:6" x14ac:dyDescent="0.3">
      <c r="F8044" s="89" t="str">
        <v/>
      </c>
    </row>
    <row r="8045" spans="6:6" x14ac:dyDescent="0.3">
      <c r="F8045" s="89" t="str">
        <v/>
      </c>
    </row>
    <row r="8046" spans="6:6" x14ac:dyDescent="0.3">
      <c r="F8046" s="89" t="str">
        <v/>
      </c>
    </row>
    <row r="8047" spans="6:6" x14ac:dyDescent="0.3">
      <c r="F8047" s="89" t="str">
        <v/>
      </c>
    </row>
    <row r="8048" spans="6:6" x14ac:dyDescent="0.3">
      <c r="F8048" s="89" t="str">
        <v/>
      </c>
    </row>
    <row r="8049" spans="6:6" x14ac:dyDescent="0.3">
      <c r="F8049" s="89" t="str">
        <v/>
      </c>
    </row>
    <row r="8050" spans="6:6" x14ac:dyDescent="0.3">
      <c r="F8050" s="89" t="str">
        <v/>
      </c>
    </row>
    <row r="8051" spans="6:6" x14ac:dyDescent="0.3">
      <c r="F8051" s="89" t="str">
        <v/>
      </c>
    </row>
    <row r="8052" spans="6:6" x14ac:dyDescent="0.3">
      <c r="F8052" s="89" t="str">
        <v/>
      </c>
    </row>
    <row r="8053" spans="6:6" x14ac:dyDescent="0.3">
      <c r="F8053" s="89" t="str">
        <v/>
      </c>
    </row>
    <row r="8054" spans="6:6" x14ac:dyDescent="0.3">
      <c r="F8054" s="89" t="str">
        <v/>
      </c>
    </row>
    <row r="8055" spans="6:6" x14ac:dyDescent="0.3">
      <c r="F8055" s="89" t="str">
        <v/>
      </c>
    </row>
    <row r="8056" spans="6:6" x14ac:dyDescent="0.3">
      <c r="F8056" s="89" t="str">
        <v/>
      </c>
    </row>
    <row r="8057" spans="6:6" x14ac:dyDescent="0.3">
      <c r="F8057" s="89" t="str">
        <v/>
      </c>
    </row>
    <row r="8058" spans="6:6" x14ac:dyDescent="0.3">
      <c r="F8058" s="89" t="str">
        <v/>
      </c>
    </row>
    <row r="8059" spans="6:6" x14ac:dyDescent="0.3">
      <c r="F8059" s="89" t="str">
        <v/>
      </c>
    </row>
    <row r="8060" spans="6:6" x14ac:dyDescent="0.3">
      <c r="F8060" s="89" t="str">
        <v/>
      </c>
    </row>
    <row r="8061" spans="6:6" x14ac:dyDescent="0.3">
      <c r="F8061" s="89" t="str">
        <v/>
      </c>
    </row>
    <row r="8062" spans="6:6" x14ac:dyDescent="0.3">
      <c r="F8062" s="89" t="str">
        <v/>
      </c>
    </row>
    <row r="8063" spans="6:6" x14ac:dyDescent="0.3">
      <c r="F8063" s="89" t="str">
        <v/>
      </c>
    </row>
    <row r="8064" spans="6:6" x14ac:dyDescent="0.3">
      <c r="F8064" s="89" t="str">
        <v/>
      </c>
    </row>
    <row r="8065" spans="6:6" x14ac:dyDescent="0.3">
      <c r="F8065" s="89" t="str">
        <v/>
      </c>
    </row>
    <row r="8066" spans="6:6" x14ac:dyDescent="0.3">
      <c r="F8066" s="89" t="str">
        <v/>
      </c>
    </row>
    <row r="8067" spans="6:6" x14ac:dyDescent="0.3">
      <c r="F8067" s="89" t="str">
        <v/>
      </c>
    </row>
    <row r="8068" spans="6:6" x14ac:dyDescent="0.3">
      <c r="F8068" s="89" t="str">
        <v/>
      </c>
    </row>
    <row r="8069" spans="6:6" x14ac:dyDescent="0.3">
      <c r="F8069" s="89" t="str">
        <v/>
      </c>
    </row>
    <row r="8070" spans="6:6" x14ac:dyDescent="0.3">
      <c r="F8070" s="89" t="str">
        <v/>
      </c>
    </row>
    <row r="8071" spans="6:6" x14ac:dyDescent="0.3">
      <c r="F8071" s="89" t="str">
        <v/>
      </c>
    </row>
    <row r="8072" spans="6:6" x14ac:dyDescent="0.3">
      <c r="F8072" s="89" t="str">
        <v/>
      </c>
    </row>
    <row r="8073" spans="6:6" x14ac:dyDescent="0.3">
      <c r="F8073" s="89" t="str">
        <v/>
      </c>
    </row>
    <row r="8074" spans="6:6" x14ac:dyDescent="0.3">
      <c r="F8074" s="89" t="str">
        <v/>
      </c>
    </row>
    <row r="8075" spans="6:6" x14ac:dyDescent="0.3">
      <c r="F8075" s="89" t="str">
        <v/>
      </c>
    </row>
    <row r="8076" spans="6:6" x14ac:dyDescent="0.3">
      <c r="F8076" s="89" t="str">
        <v/>
      </c>
    </row>
    <row r="8077" spans="6:6" x14ac:dyDescent="0.3">
      <c r="F8077" s="89" t="str">
        <v/>
      </c>
    </row>
    <row r="8078" spans="6:6" x14ac:dyDescent="0.3">
      <c r="F8078" s="89" t="str">
        <v/>
      </c>
    </row>
    <row r="8079" spans="6:6" x14ac:dyDescent="0.3">
      <c r="F8079" s="89" t="str">
        <v/>
      </c>
    </row>
    <row r="8080" spans="6:6" x14ac:dyDescent="0.3">
      <c r="F8080" s="89" t="str">
        <v/>
      </c>
    </row>
    <row r="8081" spans="6:6" x14ac:dyDescent="0.3">
      <c r="F8081" s="89" t="str">
        <v/>
      </c>
    </row>
    <row r="8082" spans="6:6" x14ac:dyDescent="0.3">
      <c r="F8082" s="89" t="str">
        <v/>
      </c>
    </row>
    <row r="8083" spans="6:6" x14ac:dyDescent="0.3">
      <c r="F8083" s="89" t="str">
        <v/>
      </c>
    </row>
    <row r="8084" spans="6:6" x14ac:dyDescent="0.3">
      <c r="F8084" s="89" t="str">
        <v/>
      </c>
    </row>
    <row r="8085" spans="6:6" x14ac:dyDescent="0.3">
      <c r="F8085" s="89" t="str">
        <v/>
      </c>
    </row>
    <row r="8086" spans="6:6" x14ac:dyDescent="0.3">
      <c r="F8086" s="89" t="str">
        <v/>
      </c>
    </row>
    <row r="8087" spans="6:6" x14ac:dyDescent="0.3">
      <c r="F8087" s="89" t="str">
        <v/>
      </c>
    </row>
    <row r="8088" spans="6:6" x14ac:dyDescent="0.3">
      <c r="F8088" s="89" t="str">
        <v/>
      </c>
    </row>
    <row r="8089" spans="6:6" x14ac:dyDescent="0.3">
      <c r="F8089" s="89" t="str">
        <v/>
      </c>
    </row>
    <row r="8090" spans="6:6" x14ac:dyDescent="0.3">
      <c r="F8090" s="89" t="str">
        <v/>
      </c>
    </row>
    <row r="8091" spans="6:6" x14ac:dyDescent="0.3">
      <c r="F8091" s="89" t="str">
        <v/>
      </c>
    </row>
    <row r="8092" spans="6:6" x14ac:dyDescent="0.3">
      <c r="F8092" s="89" t="str">
        <v/>
      </c>
    </row>
    <row r="8093" spans="6:6" x14ac:dyDescent="0.3">
      <c r="F8093" s="89" t="str">
        <v/>
      </c>
    </row>
    <row r="8094" spans="6:6" x14ac:dyDescent="0.3">
      <c r="F8094" s="89" t="str">
        <v/>
      </c>
    </row>
    <row r="8095" spans="6:6" x14ac:dyDescent="0.3">
      <c r="F8095" s="89" t="str">
        <v/>
      </c>
    </row>
    <row r="8096" spans="6:6" x14ac:dyDescent="0.3">
      <c r="F8096" s="89" t="str">
        <v/>
      </c>
    </row>
    <row r="8097" spans="6:6" x14ac:dyDescent="0.3">
      <c r="F8097" s="89" t="str">
        <v/>
      </c>
    </row>
    <row r="8098" spans="6:6" x14ac:dyDescent="0.3">
      <c r="F8098" s="89" t="str">
        <v/>
      </c>
    </row>
    <row r="8099" spans="6:6" x14ac:dyDescent="0.3">
      <c r="F8099" s="89" t="str">
        <v/>
      </c>
    </row>
    <row r="8100" spans="6:6" x14ac:dyDescent="0.3">
      <c r="F8100" s="89" t="str">
        <v/>
      </c>
    </row>
    <row r="8101" spans="6:6" x14ac:dyDescent="0.3">
      <c r="F8101" s="89" t="str">
        <v/>
      </c>
    </row>
    <row r="8102" spans="6:6" x14ac:dyDescent="0.3">
      <c r="F8102" s="89" t="str">
        <v/>
      </c>
    </row>
    <row r="8103" spans="6:6" x14ac:dyDescent="0.3">
      <c r="F8103" s="89" t="str">
        <v/>
      </c>
    </row>
    <row r="8104" spans="6:6" x14ac:dyDescent="0.3">
      <c r="F8104" s="89" t="str">
        <v/>
      </c>
    </row>
    <row r="8105" spans="6:6" x14ac:dyDescent="0.3">
      <c r="F8105" s="89" t="str">
        <v/>
      </c>
    </row>
    <row r="8106" spans="6:6" x14ac:dyDescent="0.3">
      <c r="F8106" s="89" t="str">
        <v/>
      </c>
    </row>
    <row r="8107" spans="6:6" x14ac:dyDescent="0.3">
      <c r="F8107" s="89" t="str">
        <v/>
      </c>
    </row>
    <row r="8108" spans="6:6" x14ac:dyDescent="0.3">
      <c r="F8108" s="89" t="str">
        <v/>
      </c>
    </row>
    <row r="8109" spans="6:6" x14ac:dyDescent="0.3">
      <c r="F8109" s="89" t="str">
        <v/>
      </c>
    </row>
    <row r="8110" spans="6:6" x14ac:dyDescent="0.3">
      <c r="F8110" s="89" t="str">
        <v/>
      </c>
    </row>
    <row r="8111" spans="6:6" x14ac:dyDescent="0.3">
      <c r="F8111" s="89" t="str">
        <v/>
      </c>
    </row>
    <row r="8112" spans="6:6" x14ac:dyDescent="0.3">
      <c r="F8112" s="89" t="str">
        <v/>
      </c>
    </row>
    <row r="8113" spans="6:6" x14ac:dyDescent="0.3">
      <c r="F8113" s="89" t="str">
        <v/>
      </c>
    </row>
    <row r="8114" spans="6:6" x14ac:dyDescent="0.3">
      <c r="F8114" s="89" t="str">
        <v/>
      </c>
    </row>
    <row r="8115" spans="6:6" x14ac:dyDescent="0.3">
      <c r="F8115" s="89" t="str">
        <v/>
      </c>
    </row>
    <row r="8116" spans="6:6" x14ac:dyDescent="0.3">
      <c r="F8116" s="89" t="str">
        <v/>
      </c>
    </row>
    <row r="8117" spans="6:6" x14ac:dyDescent="0.3">
      <c r="F8117" s="89" t="str">
        <v/>
      </c>
    </row>
    <row r="8118" spans="6:6" x14ac:dyDescent="0.3">
      <c r="F8118" s="89" t="str">
        <v/>
      </c>
    </row>
    <row r="8119" spans="6:6" x14ac:dyDescent="0.3">
      <c r="F8119" s="89" t="str">
        <v/>
      </c>
    </row>
    <row r="8120" spans="6:6" x14ac:dyDescent="0.3">
      <c r="F8120" s="89" t="str">
        <v/>
      </c>
    </row>
    <row r="8121" spans="6:6" x14ac:dyDescent="0.3">
      <c r="F8121" s="89" t="str">
        <v/>
      </c>
    </row>
    <row r="8122" spans="6:6" x14ac:dyDescent="0.3">
      <c r="F8122" s="89" t="str">
        <v/>
      </c>
    </row>
    <row r="8123" spans="6:6" x14ac:dyDescent="0.3">
      <c r="F8123" s="89" t="str">
        <v/>
      </c>
    </row>
    <row r="8124" spans="6:6" x14ac:dyDescent="0.3">
      <c r="F8124" s="89" t="str">
        <v/>
      </c>
    </row>
    <row r="8125" spans="6:6" x14ac:dyDescent="0.3">
      <c r="F8125" s="89" t="str">
        <v/>
      </c>
    </row>
    <row r="8126" spans="6:6" x14ac:dyDescent="0.3">
      <c r="F8126" s="89" t="str">
        <v/>
      </c>
    </row>
    <row r="8127" spans="6:6" x14ac:dyDescent="0.3">
      <c r="F8127" s="89" t="str">
        <v/>
      </c>
    </row>
    <row r="8128" spans="6:6" x14ac:dyDescent="0.3">
      <c r="F8128" s="89" t="str">
        <v/>
      </c>
    </row>
    <row r="8129" spans="6:6" x14ac:dyDescent="0.3">
      <c r="F8129" s="89" t="str">
        <v/>
      </c>
    </row>
    <row r="8130" spans="6:6" x14ac:dyDescent="0.3">
      <c r="F8130" s="89" t="str">
        <v/>
      </c>
    </row>
    <row r="8131" spans="6:6" x14ac:dyDescent="0.3">
      <c r="F8131" s="89" t="str">
        <v/>
      </c>
    </row>
    <row r="8132" spans="6:6" x14ac:dyDescent="0.3">
      <c r="F8132" s="89" t="str">
        <v/>
      </c>
    </row>
    <row r="8133" spans="6:6" x14ac:dyDescent="0.3">
      <c r="F8133" s="89" t="str">
        <v/>
      </c>
    </row>
    <row r="8134" spans="6:6" x14ac:dyDescent="0.3">
      <c r="F8134" s="89" t="str">
        <v/>
      </c>
    </row>
    <row r="8135" spans="6:6" x14ac:dyDescent="0.3">
      <c r="F8135" s="89" t="str">
        <v/>
      </c>
    </row>
    <row r="8136" spans="6:6" x14ac:dyDescent="0.3">
      <c r="F8136" s="89" t="str">
        <v/>
      </c>
    </row>
    <row r="8137" spans="6:6" x14ac:dyDescent="0.3">
      <c r="F8137" s="89" t="str">
        <v/>
      </c>
    </row>
    <row r="8138" spans="6:6" x14ac:dyDescent="0.3">
      <c r="F8138" s="89" t="str">
        <v/>
      </c>
    </row>
    <row r="8139" spans="6:6" x14ac:dyDescent="0.3">
      <c r="F8139" s="89" t="str">
        <v/>
      </c>
    </row>
    <row r="8140" spans="6:6" x14ac:dyDescent="0.3">
      <c r="F8140" s="89" t="str">
        <v/>
      </c>
    </row>
    <row r="8141" spans="6:6" x14ac:dyDescent="0.3">
      <c r="F8141" s="89" t="str">
        <v/>
      </c>
    </row>
    <row r="8142" spans="6:6" x14ac:dyDescent="0.3">
      <c r="F8142" s="89" t="str">
        <v/>
      </c>
    </row>
    <row r="8143" spans="6:6" x14ac:dyDescent="0.3">
      <c r="F8143" s="89" t="str">
        <v/>
      </c>
    </row>
    <row r="8144" spans="6:6" x14ac:dyDescent="0.3">
      <c r="F8144" s="89" t="str">
        <v/>
      </c>
    </row>
    <row r="8145" spans="6:6" x14ac:dyDescent="0.3">
      <c r="F8145" s="89" t="str">
        <v/>
      </c>
    </row>
    <row r="8146" spans="6:6" x14ac:dyDescent="0.3">
      <c r="F8146" s="89" t="str">
        <v/>
      </c>
    </row>
    <row r="8147" spans="6:6" x14ac:dyDescent="0.3">
      <c r="F8147" s="89" t="str">
        <v/>
      </c>
    </row>
    <row r="8148" spans="6:6" x14ac:dyDescent="0.3">
      <c r="F8148" s="89" t="str">
        <v/>
      </c>
    </row>
    <row r="8149" spans="6:6" x14ac:dyDescent="0.3">
      <c r="F8149" s="89" t="str">
        <v/>
      </c>
    </row>
    <row r="8150" spans="6:6" x14ac:dyDescent="0.3">
      <c r="F8150" s="89" t="str">
        <v/>
      </c>
    </row>
    <row r="8151" spans="6:6" x14ac:dyDescent="0.3">
      <c r="F8151" s="89" t="str">
        <v/>
      </c>
    </row>
    <row r="8152" spans="6:6" x14ac:dyDescent="0.3">
      <c r="F8152" s="89" t="str">
        <v/>
      </c>
    </row>
    <row r="8153" spans="6:6" x14ac:dyDescent="0.3">
      <c r="F8153" s="89" t="str">
        <v/>
      </c>
    </row>
    <row r="8154" spans="6:6" x14ac:dyDescent="0.3">
      <c r="F8154" s="89" t="str">
        <v/>
      </c>
    </row>
    <row r="8155" spans="6:6" x14ac:dyDescent="0.3">
      <c r="F8155" s="89" t="str">
        <v/>
      </c>
    </row>
    <row r="8156" spans="6:6" x14ac:dyDescent="0.3">
      <c r="F8156" s="89" t="str">
        <v/>
      </c>
    </row>
    <row r="8157" spans="6:6" x14ac:dyDescent="0.3">
      <c r="F8157" s="89" t="str">
        <v/>
      </c>
    </row>
    <row r="8158" spans="6:6" x14ac:dyDescent="0.3">
      <c r="F8158" s="89" t="str">
        <v/>
      </c>
    </row>
    <row r="8159" spans="6:6" x14ac:dyDescent="0.3">
      <c r="F8159" s="89" t="str">
        <v/>
      </c>
    </row>
    <row r="8160" spans="6:6" x14ac:dyDescent="0.3">
      <c r="F8160" s="89" t="str">
        <v/>
      </c>
    </row>
    <row r="8161" spans="6:6" x14ac:dyDescent="0.3">
      <c r="F8161" s="89" t="str">
        <v/>
      </c>
    </row>
    <row r="8162" spans="6:6" x14ac:dyDescent="0.3">
      <c r="F8162" s="89" t="str">
        <v/>
      </c>
    </row>
    <row r="8163" spans="6:6" x14ac:dyDescent="0.3">
      <c r="F8163" s="89" t="str">
        <v/>
      </c>
    </row>
    <row r="8164" spans="6:6" x14ac:dyDescent="0.3">
      <c r="F8164" s="89" t="str">
        <v/>
      </c>
    </row>
    <row r="8165" spans="6:6" x14ac:dyDescent="0.3">
      <c r="F8165" s="89" t="str">
        <v/>
      </c>
    </row>
    <row r="8166" spans="6:6" x14ac:dyDescent="0.3">
      <c r="F8166" s="89" t="str">
        <v/>
      </c>
    </row>
    <row r="8167" spans="6:6" x14ac:dyDescent="0.3">
      <c r="F8167" s="89" t="str">
        <v/>
      </c>
    </row>
    <row r="8168" spans="6:6" x14ac:dyDescent="0.3">
      <c r="F8168" s="89" t="str">
        <v/>
      </c>
    </row>
    <row r="8169" spans="6:6" x14ac:dyDescent="0.3">
      <c r="F8169" s="89" t="str">
        <v/>
      </c>
    </row>
    <row r="8170" spans="6:6" x14ac:dyDescent="0.3">
      <c r="F8170" s="89" t="str">
        <v/>
      </c>
    </row>
    <row r="8171" spans="6:6" x14ac:dyDescent="0.3">
      <c r="F8171" s="89" t="str">
        <v/>
      </c>
    </row>
    <row r="8172" spans="6:6" x14ac:dyDescent="0.3">
      <c r="F8172" s="89" t="str">
        <v/>
      </c>
    </row>
    <row r="8173" spans="6:6" x14ac:dyDescent="0.3">
      <c r="F8173" s="89" t="str">
        <v/>
      </c>
    </row>
    <row r="8174" spans="6:6" x14ac:dyDescent="0.3">
      <c r="F8174" s="89" t="str">
        <v/>
      </c>
    </row>
    <row r="8175" spans="6:6" x14ac:dyDescent="0.3">
      <c r="F8175" s="89" t="str">
        <v/>
      </c>
    </row>
    <row r="8176" spans="6:6" x14ac:dyDescent="0.3">
      <c r="F8176" s="89" t="str">
        <v/>
      </c>
    </row>
    <row r="8177" spans="6:6" x14ac:dyDescent="0.3">
      <c r="F8177" s="89" t="str">
        <v/>
      </c>
    </row>
    <row r="8178" spans="6:6" x14ac:dyDescent="0.3">
      <c r="F8178" s="89" t="str">
        <v/>
      </c>
    </row>
    <row r="8179" spans="6:6" x14ac:dyDescent="0.3">
      <c r="F8179" s="89" t="str">
        <v/>
      </c>
    </row>
    <row r="8180" spans="6:6" x14ac:dyDescent="0.3">
      <c r="F8180" s="89" t="str">
        <v/>
      </c>
    </row>
    <row r="8181" spans="6:6" x14ac:dyDescent="0.3">
      <c r="F8181" s="89" t="str">
        <v/>
      </c>
    </row>
    <row r="8182" spans="6:6" x14ac:dyDescent="0.3">
      <c r="F8182" s="89" t="str">
        <v/>
      </c>
    </row>
    <row r="8183" spans="6:6" x14ac:dyDescent="0.3">
      <c r="F8183" s="89" t="str">
        <v/>
      </c>
    </row>
    <row r="8184" spans="6:6" x14ac:dyDescent="0.3">
      <c r="F8184" s="89" t="str">
        <v/>
      </c>
    </row>
    <row r="8185" spans="6:6" x14ac:dyDescent="0.3">
      <c r="F8185" s="89" t="str">
        <v/>
      </c>
    </row>
    <row r="8186" spans="6:6" x14ac:dyDescent="0.3">
      <c r="F8186" s="89" t="str">
        <v/>
      </c>
    </row>
    <row r="8187" spans="6:6" x14ac:dyDescent="0.3">
      <c r="F8187" s="89" t="str">
        <v/>
      </c>
    </row>
    <row r="8188" spans="6:6" x14ac:dyDescent="0.3">
      <c r="F8188" s="89" t="str">
        <v/>
      </c>
    </row>
    <row r="8189" spans="6:6" x14ac:dyDescent="0.3">
      <c r="F8189" s="89" t="str">
        <v/>
      </c>
    </row>
    <row r="8190" spans="6:6" x14ac:dyDescent="0.3">
      <c r="F8190" s="89" t="str">
        <v/>
      </c>
    </row>
    <row r="8191" spans="6:6" x14ac:dyDescent="0.3">
      <c r="F8191" s="89" t="str">
        <v/>
      </c>
    </row>
    <row r="8192" spans="6:6" x14ac:dyDescent="0.3">
      <c r="F8192" s="89" t="str">
        <v/>
      </c>
    </row>
    <row r="8193" spans="6:6" x14ac:dyDescent="0.3">
      <c r="F8193" s="89" t="str">
        <v/>
      </c>
    </row>
    <row r="8194" spans="6:6" x14ac:dyDescent="0.3">
      <c r="F8194" s="89" t="str">
        <v/>
      </c>
    </row>
    <row r="8195" spans="6:6" x14ac:dyDescent="0.3">
      <c r="F8195" s="89" t="str">
        <v/>
      </c>
    </row>
    <row r="8196" spans="6:6" x14ac:dyDescent="0.3">
      <c r="F8196" s="89" t="str">
        <v/>
      </c>
    </row>
    <row r="8197" spans="6:6" x14ac:dyDescent="0.3">
      <c r="F8197" s="89" t="str">
        <v/>
      </c>
    </row>
    <row r="8198" spans="6:6" x14ac:dyDescent="0.3">
      <c r="F8198" s="89" t="str">
        <v/>
      </c>
    </row>
    <row r="8199" spans="6:6" x14ac:dyDescent="0.3">
      <c r="F8199" s="89" t="str">
        <v/>
      </c>
    </row>
    <row r="8200" spans="6:6" x14ac:dyDescent="0.3">
      <c r="F8200" s="89" t="str">
        <v/>
      </c>
    </row>
    <row r="8201" spans="6:6" x14ac:dyDescent="0.3">
      <c r="F8201" s="89" t="str">
        <v/>
      </c>
    </row>
    <row r="8202" spans="6:6" x14ac:dyDescent="0.3">
      <c r="F8202" s="89" t="str">
        <v/>
      </c>
    </row>
    <row r="8203" spans="6:6" x14ac:dyDescent="0.3">
      <c r="F8203" s="89" t="str">
        <v/>
      </c>
    </row>
    <row r="8204" spans="6:6" x14ac:dyDescent="0.3">
      <c r="F8204" s="89" t="str">
        <v/>
      </c>
    </row>
    <row r="8205" spans="6:6" x14ac:dyDescent="0.3">
      <c r="F8205" s="89" t="str">
        <v/>
      </c>
    </row>
    <row r="8206" spans="6:6" x14ac:dyDescent="0.3">
      <c r="F8206" s="89" t="str">
        <v/>
      </c>
    </row>
    <row r="8207" spans="6:6" x14ac:dyDescent="0.3">
      <c r="F8207" s="89" t="str">
        <v/>
      </c>
    </row>
    <row r="8208" spans="6:6" x14ac:dyDescent="0.3">
      <c r="F8208" s="89" t="str">
        <v/>
      </c>
    </row>
    <row r="8209" spans="6:6" x14ac:dyDescent="0.3">
      <c r="F8209" s="89" t="str">
        <v/>
      </c>
    </row>
    <row r="8210" spans="6:6" x14ac:dyDescent="0.3">
      <c r="F8210" s="89" t="str">
        <v/>
      </c>
    </row>
    <row r="8211" spans="6:6" x14ac:dyDescent="0.3">
      <c r="F8211" s="89" t="str">
        <v/>
      </c>
    </row>
    <row r="8212" spans="6:6" x14ac:dyDescent="0.3">
      <c r="F8212" s="89" t="str">
        <v/>
      </c>
    </row>
    <row r="8213" spans="6:6" x14ac:dyDescent="0.3">
      <c r="F8213" s="89" t="str">
        <v/>
      </c>
    </row>
    <row r="8214" spans="6:6" x14ac:dyDescent="0.3">
      <c r="F8214" s="89" t="str">
        <v/>
      </c>
    </row>
    <row r="8215" spans="6:6" x14ac:dyDescent="0.3">
      <c r="F8215" s="89" t="str">
        <v/>
      </c>
    </row>
    <row r="8216" spans="6:6" x14ac:dyDescent="0.3">
      <c r="F8216" s="89" t="str">
        <v/>
      </c>
    </row>
    <row r="8217" spans="6:6" x14ac:dyDescent="0.3">
      <c r="F8217" s="89" t="str">
        <v/>
      </c>
    </row>
    <row r="8218" spans="6:6" x14ac:dyDescent="0.3">
      <c r="F8218" s="89" t="str">
        <v/>
      </c>
    </row>
    <row r="8219" spans="6:6" x14ac:dyDescent="0.3">
      <c r="F8219" s="89" t="str">
        <v/>
      </c>
    </row>
    <row r="8220" spans="6:6" x14ac:dyDescent="0.3">
      <c r="F8220" s="89" t="str">
        <v/>
      </c>
    </row>
    <row r="8221" spans="6:6" x14ac:dyDescent="0.3">
      <c r="F8221" s="89" t="str">
        <v/>
      </c>
    </row>
    <row r="8222" spans="6:6" x14ac:dyDescent="0.3">
      <c r="F8222" s="89" t="str">
        <v/>
      </c>
    </row>
    <row r="8223" spans="6:6" x14ac:dyDescent="0.3">
      <c r="F8223" s="89" t="str">
        <v/>
      </c>
    </row>
    <row r="8224" spans="6:6" x14ac:dyDescent="0.3">
      <c r="F8224" s="89" t="str">
        <v/>
      </c>
    </row>
    <row r="8225" spans="6:6" x14ac:dyDescent="0.3">
      <c r="F8225" s="89" t="str">
        <v/>
      </c>
    </row>
    <row r="8226" spans="6:6" x14ac:dyDescent="0.3">
      <c r="F8226" s="89" t="str">
        <v/>
      </c>
    </row>
    <row r="8227" spans="6:6" x14ac:dyDescent="0.3">
      <c r="F8227" s="89" t="str">
        <v/>
      </c>
    </row>
    <row r="8228" spans="6:6" x14ac:dyDescent="0.3">
      <c r="F8228" s="89" t="str">
        <v/>
      </c>
    </row>
    <row r="8229" spans="6:6" x14ac:dyDescent="0.3">
      <c r="F8229" s="89" t="str">
        <v/>
      </c>
    </row>
    <row r="8230" spans="6:6" x14ac:dyDescent="0.3">
      <c r="F8230" s="89" t="str">
        <v/>
      </c>
    </row>
    <row r="8231" spans="6:6" x14ac:dyDescent="0.3">
      <c r="F8231" s="89" t="str">
        <v/>
      </c>
    </row>
    <row r="8232" spans="6:6" x14ac:dyDescent="0.3">
      <c r="F8232" s="89" t="str">
        <v/>
      </c>
    </row>
    <row r="8233" spans="6:6" x14ac:dyDescent="0.3">
      <c r="F8233" s="89" t="str">
        <v/>
      </c>
    </row>
    <row r="8234" spans="6:6" x14ac:dyDescent="0.3">
      <c r="F8234" s="89" t="str">
        <v/>
      </c>
    </row>
    <row r="8235" spans="6:6" x14ac:dyDescent="0.3">
      <c r="F8235" s="89" t="str">
        <v/>
      </c>
    </row>
    <row r="8236" spans="6:6" x14ac:dyDescent="0.3">
      <c r="F8236" s="89" t="str">
        <v/>
      </c>
    </row>
    <row r="8237" spans="6:6" x14ac:dyDescent="0.3">
      <c r="F8237" s="89" t="str">
        <v/>
      </c>
    </row>
    <row r="8238" spans="6:6" x14ac:dyDescent="0.3">
      <c r="F8238" s="89" t="str">
        <v/>
      </c>
    </row>
    <row r="8239" spans="6:6" x14ac:dyDescent="0.3">
      <c r="F8239" s="89" t="str">
        <v/>
      </c>
    </row>
    <row r="8240" spans="6:6" x14ac:dyDescent="0.3">
      <c r="F8240" s="89" t="str">
        <v/>
      </c>
    </row>
    <row r="8241" spans="6:6" x14ac:dyDescent="0.3">
      <c r="F8241" s="89" t="str">
        <v/>
      </c>
    </row>
    <row r="8242" spans="6:6" x14ac:dyDescent="0.3">
      <c r="F8242" s="89" t="str">
        <v/>
      </c>
    </row>
    <row r="8243" spans="6:6" x14ac:dyDescent="0.3">
      <c r="F8243" s="89" t="str">
        <v/>
      </c>
    </row>
    <row r="8244" spans="6:6" x14ac:dyDescent="0.3">
      <c r="F8244" s="89" t="str">
        <v/>
      </c>
    </row>
    <row r="8245" spans="6:6" x14ac:dyDescent="0.3">
      <c r="F8245" s="89" t="str">
        <v/>
      </c>
    </row>
    <row r="8246" spans="6:6" x14ac:dyDescent="0.3">
      <c r="F8246" s="89" t="str">
        <v/>
      </c>
    </row>
    <row r="8247" spans="6:6" x14ac:dyDescent="0.3">
      <c r="F8247" s="89" t="str">
        <v/>
      </c>
    </row>
    <row r="8248" spans="6:6" x14ac:dyDescent="0.3">
      <c r="F8248" s="89" t="str">
        <v/>
      </c>
    </row>
    <row r="8249" spans="6:6" x14ac:dyDescent="0.3">
      <c r="F8249" s="89" t="str">
        <v/>
      </c>
    </row>
    <row r="8250" spans="6:6" x14ac:dyDescent="0.3">
      <c r="F8250" s="89" t="str">
        <v/>
      </c>
    </row>
    <row r="8251" spans="6:6" x14ac:dyDescent="0.3">
      <c r="F8251" s="89" t="str">
        <v/>
      </c>
    </row>
    <row r="8252" spans="6:6" x14ac:dyDescent="0.3">
      <c r="F8252" s="89" t="str">
        <v/>
      </c>
    </row>
    <row r="8253" spans="6:6" x14ac:dyDescent="0.3">
      <c r="F8253" s="89" t="str">
        <v/>
      </c>
    </row>
    <row r="8254" spans="6:6" x14ac:dyDescent="0.3">
      <c r="F8254" s="89" t="str">
        <v/>
      </c>
    </row>
    <row r="8255" spans="6:6" x14ac:dyDescent="0.3">
      <c r="F8255" s="89" t="str">
        <v/>
      </c>
    </row>
    <row r="8256" spans="6:6" x14ac:dyDescent="0.3">
      <c r="F8256" s="89" t="str">
        <v/>
      </c>
    </row>
    <row r="8257" spans="6:6" x14ac:dyDescent="0.3">
      <c r="F8257" s="89" t="str">
        <v/>
      </c>
    </row>
    <row r="8258" spans="6:6" x14ac:dyDescent="0.3">
      <c r="F8258" s="89" t="str">
        <v/>
      </c>
    </row>
    <row r="8259" spans="6:6" x14ac:dyDescent="0.3">
      <c r="F8259" s="89" t="str">
        <v/>
      </c>
    </row>
    <row r="8260" spans="6:6" x14ac:dyDescent="0.3">
      <c r="F8260" s="89" t="str">
        <v/>
      </c>
    </row>
    <row r="8261" spans="6:6" x14ac:dyDescent="0.3">
      <c r="F8261" s="89" t="str">
        <v/>
      </c>
    </row>
    <row r="8262" spans="6:6" x14ac:dyDescent="0.3">
      <c r="F8262" s="89" t="str">
        <v/>
      </c>
    </row>
    <row r="8263" spans="6:6" x14ac:dyDescent="0.3">
      <c r="F8263" s="89" t="str">
        <v/>
      </c>
    </row>
    <row r="8264" spans="6:6" x14ac:dyDescent="0.3">
      <c r="F8264" s="89" t="str">
        <v/>
      </c>
    </row>
    <row r="8265" spans="6:6" x14ac:dyDescent="0.3">
      <c r="F8265" s="89" t="str">
        <v/>
      </c>
    </row>
    <row r="8266" spans="6:6" x14ac:dyDescent="0.3">
      <c r="F8266" s="89" t="str">
        <v/>
      </c>
    </row>
    <row r="8267" spans="6:6" x14ac:dyDescent="0.3">
      <c r="F8267" s="89" t="str">
        <v/>
      </c>
    </row>
    <row r="8268" spans="6:6" x14ac:dyDescent="0.3">
      <c r="F8268" s="89" t="str">
        <v/>
      </c>
    </row>
    <row r="8269" spans="6:6" x14ac:dyDescent="0.3">
      <c r="F8269" s="89" t="str">
        <v/>
      </c>
    </row>
    <row r="8270" spans="6:6" x14ac:dyDescent="0.3">
      <c r="F8270" s="89" t="str">
        <v/>
      </c>
    </row>
    <row r="8271" spans="6:6" x14ac:dyDescent="0.3">
      <c r="F8271" s="89" t="str">
        <v/>
      </c>
    </row>
    <row r="8272" spans="6:6" x14ac:dyDescent="0.3">
      <c r="F8272" s="89" t="str">
        <v/>
      </c>
    </row>
    <row r="8273" spans="6:6" x14ac:dyDescent="0.3">
      <c r="F8273" s="89" t="str">
        <v/>
      </c>
    </row>
    <row r="8274" spans="6:6" x14ac:dyDescent="0.3">
      <c r="F8274" s="89" t="str">
        <v/>
      </c>
    </row>
    <row r="8275" spans="6:6" x14ac:dyDescent="0.3">
      <c r="F8275" s="89" t="str">
        <v/>
      </c>
    </row>
    <row r="8276" spans="6:6" x14ac:dyDescent="0.3">
      <c r="F8276" s="89" t="str">
        <v/>
      </c>
    </row>
    <row r="8277" spans="6:6" x14ac:dyDescent="0.3">
      <c r="F8277" s="89" t="str">
        <v/>
      </c>
    </row>
    <row r="8278" spans="6:6" x14ac:dyDescent="0.3">
      <c r="F8278" s="89" t="str">
        <v/>
      </c>
    </row>
    <row r="8279" spans="6:6" x14ac:dyDescent="0.3">
      <c r="F8279" s="89" t="str">
        <v/>
      </c>
    </row>
    <row r="8280" spans="6:6" x14ac:dyDescent="0.3">
      <c r="F8280" s="89" t="str">
        <v/>
      </c>
    </row>
    <row r="8281" spans="6:6" x14ac:dyDescent="0.3">
      <c r="F8281" s="89" t="str">
        <v/>
      </c>
    </row>
    <row r="8282" spans="6:6" x14ac:dyDescent="0.3">
      <c r="F8282" s="89" t="str">
        <v/>
      </c>
    </row>
    <row r="8283" spans="6:6" x14ac:dyDescent="0.3">
      <c r="F8283" s="89" t="str">
        <v/>
      </c>
    </row>
    <row r="8284" spans="6:6" x14ac:dyDescent="0.3">
      <c r="F8284" s="89" t="str">
        <v/>
      </c>
    </row>
    <row r="8285" spans="6:6" x14ac:dyDescent="0.3">
      <c r="F8285" s="89" t="str">
        <v/>
      </c>
    </row>
    <row r="8286" spans="6:6" x14ac:dyDescent="0.3">
      <c r="F8286" s="89" t="str">
        <v/>
      </c>
    </row>
    <row r="8287" spans="6:6" x14ac:dyDescent="0.3">
      <c r="F8287" s="89" t="str">
        <v/>
      </c>
    </row>
    <row r="8288" spans="6:6" x14ac:dyDescent="0.3">
      <c r="F8288" s="89" t="str">
        <v/>
      </c>
    </row>
    <row r="8289" spans="6:6" x14ac:dyDescent="0.3">
      <c r="F8289" s="89" t="str">
        <v/>
      </c>
    </row>
    <row r="8290" spans="6:6" x14ac:dyDescent="0.3">
      <c r="F8290" s="89" t="str">
        <v/>
      </c>
    </row>
    <row r="8291" spans="6:6" x14ac:dyDescent="0.3">
      <c r="F8291" s="89" t="str">
        <v/>
      </c>
    </row>
    <row r="8292" spans="6:6" x14ac:dyDescent="0.3">
      <c r="F8292" s="89" t="str">
        <v/>
      </c>
    </row>
    <row r="8293" spans="6:6" x14ac:dyDescent="0.3">
      <c r="F8293" s="89" t="str">
        <v/>
      </c>
    </row>
    <row r="8294" spans="6:6" x14ac:dyDescent="0.3">
      <c r="F8294" s="89" t="str">
        <v/>
      </c>
    </row>
    <row r="8295" spans="6:6" x14ac:dyDescent="0.3">
      <c r="F8295" s="89" t="str">
        <v/>
      </c>
    </row>
    <row r="8296" spans="6:6" x14ac:dyDescent="0.3">
      <c r="F8296" s="89" t="str">
        <v/>
      </c>
    </row>
    <row r="8297" spans="6:6" x14ac:dyDescent="0.3">
      <c r="F8297" s="89" t="str">
        <v/>
      </c>
    </row>
    <row r="8298" spans="6:6" x14ac:dyDescent="0.3">
      <c r="F8298" s="89" t="str">
        <v/>
      </c>
    </row>
    <row r="8299" spans="6:6" x14ac:dyDescent="0.3">
      <c r="F8299" s="89" t="str">
        <v/>
      </c>
    </row>
    <row r="8300" spans="6:6" x14ac:dyDescent="0.3">
      <c r="F8300" s="89" t="str">
        <v/>
      </c>
    </row>
    <row r="8301" spans="6:6" x14ac:dyDescent="0.3">
      <c r="F8301" s="89" t="str">
        <v/>
      </c>
    </row>
    <row r="8302" spans="6:6" x14ac:dyDescent="0.3">
      <c r="F8302" s="89" t="str">
        <v/>
      </c>
    </row>
    <row r="8303" spans="6:6" x14ac:dyDescent="0.3">
      <c r="F8303" s="89" t="str">
        <v/>
      </c>
    </row>
    <row r="8304" spans="6:6" x14ac:dyDescent="0.3">
      <c r="F8304" s="89" t="str">
        <v/>
      </c>
    </row>
    <row r="8305" spans="6:6" x14ac:dyDescent="0.3">
      <c r="F8305" s="89" t="str">
        <v/>
      </c>
    </row>
    <row r="8306" spans="6:6" x14ac:dyDescent="0.3">
      <c r="F8306" s="89" t="str">
        <v/>
      </c>
    </row>
    <row r="8307" spans="6:6" x14ac:dyDescent="0.3">
      <c r="F8307" s="89" t="str">
        <v/>
      </c>
    </row>
    <row r="8308" spans="6:6" x14ac:dyDescent="0.3">
      <c r="F8308" s="89" t="str">
        <v/>
      </c>
    </row>
    <row r="8309" spans="6:6" x14ac:dyDescent="0.3">
      <c r="F8309" s="89" t="str">
        <v/>
      </c>
    </row>
    <row r="8310" spans="6:6" x14ac:dyDescent="0.3">
      <c r="F8310" s="89" t="str">
        <v/>
      </c>
    </row>
    <row r="8311" spans="6:6" x14ac:dyDescent="0.3">
      <c r="F8311" s="89" t="str">
        <v/>
      </c>
    </row>
    <row r="8312" spans="6:6" x14ac:dyDescent="0.3">
      <c r="F8312" s="89" t="str">
        <v/>
      </c>
    </row>
    <row r="8313" spans="6:6" x14ac:dyDescent="0.3">
      <c r="F8313" s="89" t="str">
        <v/>
      </c>
    </row>
    <row r="8314" spans="6:6" x14ac:dyDescent="0.3">
      <c r="F8314" s="89" t="str">
        <v/>
      </c>
    </row>
    <row r="8315" spans="6:6" x14ac:dyDescent="0.3">
      <c r="F8315" s="89" t="str">
        <v/>
      </c>
    </row>
    <row r="8316" spans="6:6" x14ac:dyDescent="0.3">
      <c r="F8316" s="89" t="str">
        <v/>
      </c>
    </row>
    <row r="8317" spans="6:6" x14ac:dyDescent="0.3">
      <c r="F8317" s="89" t="str">
        <v/>
      </c>
    </row>
    <row r="8318" spans="6:6" x14ac:dyDescent="0.3">
      <c r="F8318" s="89" t="str">
        <v/>
      </c>
    </row>
    <row r="8319" spans="6:6" x14ac:dyDescent="0.3">
      <c r="F8319" s="89" t="str">
        <v/>
      </c>
    </row>
    <row r="8320" spans="6:6" x14ac:dyDescent="0.3">
      <c r="F8320" s="89" t="str">
        <v/>
      </c>
    </row>
    <row r="8321" spans="6:6" x14ac:dyDescent="0.3">
      <c r="F8321" s="89" t="str">
        <v/>
      </c>
    </row>
    <row r="8322" spans="6:6" x14ac:dyDescent="0.3">
      <c r="F8322" s="89" t="str">
        <v/>
      </c>
    </row>
    <row r="8323" spans="6:6" x14ac:dyDescent="0.3">
      <c r="F8323" s="89" t="str">
        <v/>
      </c>
    </row>
    <row r="8324" spans="6:6" x14ac:dyDescent="0.3">
      <c r="F8324" s="89" t="str">
        <v/>
      </c>
    </row>
    <row r="8325" spans="6:6" x14ac:dyDescent="0.3">
      <c r="F8325" s="89" t="str">
        <v/>
      </c>
    </row>
    <row r="8326" spans="6:6" x14ac:dyDescent="0.3">
      <c r="F8326" s="89" t="str">
        <v/>
      </c>
    </row>
    <row r="8327" spans="6:6" x14ac:dyDescent="0.3">
      <c r="F8327" s="89" t="str">
        <v/>
      </c>
    </row>
    <row r="8328" spans="6:6" x14ac:dyDescent="0.3">
      <c r="F8328" s="89" t="str">
        <v/>
      </c>
    </row>
    <row r="8329" spans="6:6" x14ac:dyDescent="0.3">
      <c r="F8329" s="89" t="str">
        <v/>
      </c>
    </row>
    <row r="8330" spans="6:6" x14ac:dyDescent="0.3">
      <c r="F8330" s="89" t="str">
        <v/>
      </c>
    </row>
    <row r="8331" spans="6:6" x14ac:dyDescent="0.3">
      <c r="F8331" s="89" t="str">
        <v/>
      </c>
    </row>
    <row r="8332" spans="6:6" x14ac:dyDescent="0.3">
      <c r="F8332" s="89" t="str">
        <v/>
      </c>
    </row>
    <row r="8333" spans="6:6" x14ac:dyDescent="0.3">
      <c r="F8333" s="89" t="str">
        <v/>
      </c>
    </row>
    <row r="8334" spans="6:6" x14ac:dyDescent="0.3">
      <c r="F8334" s="89" t="str">
        <v/>
      </c>
    </row>
    <row r="8335" spans="6:6" x14ac:dyDescent="0.3">
      <c r="F8335" s="89" t="str">
        <v/>
      </c>
    </row>
    <row r="8336" spans="6:6" x14ac:dyDescent="0.3">
      <c r="F8336" s="89" t="str">
        <v/>
      </c>
    </row>
    <row r="8337" spans="6:6" x14ac:dyDescent="0.3">
      <c r="F8337" s="89" t="str">
        <v/>
      </c>
    </row>
    <row r="8338" spans="6:6" x14ac:dyDescent="0.3">
      <c r="F8338" s="89" t="str">
        <v/>
      </c>
    </row>
    <row r="8339" spans="6:6" x14ac:dyDescent="0.3">
      <c r="F8339" s="89" t="str">
        <v/>
      </c>
    </row>
    <row r="8340" spans="6:6" x14ac:dyDescent="0.3">
      <c r="F8340" s="89" t="str">
        <v/>
      </c>
    </row>
    <row r="8341" spans="6:6" x14ac:dyDescent="0.3">
      <c r="F8341" s="89" t="str">
        <v/>
      </c>
    </row>
    <row r="8342" spans="6:6" x14ac:dyDescent="0.3">
      <c r="F8342" s="89" t="str">
        <v/>
      </c>
    </row>
    <row r="8343" spans="6:6" x14ac:dyDescent="0.3">
      <c r="F8343" s="89" t="str">
        <v/>
      </c>
    </row>
    <row r="8344" spans="6:6" x14ac:dyDescent="0.3">
      <c r="F8344" s="89" t="str">
        <v/>
      </c>
    </row>
    <row r="8345" spans="6:6" x14ac:dyDescent="0.3">
      <c r="F8345" s="89" t="str">
        <v/>
      </c>
    </row>
    <row r="8346" spans="6:6" x14ac:dyDescent="0.3">
      <c r="F8346" s="89" t="str">
        <v/>
      </c>
    </row>
    <row r="8347" spans="6:6" x14ac:dyDescent="0.3">
      <c r="F8347" s="89" t="str">
        <v/>
      </c>
    </row>
    <row r="8348" spans="6:6" x14ac:dyDescent="0.3">
      <c r="F8348" s="89" t="str">
        <v/>
      </c>
    </row>
    <row r="8349" spans="6:6" x14ac:dyDescent="0.3">
      <c r="F8349" s="89" t="str">
        <v/>
      </c>
    </row>
    <row r="8350" spans="6:6" x14ac:dyDescent="0.3">
      <c r="F8350" s="89" t="str">
        <v/>
      </c>
    </row>
    <row r="8351" spans="6:6" x14ac:dyDescent="0.3">
      <c r="F8351" s="89" t="str">
        <v/>
      </c>
    </row>
    <row r="8352" spans="6:6" x14ac:dyDescent="0.3">
      <c r="F8352" s="89" t="str">
        <v/>
      </c>
    </row>
    <row r="8353" spans="6:6" x14ac:dyDescent="0.3">
      <c r="F8353" s="89" t="str">
        <v/>
      </c>
    </row>
    <row r="8354" spans="6:6" x14ac:dyDescent="0.3">
      <c r="F8354" s="89" t="str">
        <v/>
      </c>
    </row>
    <row r="8355" spans="6:6" x14ac:dyDescent="0.3">
      <c r="F8355" s="89" t="str">
        <v/>
      </c>
    </row>
    <row r="8356" spans="6:6" x14ac:dyDescent="0.3">
      <c r="F8356" s="89" t="str">
        <v/>
      </c>
    </row>
    <row r="8357" spans="6:6" x14ac:dyDescent="0.3">
      <c r="F8357" s="89" t="str">
        <v/>
      </c>
    </row>
    <row r="8358" spans="6:6" x14ac:dyDescent="0.3">
      <c r="F8358" s="89" t="str">
        <v/>
      </c>
    </row>
    <row r="8359" spans="6:6" x14ac:dyDescent="0.3">
      <c r="F8359" s="89" t="str">
        <v/>
      </c>
    </row>
    <row r="8360" spans="6:6" x14ac:dyDescent="0.3">
      <c r="F8360" s="89" t="str">
        <v/>
      </c>
    </row>
    <row r="8361" spans="6:6" x14ac:dyDescent="0.3">
      <c r="F8361" s="89" t="str">
        <v/>
      </c>
    </row>
    <row r="8362" spans="6:6" x14ac:dyDescent="0.3">
      <c r="F8362" s="89" t="str">
        <v/>
      </c>
    </row>
    <row r="8363" spans="6:6" x14ac:dyDescent="0.3">
      <c r="F8363" s="89" t="str">
        <v/>
      </c>
    </row>
    <row r="8364" spans="6:6" x14ac:dyDescent="0.3">
      <c r="F8364" s="89" t="str">
        <v/>
      </c>
    </row>
    <row r="8365" spans="6:6" x14ac:dyDescent="0.3">
      <c r="F8365" s="89" t="str">
        <v/>
      </c>
    </row>
    <row r="8366" spans="6:6" x14ac:dyDescent="0.3">
      <c r="F8366" s="89" t="str">
        <v/>
      </c>
    </row>
    <row r="8367" spans="6:6" x14ac:dyDescent="0.3">
      <c r="F8367" s="89" t="str">
        <v/>
      </c>
    </row>
    <row r="8368" spans="6:6" x14ac:dyDescent="0.3">
      <c r="F8368" s="89" t="str">
        <v/>
      </c>
    </row>
    <row r="8369" spans="6:6" x14ac:dyDescent="0.3">
      <c r="F8369" s="89" t="str">
        <v/>
      </c>
    </row>
    <row r="8370" spans="6:6" x14ac:dyDescent="0.3">
      <c r="F8370" s="89" t="str">
        <v/>
      </c>
    </row>
    <row r="8371" spans="6:6" x14ac:dyDescent="0.3">
      <c r="F8371" s="89" t="str">
        <v/>
      </c>
    </row>
    <row r="8372" spans="6:6" x14ac:dyDescent="0.3">
      <c r="F8372" s="89" t="str">
        <v/>
      </c>
    </row>
    <row r="8373" spans="6:6" x14ac:dyDescent="0.3">
      <c r="F8373" s="89" t="str">
        <v/>
      </c>
    </row>
    <row r="8374" spans="6:6" x14ac:dyDescent="0.3">
      <c r="F8374" s="89" t="str">
        <v/>
      </c>
    </row>
    <row r="8375" spans="6:6" x14ac:dyDescent="0.3">
      <c r="F8375" s="89" t="str">
        <v/>
      </c>
    </row>
    <row r="8376" spans="6:6" x14ac:dyDescent="0.3">
      <c r="F8376" s="89" t="str">
        <v/>
      </c>
    </row>
    <row r="8377" spans="6:6" x14ac:dyDescent="0.3">
      <c r="F8377" s="89" t="str">
        <v/>
      </c>
    </row>
    <row r="8378" spans="6:6" x14ac:dyDescent="0.3">
      <c r="F8378" s="89" t="str">
        <v/>
      </c>
    </row>
    <row r="8379" spans="6:6" x14ac:dyDescent="0.3">
      <c r="F8379" s="89" t="str">
        <v/>
      </c>
    </row>
    <row r="8380" spans="6:6" x14ac:dyDescent="0.3">
      <c r="F8380" s="89" t="str">
        <v/>
      </c>
    </row>
    <row r="8381" spans="6:6" x14ac:dyDescent="0.3">
      <c r="F8381" s="89" t="str">
        <v/>
      </c>
    </row>
    <row r="8382" spans="6:6" x14ac:dyDescent="0.3">
      <c r="F8382" s="89" t="str">
        <v/>
      </c>
    </row>
    <row r="8383" spans="6:6" x14ac:dyDescent="0.3">
      <c r="F8383" s="89" t="str">
        <v/>
      </c>
    </row>
    <row r="8384" spans="6:6" x14ac:dyDescent="0.3">
      <c r="F8384" s="89" t="str">
        <v/>
      </c>
    </row>
    <row r="8385" spans="6:6" x14ac:dyDescent="0.3">
      <c r="F8385" s="89" t="str">
        <v/>
      </c>
    </row>
    <row r="8386" spans="6:6" x14ac:dyDescent="0.3">
      <c r="F8386" s="89" t="str">
        <v/>
      </c>
    </row>
    <row r="8387" spans="6:6" x14ac:dyDescent="0.3">
      <c r="F8387" s="89" t="str">
        <v/>
      </c>
    </row>
    <row r="8388" spans="6:6" x14ac:dyDescent="0.3">
      <c r="F8388" s="89" t="str">
        <v/>
      </c>
    </row>
    <row r="8389" spans="6:6" x14ac:dyDescent="0.3">
      <c r="F8389" s="89" t="str">
        <v/>
      </c>
    </row>
    <row r="8390" spans="6:6" x14ac:dyDescent="0.3">
      <c r="F8390" s="89" t="str">
        <v/>
      </c>
    </row>
    <row r="8391" spans="6:6" x14ac:dyDescent="0.3">
      <c r="F8391" s="89" t="str">
        <v/>
      </c>
    </row>
    <row r="8392" spans="6:6" x14ac:dyDescent="0.3">
      <c r="F8392" s="89" t="str">
        <v/>
      </c>
    </row>
    <row r="8393" spans="6:6" x14ac:dyDescent="0.3">
      <c r="F8393" s="89" t="str">
        <v/>
      </c>
    </row>
    <row r="8394" spans="6:6" x14ac:dyDescent="0.3">
      <c r="F8394" s="89" t="str">
        <v/>
      </c>
    </row>
    <row r="8395" spans="6:6" x14ac:dyDescent="0.3">
      <c r="F8395" s="89" t="str">
        <v/>
      </c>
    </row>
    <row r="8396" spans="6:6" x14ac:dyDescent="0.3">
      <c r="F8396" s="89" t="str">
        <v/>
      </c>
    </row>
    <row r="8397" spans="6:6" x14ac:dyDescent="0.3">
      <c r="F8397" s="89" t="str">
        <v/>
      </c>
    </row>
    <row r="8398" spans="6:6" x14ac:dyDescent="0.3">
      <c r="F8398" s="89" t="str">
        <v/>
      </c>
    </row>
    <row r="8399" spans="6:6" x14ac:dyDescent="0.3">
      <c r="F8399" s="89" t="str">
        <v/>
      </c>
    </row>
    <row r="8400" spans="6:6" x14ac:dyDescent="0.3">
      <c r="F8400" s="89" t="str">
        <v/>
      </c>
    </row>
    <row r="8401" spans="6:6" x14ac:dyDescent="0.3">
      <c r="F8401" s="89" t="str">
        <v/>
      </c>
    </row>
    <row r="8402" spans="6:6" x14ac:dyDescent="0.3">
      <c r="F8402" s="89" t="str">
        <v/>
      </c>
    </row>
    <row r="8403" spans="6:6" x14ac:dyDescent="0.3">
      <c r="F8403" s="89" t="str">
        <v/>
      </c>
    </row>
    <row r="8404" spans="6:6" x14ac:dyDescent="0.3">
      <c r="F8404" s="89" t="str">
        <v/>
      </c>
    </row>
    <row r="8405" spans="6:6" x14ac:dyDescent="0.3">
      <c r="F8405" s="89" t="str">
        <v/>
      </c>
    </row>
    <row r="8406" spans="6:6" x14ac:dyDescent="0.3">
      <c r="F8406" s="89" t="str">
        <v/>
      </c>
    </row>
    <row r="8407" spans="6:6" x14ac:dyDescent="0.3">
      <c r="F8407" s="89" t="str">
        <v/>
      </c>
    </row>
    <row r="8408" spans="6:6" x14ac:dyDescent="0.3">
      <c r="F8408" s="89" t="str">
        <v/>
      </c>
    </row>
    <row r="8409" spans="6:6" x14ac:dyDescent="0.3">
      <c r="F8409" s="89" t="str">
        <v/>
      </c>
    </row>
    <row r="8410" spans="6:6" x14ac:dyDescent="0.3">
      <c r="F8410" s="89" t="str">
        <v/>
      </c>
    </row>
    <row r="8411" spans="6:6" x14ac:dyDescent="0.3">
      <c r="F8411" s="89" t="str">
        <v/>
      </c>
    </row>
    <row r="8412" spans="6:6" x14ac:dyDescent="0.3">
      <c r="F8412" s="89" t="str">
        <v/>
      </c>
    </row>
    <row r="8413" spans="6:6" x14ac:dyDescent="0.3">
      <c r="F8413" s="89" t="str">
        <v/>
      </c>
    </row>
    <row r="8414" spans="6:6" x14ac:dyDescent="0.3">
      <c r="F8414" s="89" t="str">
        <v/>
      </c>
    </row>
    <row r="8415" spans="6:6" x14ac:dyDescent="0.3">
      <c r="F8415" s="89" t="str">
        <v/>
      </c>
    </row>
    <row r="8416" spans="6:6" x14ac:dyDescent="0.3">
      <c r="F8416" s="89" t="str">
        <v/>
      </c>
    </row>
    <row r="8417" spans="6:6" x14ac:dyDescent="0.3">
      <c r="F8417" s="89" t="str">
        <v/>
      </c>
    </row>
    <row r="8418" spans="6:6" x14ac:dyDescent="0.3">
      <c r="F8418" s="89" t="str">
        <v/>
      </c>
    </row>
    <row r="8419" spans="6:6" x14ac:dyDescent="0.3">
      <c r="F8419" s="89" t="str">
        <v/>
      </c>
    </row>
    <row r="8420" spans="6:6" x14ac:dyDescent="0.3">
      <c r="F8420" s="89" t="str">
        <v/>
      </c>
    </row>
    <row r="8421" spans="6:6" x14ac:dyDescent="0.3">
      <c r="F8421" s="89" t="str">
        <v/>
      </c>
    </row>
    <row r="8422" spans="6:6" x14ac:dyDescent="0.3">
      <c r="F8422" s="89" t="str">
        <v/>
      </c>
    </row>
    <row r="8423" spans="6:6" x14ac:dyDescent="0.3">
      <c r="F8423" s="89" t="str">
        <v/>
      </c>
    </row>
    <row r="8424" spans="6:6" x14ac:dyDescent="0.3">
      <c r="F8424" s="89" t="str">
        <v/>
      </c>
    </row>
    <row r="8425" spans="6:6" x14ac:dyDescent="0.3">
      <c r="F8425" s="89" t="str">
        <v/>
      </c>
    </row>
    <row r="8426" spans="6:6" x14ac:dyDescent="0.3">
      <c r="F8426" s="89" t="str">
        <v/>
      </c>
    </row>
    <row r="8427" spans="6:6" x14ac:dyDescent="0.3">
      <c r="F8427" s="89" t="str">
        <v/>
      </c>
    </row>
    <row r="8428" spans="6:6" x14ac:dyDescent="0.3">
      <c r="F8428" s="89" t="str">
        <v/>
      </c>
    </row>
    <row r="8429" spans="6:6" x14ac:dyDescent="0.3">
      <c r="F8429" s="89" t="str">
        <v/>
      </c>
    </row>
    <row r="8430" spans="6:6" x14ac:dyDescent="0.3">
      <c r="F8430" s="89" t="str">
        <v/>
      </c>
    </row>
    <row r="8431" spans="6:6" x14ac:dyDescent="0.3">
      <c r="F8431" s="89" t="str">
        <v/>
      </c>
    </row>
    <row r="8432" spans="6:6" x14ac:dyDescent="0.3">
      <c r="F8432" s="89" t="str">
        <v/>
      </c>
    </row>
    <row r="8433" spans="6:6" x14ac:dyDescent="0.3">
      <c r="F8433" s="89" t="str">
        <v/>
      </c>
    </row>
    <row r="8434" spans="6:6" x14ac:dyDescent="0.3">
      <c r="F8434" s="89" t="str">
        <v/>
      </c>
    </row>
    <row r="8435" spans="6:6" x14ac:dyDescent="0.3">
      <c r="F8435" s="89" t="str">
        <v/>
      </c>
    </row>
    <row r="8436" spans="6:6" x14ac:dyDescent="0.3">
      <c r="F8436" s="89" t="str">
        <v/>
      </c>
    </row>
    <row r="8437" spans="6:6" x14ac:dyDescent="0.3">
      <c r="F8437" s="89" t="str">
        <v/>
      </c>
    </row>
    <row r="8438" spans="6:6" x14ac:dyDescent="0.3">
      <c r="F8438" s="89" t="str">
        <v/>
      </c>
    </row>
    <row r="8439" spans="6:6" x14ac:dyDescent="0.3">
      <c r="F8439" s="89" t="str">
        <v/>
      </c>
    </row>
    <row r="8440" spans="6:6" x14ac:dyDescent="0.3">
      <c r="F8440" s="89" t="str">
        <v/>
      </c>
    </row>
    <row r="8441" spans="6:6" x14ac:dyDescent="0.3">
      <c r="F8441" s="89" t="str">
        <v/>
      </c>
    </row>
    <row r="8442" spans="6:6" x14ac:dyDescent="0.3">
      <c r="F8442" s="89" t="str">
        <v/>
      </c>
    </row>
    <row r="8443" spans="6:6" x14ac:dyDescent="0.3">
      <c r="F8443" s="89" t="str">
        <v/>
      </c>
    </row>
    <row r="8444" spans="6:6" x14ac:dyDescent="0.3">
      <c r="F8444" s="89" t="str">
        <v/>
      </c>
    </row>
    <row r="8445" spans="6:6" x14ac:dyDescent="0.3">
      <c r="F8445" s="89" t="str">
        <v/>
      </c>
    </row>
    <row r="8446" spans="6:6" x14ac:dyDescent="0.3">
      <c r="F8446" s="89" t="str">
        <v/>
      </c>
    </row>
    <row r="8447" spans="6:6" x14ac:dyDescent="0.3">
      <c r="F8447" s="89" t="str">
        <v/>
      </c>
    </row>
    <row r="8448" spans="6:6" x14ac:dyDescent="0.3">
      <c r="F8448" s="89" t="str">
        <v/>
      </c>
    </row>
    <row r="8449" spans="6:6" x14ac:dyDescent="0.3">
      <c r="F8449" s="89" t="str">
        <v/>
      </c>
    </row>
    <row r="8450" spans="6:6" x14ac:dyDescent="0.3">
      <c r="F8450" s="89" t="str">
        <v/>
      </c>
    </row>
    <row r="8451" spans="6:6" x14ac:dyDescent="0.3">
      <c r="F8451" s="89" t="str">
        <v/>
      </c>
    </row>
    <row r="8452" spans="6:6" x14ac:dyDescent="0.3">
      <c r="F8452" s="89" t="str">
        <v/>
      </c>
    </row>
    <row r="8453" spans="6:6" x14ac:dyDescent="0.3">
      <c r="F8453" s="89" t="str">
        <v/>
      </c>
    </row>
    <row r="8454" spans="6:6" x14ac:dyDescent="0.3">
      <c r="F8454" s="89" t="str">
        <v/>
      </c>
    </row>
    <row r="8455" spans="6:6" x14ac:dyDescent="0.3">
      <c r="F8455" s="89" t="str">
        <v/>
      </c>
    </row>
    <row r="8456" spans="6:6" x14ac:dyDescent="0.3">
      <c r="F8456" s="89" t="str">
        <v/>
      </c>
    </row>
    <row r="8457" spans="6:6" x14ac:dyDescent="0.3">
      <c r="F8457" s="89" t="str">
        <v/>
      </c>
    </row>
    <row r="8458" spans="6:6" x14ac:dyDescent="0.3">
      <c r="F8458" s="89" t="str">
        <v/>
      </c>
    </row>
    <row r="8459" spans="6:6" x14ac:dyDescent="0.3">
      <c r="F8459" s="89" t="str">
        <v/>
      </c>
    </row>
    <row r="8460" spans="6:6" x14ac:dyDescent="0.3">
      <c r="F8460" s="89" t="str">
        <v/>
      </c>
    </row>
    <row r="8461" spans="6:6" x14ac:dyDescent="0.3">
      <c r="F8461" s="89" t="str">
        <v/>
      </c>
    </row>
    <row r="8462" spans="6:6" x14ac:dyDescent="0.3">
      <c r="F8462" s="89" t="str">
        <v/>
      </c>
    </row>
    <row r="8463" spans="6:6" x14ac:dyDescent="0.3">
      <c r="F8463" s="89" t="str">
        <v/>
      </c>
    </row>
    <row r="8464" spans="6:6" x14ac:dyDescent="0.3">
      <c r="F8464" s="89" t="str">
        <v/>
      </c>
    </row>
    <row r="8465" spans="6:6" x14ac:dyDescent="0.3">
      <c r="F8465" s="89" t="str">
        <v/>
      </c>
    </row>
    <row r="8466" spans="6:6" x14ac:dyDescent="0.3">
      <c r="F8466" s="89" t="str">
        <v/>
      </c>
    </row>
    <row r="8467" spans="6:6" x14ac:dyDescent="0.3">
      <c r="F8467" s="89" t="str">
        <v/>
      </c>
    </row>
    <row r="8468" spans="6:6" x14ac:dyDescent="0.3">
      <c r="F8468" s="89" t="str">
        <v/>
      </c>
    </row>
    <row r="8469" spans="6:6" x14ac:dyDescent="0.3">
      <c r="F8469" s="89" t="str">
        <v/>
      </c>
    </row>
    <row r="8470" spans="6:6" x14ac:dyDescent="0.3">
      <c r="F8470" s="89" t="str">
        <v/>
      </c>
    </row>
    <row r="8471" spans="6:6" x14ac:dyDescent="0.3">
      <c r="F8471" s="89" t="str">
        <v/>
      </c>
    </row>
    <row r="8472" spans="6:6" x14ac:dyDescent="0.3">
      <c r="F8472" s="89" t="str">
        <v/>
      </c>
    </row>
    <row r="8473" spans="6:6" x14ac:dyDescent="0.3">
      <c r="F8473" s="89" t="str">
        <v/>
      </c>
    </row>
    <row r="8474" spans="6:6" x14ac:dyDescent="0.3">
      <c r="F8474" s="89" t="str">
        <v/>
      </c>
    </row>
    <row r="8475" spans="6:6" x14ac:dyDescent="0.3">
      <c r="F8475" s="89" t="str">
        <v/>
      </c>
    </row>
    <row r="8476" spans="6:6" x14ac:dyDescent="0.3">
      <c r="F8476" s="89" t="str">
        <v/>
      </c>
    </row>
    <row r="8477" spans="6:6" x14ac:dyDescent="0.3">
      <c r="F8477" s="89" t="str">
        <v/>
      </c>
    </row>
    <row r="8478" spans="6:6" x14ac:dyDescent="0.3">
      <c r="F8478" s="89" t="str">
        <v/>
      </c>
    </row>
    <row r="8479" spans="6:6" x14ac:dyDescent="0.3">
      <c r="F8479" s="89" t="str">
        <v/>
      </c>
    </row>
    <row r="8480" spans="6:6" x14ac:dyDescent="0.3">
      <c r="F8480" s="89" t="str">
        <v/>
      </c>
    </row>
    <row r="8481" spans="6:6" x14ac:dyDescent="0.3">
      <c r="F8481" s="89" t="str">
        <v/>
      </c>
    </row>
    <row r="8482" spans="6:6" x14ac:dyDescent="0.3">
      <c r="F8482" s="89" t="str">
        <v/>
      </c>
    </row>
    <row r="8483" spans="6:6" x14ac:dyDescent="0.3">
      <c r="F8483" s="89" t="str">
        <v/>
      </c>
    </row>
    <row r="8484" spans="6:6" x14ac:dyDescent="0.3">
      <c r="F8484" s="89" t="str">
        <v/>
      </c>
    </row>
    <row r="8485" spans="6:6" x14ac:dyDescent="0.3">
      <c r="F8485" s="89" t="str">
        <v/>
      </c>
    </row>
    <row r="8486" spans="6:6" x14ac:dyDescent="0.3">
      <c r="F8486" s="89" t="str">
        <v/>
      </c>
    </row>
    <row r="8487" spans="6:6" x14ac:dyDescent="0.3">
      <c r="F8487" s="89" t="str">
        <v/>
      </c>
    </row>
    <row r="8488" spans="6:6" x14ac:dyDescent="0.3">
      <c r="F8488" s="89" t="str">
        <v/>
      </c>
    </row>
    <row r="8489" spans="6:6" x14ac:dyDescent="0.3">
      <c r="F8489" s="89" t="str">
        <v/>
      </c>
    </row>
    <row r="8490" spans="6:6" x14ac:dyDescent="0.3">
      <c r="F8490" s="89" t="str">
        <v/>
      </c>
    </row>
    <row r="8491" spans="6:6" x14ac:dyDescent="0.3">
      <c r="F8491" s="89" t="str">
        <v/>
      </c>
    </row>
    <row r="8492" spans="6:6" x14ac:dyDescent="0.3">
      <c r="F8492" s="89" t="str">
        <v/>
      </c>
    </row>
    <row r="8493" spans="6:6" x14ac:dyDescent="0.3">
      <c r="F8493" s="89" t="str">
        <v/>
      </c>
    </row>
    <row r="8494" spans="6:6" x14ac:dyDescent="0.3">
      <c r="F8494" s="89" t="str">
        <v/>
      </c>
    </row>
    <row r="8495" spans="6:6" x14ac:dyDescent="0.3">
      <c r="F8495" s="89" t="str">
        <v/>
      </c>
    </row>
    <row r="8496" spans="6:6" x14ac:dyDescent="0.3">
      <c r="F8496" s="89" t="str">
        <v/>
      </c>
    </row>
    <row r="8497" spans="6:6" x14ac:dyDescent="0.3">
      <c r="F8497" s="89" t="str">
        <v/>
      </c>
    </row>
    <row r="8498" spans="6:6" x14ac:dyDescent="0.3">
      <c r="F8498" s="89" t="str">
        <v/>
      </c>
    </row>
    <row r="8499" spans="6:6" x14ac:dyDescent="0.3">
      <c r="F8499" s="89" t="str">
        <v/>
      </c>
    </row>
    <row r="8500" spans="6:6" x14ac:dyDescent="0.3">
      <c r="F8500" s="89" t="str">
        <v/>
      </c>
    </row>
    <row r="8501" spans="6:6" x14ac:dyDescent="0.3">
      <c r="F8501" s="89" t="str">
        <v/>
      </c>
    </row>
    <row r="8502" spans="6:6" x14ac:dyDescent="0.3">
      <c r="F8502" s="89" t="str">
        <v/>
      </c>
    </row>
    <row r="8503" spans="6:6" x14ac:dyDescent="0.3">
      <c r="F8503" s="89" t="str">
        <v/>
      </c>
    </row>
    <row r="8504" spans="6:6" x14ac:dyDescent="0.3">
      <c r="F8504" s="89" t="str">
        <v/>
      </c>
    </row>
    <row r="8505" spans="6:6" x14ac:dyDescent="0.3">
      <c r="F8505" s="89" t="str">
        <v/>
      </c>
    </row>
    <row r="8506" spans="6:6" x14ac:dyDescent="0.3">
      <c r="F8506" s="89" t="str">
        <v/>
      </c>
    </row>
    <row r="8507" spans="6:6" x14ac:dyDescent="0.3">
      <c r="F8507" s="89" t="str">
        <v/>
      </c>
    </row>
    <row r="8508" spans="6:6" x14ac:dyDescent="0.3">
      <c r="F8508" s="89" t="str">
        <v/>
      </c>
    </row>
    <row r="8509" spans="6:6" x14ac:dyDescent="0.3">
      <c r="F8509" s="89" t="str">
        <v/>
      </c>
    </row>
    <row r="8510" spans="6:6" x14ac:dyDescent="0.3">
      <c r="F8510" s="89" t="str">
        <v/>
      </c>
    </row>
    <row r="8511" spans="6:6" x14ac:dyDescent="0.3">
      <c r="F8511" s="89" t="str">
        <v/>
      </c>
    </row>
    <row r="8512" spans="6:6" x14ac:dyDescent="0.3">
      <c r="F8512" s="89" t="str">
        <v/>
      </c>
    </row>
    <row r="8513" spans="6:6" x14ac:dyDescent="0.3">
      <c r="F8513" s="89" t="str">
        <v/>
      </c>
    </row>
    <row r="8514" spans="6:6" x14ac:dyDescent="0.3">
      <c r="F8514" s="89" t="str">
        <v/>
      </c>
    </row>
    <row r="8515" spans="6:6" x14ac:dyDescent="0.3">
      <c r="F8515" s="89" t="str">
        <v/>
      </c>
    </row>
    <row r="8516" spans="6:6" x14ac:dyDescent="0.3">
      <c r="F8516" s="89" t="str">
        <v/>
      </c>
    </row>
    <row r="8517" spans="6:6" x14ac:dyDescent="0.3">
      <c r="F8517" s="89" t="str">
        <v/>
      </c>
    </row>
    <row r="8518" spans="6:6" x14ac:dyDescent="0.3">
      <c r="F8518" s="89" t="str">
        <v/>
      </c>
    </row>
    <row r="8519" spans="6:6" x14ac:dyDescent="0.3">
      <c r="F8519" s="89" t="str">
        <v/>
      </c>
    </row>
    <row r="8520" spans="6:6" x14ac:dyDescent="0.3">
      <c r="F8520" s="89" t="str">
        <v/>
      </c>
    </row>
    <row r="8521" spans="6:6" x14ac:dyDescent="0.3">
      <c r="F8521" s="89" t="str">
        <v/>
      </c>
    </row>
    <row r="8522" spans="6:6" x14ac:dyDescent="0.3">
      <c r="F8522" s="89" t="str">
        <v/>
      </c>
    </row>
    <row r="8523" spans="6:6" x14ac:dyDescent="0.3">
      <c r="F8523" s="89" t="str">
        <v/>
      </c>
    </row>
    <row r="8524" spans="6:6" x14ac:dyDescent="0.3">
      <c r="F8524" s="89" t="str">
        <v/>
      </c>
    </row>
    <row r="8525" spans="6:6" x14ac:dyDescent="0.3">
      <c r="F8525" s="89" t="str">
        <v/>
      </c>
    </row>
    <row r="8526" spans="6:6" x14ac:dyDescent="0.3">
      <c r="F8526" s="89" t="str">
        <v/>
      </c>
    </row>
    <row r="8527" spans="6:6" x14ac:dyDescent="0.3">
      <c r="F8527" s="89" t="str">
        <v/>
      </c>
    </row>
    <row r="8528" spans="6:6" x14ac:dyDescent="0.3">
      <c r="F8528" s="89" t="str">
        <v/>
      </c>
    </row>
    <row r="8529" spans="6:6" x14ac:dyDescent="0.3">
      <c r="F8529" s="89" t="str">
        <v/>
      </c>
    </row>
    <row r="8530" spans="6:6" x14ac:dyDescent="0.3">
      <c r="F8530" s="89" t="str">
        <v/>
      </c>
    </row>
    <row r="8531" spans="6:6" x14ac:dyDescent="0.3">
      <c r="F8531" s="89" t="str">
        <v/>
      </c>
    </row>
    <row r="8532" spans="6:6" x14ac:dyDescent="0.3">
      <c r="F8532" s="89" t="str">
        <v/>
      </c>
    </row>
    <row r="8533" spans="6:6" x14ac:dyDescent="0.3">
      <c r="F8533" s="89" t="str">
        <v/>
      </c>
    </row>
    <row r="8534" spans="6:6" x14ac:dyDescent="0.3">
      <c r="F8534" s="89" t="str">
        <v/>
      </c>
    </row>
    <row r="8535" spans="6:6" x14ac:dyDescent="0.3">
      <c r="F8535" s="89" t="str">
        <v/>
      </c>
    </row>
    <row r="8536" spans="6:6" x14ac:dyDescent="0.3">
      <c r="F8536" s="89" t="str">
        <v/>
      </c>
    </row>
    <row r="8537" spans="6:6" x14ac:dyDescent="0.3">
      <c r="F8537" s="89" t="str">
        <v/>
      </c>
    </row>
    <row r="8538" spans="6:6" x14ac:dyDescent="0.3">
      <c r="F8538" s="89" t="str">
        <v/>
      </c>
    </row>
    <row r="8539" spans="6:6" x14ac:dyDescent="0.3">
      <c r="F8539" s="89" t="str">
        <v/>
      </c>
    </row>
    <row r="8540" spans="6:6" x14ac:dyDescent="0.3">
      <c r="F8540" s="89" t="str">
        <v/>
      </c>
    </row>
    <row r="8541" spans="6:6" x14ac:dyDescent="0.3">
      <c r="F8541" s="89" t="str">
        <v/>
      </c>
    </row>
    <row r="8542" spans="6:6" x14ac:dyDescent="0.3">
      <c r="F8542" s="89" t="str">
        <v/>
      </c>
    </row>
    <row r="8543" spans="6:6" x14ac:dyDescent="0.3">
      <c r="F8543" s="89" t="str">
        <v/>
      </c>
    </row>
    <row r="8544" spans="6:6" x14ac:dyDescent="0.3">
      <c r="F8544" s="89" t="str">
        <v/>
      </c>
    </row>
    <row r="8545" spans="6:6" x14ac:dyDescent="0.3">
      <c r="F8545" s="89" t="str">
        <v/>
      </c>
    </row>
    <row r="8546" spans="6:6" x14ac:dyDescent="0.3">
      <c r="F8546" s="89" t="str">
        <v/>
      </c>
    </row>
    <row r="8547" spans="6:6" x14ac:dyDescent="0.3">
      <c r="F8547" s="89" t="str">
        <v/>
      </c>
    </row>
    <row r="8548" spans="6:6" x14ac:dyDescent="0.3">
      <c r="F8548" s="89" t="str">
        <v/>
      </c>
    </row>
    <row r="8549" spans="6:6" x14ac:dyDescent="0.3">
      <c r="F8549" s="89" t="str">
        <v/>
      </c>
    </row>
    <row r="8550" spans="6:6" x14ac:dyDescent="0.3">
      <c r="F8550" s="89" t="str">
        <v/>
      </c>
    </row>
    <row r="8551" spans="6:6" x14ac:dyDescent="0.3">
      <c r="F8551" s="89" t="str">
        <v/>
      </c>
    </row>
    <row r="8552" spans="6:6" x14ac:dyDescent="0.3">
      <c r="F8552" s="89" t="str">
        <v/>
      </c>
    </row>
    <row r="8553" spans="6:6" x14ac:dyDescent="0.3">
      <c r="F8553" s="89" t="str">
        <v/>
      </c>
    </row>
    <row r="8554" spans="6:6" x14ac:dyDescent="0.3">
      <c r="F8554" s="89" t="str">
        <v/>
      </c>
    </row>
    <row r="8555" spans="6:6" x14ac:dyDescent="0.3">
      <c r="F8555" s="89" t="str">
        <v/>
      </c>
    </row>
    <row r="8556" spans="6:6" x14ac:dyDescent="0.3">
      <c r="F8556" s="89" t="str">
        <v/>
      </c>
    </row>
    <row r="8557" spans="6:6" x14ac:dyDescent="0.3">
      <c r="F8557" s="89" t="str">
        <v/>
      </c>
    </row>
    <row r="8558" spans="6:6" x14ac:dyDescent="0.3">
      <c r="F8558" s="89" t="str">
        <v/>
      </c>
    </row>
    <row r="8559" spans="6:6" x14ac:dyDescent="0.3">
      <c r="F8559" s="89" t="str">
        <v/>
      </c>
    </row>
    <row r="8560" spans="6:6" x14ac:dyDescent="0.3">
      <c r="F8560" s="89" t="str">
        <v/>
      </c>
    </row>
    <row r="8561" spans="6:6" x14ac:dyDescent="0.3">
      <c r="F8561" s="89" t="str">
        <v/>
      </c>
    </row>
    <row r="8562" spans="6:6" x14ac:dyDescent="0.3">
      <c r="F8562" s="89" t="str">
        <v/>
      </c>
    </row>
    <row r="8563" spans="6:6" x14ac:dyDescent="0.3">
      <c r="F8563" s="89" t="str">
        <v/>
      </c>
    </row>
    <row r="8564" spans="6:6" x14ac:dyDescent="0.3">
      <c r="F8564" s="89" t="str">
        <v/>
      </c>
    </row>
    <row r="8565" spans="6:6" x14ac:dyDescent="0.3">
      <c r="F8565" s="89" t="str">
        <v/>
      </c>
    </row>
    <row r="8566" spans="6:6" x14ac:dyDescent="0.3">
      <c r="F8566" s="89" t="str">
        <v/>
      </c>
    </row>
    <row r="8567" spans="6:6" x14ac:dyDescent="0.3">
      <c r="F8567" s="89" t="str">
        <v/>
      </c>
    </row>
    <row r="8568" spans="6:6" x14ac:dyDescent="0.3">
      <c r="F8568" s="89" t="str">
        <v/>
      </c>
    </row>
    <row r="8569" spans="6:6" x14ac:dyDescent="0.3">
      <c r="F8569" s="89" t="str">
        <v/>
      </c>
    </row>
    <row r="8570" spans="6:6" x14ac:dyDescent="0.3">
      <c r="F8570" s="89" t="str">
        <v/>
      </c>
    </row>
    <row r="8571" spans="6:6" x14ac:dyDescent="0.3">
      <c r="F8571" s="89" t="str">
        <v/>
      </c>
    </row>
    <row r="8572" spans="6:6" x14ac:dyDescent="0.3">
      <c r="F8572" s="89" t="str">
        <v/>
      </c>
    </row>
    <row r="8573" spans="6:6" x14ac:dyDescent="0.3">
      <c r="F8573" s="89" t="str">
        <v/>
      </c>
    </row>
    <row r="8574" spans="6:6" x14ac:dyDescent="0.3">
      <c r="F8574" s="89" t="str">
        <v/>
      </c>
    </row>
    <row r="8575" spans="6:6" x14ac:dyDescent="0.3">
      <c r="F8575" s="89" t="str">
        <v/>
      </c>
    </row>
    <row r="8576" spans="6:6" x14ac:dyDescent="0.3">
      <c r="F8576" s="89" t="str">
        <v/>
      </c>
    </row>
    <row r="8577" spans="6:6" x14ac:dyDescent="0.3">
      <c r="F8577" s="89" t="str">
        <v/>
      </c>
    </row>
    <row r="8578" spans="6:6" x14ac:dyDescent="0.3">
      <c r="F8578" s="89" t="str">
        <v/>
      </c>
    </row>
    <row r="8579" spans="6:6" x14ac:dyDescent="0.3">
      <c r="F8579" s="89" t="str">
        <v/>
      </c>
    </row>
    <row r="8580" spans="6:6" x14ac:dyDescent="0.3">
      <c r="F8580" s="89" t="str">
        <v/>
      </c>
    </row>
    <row r="8581" spans="6:6" x14ac:dyDescent="0.3">
      <c r="F8581" s="89" t="str">
        <v/>
      </c>
    </row>
    <row r="8582" spans="6:6" x14ac:dyDescent="0.3">
      <c r="F8582" s="89" t="str">
        <v/>
      </c>
    </row>
    <row r="8583" spans="6:6" x14ac:dyDescent="0.3">
      <c r="F8583" s="89" t="str">
        <v/>
      </c>
    </row>
    <row r="8584" spans="6:6" x14ac:dyDescent="0.3">
      <c r="F8584" s="89" t="str">
        <v/>
      </c>
    </row>
    <row r="8585" spans="6:6" x14ac:dyDescent="0.3">
      <c r="F8585" s="89" t="str">
        <v/>
      </c>
    </row>
    <row r="8586" spans="6:6" x14ac:dyDescent="0.3">
      <c r="F8586" s="89" t="str">
        <v/>
      </c>
    </row>
    <row r="8587" spans="6:6" x14ac:dyDescent="0.3">
      <c r="F8587" s="89" t="str">
        <v/>
      </c>
    </row>
    <row r="8588" spans="6:6" x14ac:dyDescent="0.3">
      <c r="F8588" s="89" t="str">
        <v/>
      </c>
    </row>
    <row r="8589" spans="6:6" x14ac:dyDescent="0.3">
      <c r="F8589" s="89" t="str">
        <v/>
      </c>
    </row>
    <row r="8590" spans="6:6" x14ac:dyDescent="0.3">
      <c r="F8590" s="89" t="str">
        <v/>
      </c>
    </row>
    <row r="8591" spans="6:6" x14ac:dyDescent="0.3">
      <c r="F8591" s="89" t="str">
        <v/>
      </c>
    </row>
    <row r="8592" spans="6:6" x14ac:dyDescent="0.3">
      <c r="F8592" s="89" t="str">
        <v/>
      </c>
    </row>
    <row r="8593" spans="6:6" x14ac:dyDescent="0.3">
      <c r="F8593" s="89" t="str">
        <v/>
      </c>
    </row>
    <row r="8594" spans="6:6" x14ac:dyDescent="0.3">
      <c r="F8594" s="89" t="str">
        <v/>
      </c>
    </row>
    <row r="8595" spans="6:6" x14ac:dyDescent="0.3">
      <c r="F8595" s="89" t="str">
        <v/>
      </c>
    </row>
    <row r="8596" spans="6:6" x14ac:dyDescent="0.3">
      <c r="F8596" s="89" t="str">
        <v/>
      </c>
    </row>
    <row r="8597" spans="6:6" x14ac:dyDescent="0.3">
      <c r="F8597" s="89" t="str">
        <v/>
      </c>
    </row>
    <row r="8598" spans="6:6" x14ac:dyDescent="0.3">
      <c r="F8598" s="89" t="str">
        <v/>
      </c>
    </row>
    <row r="8599" spans="6:6" x14ac:dyDescent="0.3">
      <c r="F8599" s="89" t="str">
        <v/>
      </c>
    </row>
    <row r="8600" spans="6:6" x14ac:dyDescent="0.3">
      <c r="F8600" s="89" t="str">
        <v/>
      </c>
    </row>
    <row r="8601" spans="6:6" x14ac:dyDescent="0.3">
      <c r="F8601" s="89" t="str">
        <v/>
      </c>
    </row>
    <row r="8602" spans="6:6" x14ac:dyDescent="0.3">
      <c r="F8602" s="89" t="str">
        <v/>
      </c>
    </row>
    <row r="8603" spans="6:6" x14ac:dyDescent="0.3">
      <c r="F8603" s="89" t="str">
        <v/>
      </c>
    </row>
    <row r="8604" spans="6:6" x14ac:dyDescent="0.3">
      <c r="F8604" s="89" t="str">
        <v/>
      </c>
    </row>
    <row r="8605" spans="6:6" x14ac:dyDescent="0.3">
      <c r="F8605" s="89" t="str">
        <v/>
      </c>
    </row>
    <row r="8606" spans="6:6" x14ac:dyDescent="0.3">
      <c r="F8606" s="89" t="str">
        <v/>
      </c>
    </row>
    <row r="8607" spans="6:6" x14ac:dyDescent="0.3">
      <c r="F8607" s="89" t="str">
        <v/>
      </c>
    </row>
    <row r="8608" spans="6:6" x14ac:dyDescent="0.3">
      <c r="F8608" s="89" t="str">
        <v/>
      </c>
    </row>
    <row r="8609" spans="6:6" x14ac:dyDescent="0.3">
      <c r="F8609" s="89" t="str">
        <v/>
      </c>
    </row>
    <row r="8610" spans="6:6" x14ac:dyDescent="0.3">
      <c r="F8610" s="89" t="str">
        <v/>
      </c>
    </row>
    <row r="8611" spans="6:6" x14ac:dyDescent="0.3">
      <c r="F8611" s="89" t="str">
        <v/>
      </c>
    </row>
    <row r="8612" spans="6:6" x14ac:dyDescent="0.3">
      <c r="F8612" s="89" t="str">
        <v/>
      </c>
    </row>
    <row r="8613" spans="6:6" x14ac:dyDescent="0.3">
      <c r="F8613" s="89" t="str">
        <v/>
      </c>
    </row>
    <row r="8614" spans="6:6" x14ac:dyDescent="0.3">
      <c r="F8614" s="89" t="str">
        <v/>
      </c>
    </row>
    <row r="8615" spans="6:6" x14ac:dyDescent="0.3">
      <c r="F8615" s="89" t="str">
        <v/>
      </c>
    </row>
    <row r="8616" spans="6:6" x14ac:dyDescent="0.3">
      <c r="F8616" s="89" t="str">
        <v/>
      </c>
    </row>
    <row r="8617" spans="6:6" x14ac:dyDescent="0.3">
      <c r="F8617" s="89" t="str">
        <v/>
      </c>
    </row>
    <row r="8618" spans="6:6" x14ac:dyDescent="0.3">
      <c r="F8618" s="89" t="str">
        <v/>
      </c>
    </row>
    <row r="8619" spans="6:6" x14ac:dyDescent="0.3">
      <c r="F8619" s="89" t="str">
        <v/>
      </c>
    </row>
    <row r="8620" spans="6:6" x14ac:dyDescent="0.3">
      <c r="F8620" s="89" t="str">
        <v/>
      </c>
    </row>
    <row r="8621" spans="6:6" x14ac:dyDescent="0.3">
      <c r="F8621" s="89" t="str">
        <v/>
      </c>
    </row>
    <row r="8622" spans="6:6" x14ac:dyDescent="0.3">
      <c r="F8622" s="89" t="str">
        <v/>
      </c>
    </row>
    <row r="8623" spans="6:6" x14ac:dyDescent="0.3">
      <c r="F8623" s="89" t="str">
        <v/>
      </c>
    </row>
    <row r="8624" spans="6:6" x14ac:dyDescent="0.3">
      <c r="F8624" s="89" t="str">
        <v/>
      </c>
    </row>
    <row r="8625" spans="6:6" x14ac:dyDescent="0.3">
      <c r="F8625" s="89" t="str">
        <v/>
      </c>
    </row>
    <row r="8626" spans="6:6" x14ac:dyDescent="0.3">
      <c r="F8626" s="89" t="str">
        <v/>
      </c>
    </row>
    <row r="8627" spans="6:6" x14ac:dyDescent="0.3">
      <c r="F8627" s="89" t="str">
        <v/>
      </c>
    </row>
    <row r="8628" spans="6:6" x14ac:dyDescent="0.3">
      <c r="F8628" s="89" t="str">
        <v/>
      </c>
    </row>
    <row r="8629" spans="6:6" x14ac:dyDescent="0.3">
      <c r="F8629" s="89" t="str">
        <v/>
      </c>
    </row>
    <row r="8630" spans="6:6" x14ac:dyDescent="0.3">
      <c r="F8630" s="89" t="str">
        <v/>
      </c>
    </row>
    <row r="8631" spans="6:6" x14ac:dyDescent="0.3">
      <c r="F8631" s="89" t="str">
        <v/>
      </c>
    </row>
    <row r="8632" spans="6:6" x14ac:dyDescent="0.3">
      <c r="F8632" s="89" t="str">
        <v/>
      </c>
    </row>
    <row r="8633" spans="6:6" x14ac:dyDescent="0.3">
      <c r="F8633" s="89" t="str">
        <v/>
      </c>
    </row>
    <row r="8634" spans="6:6" x14ac:dyDescent="0.3">
      <c r="F8634" s="89" t="str">
        <v/>
      </c>
    </row>
    <row r="8635" spans="6:6" x14ac:dyDescent="0.3">
      <c r="F8635" s="89" t="str">
        <v/>
      </c>
    </row>
    <row r="8636" spans="6:6" x14ac:dyDescent="0.3">
      <c r="F8636" s="89" t="str">
        <v/>
      </c>
    </row>
    <row r="8637" spans="6:6" x14ac:dyDescent="0.3">
      <c r="F8637" s="89" t="str">
        <v/>
      </c>
    </row>
    <row r="8638" spans="6:6" x14ac:dyDescent="0.3">
      <c r="F8638" s="89" t="str">
        <v/>
      </c>
    </row>
    <row r="8639" spans="6:6" x14ac:dyDescent="0.3">
      <c r="F8639" s="89" t="str">
        <v/>
      </c>
    </row>
    <row r="8640" spans="6:6" x14ac:dyDescent="0.3">
      <c r="F8640" s="89" t="str">
        <v/>
      </c>
    </row>
    <row r="8641" spans="6:6" x14ac:dyDescent="0.3">
      <c r="F8641" s="89" t="str">
        <v/>
      </c>
    </row>
    <row r="8642" spans="6:6" x14ac:dyDescent="0.3">
      <c r="F8642" s="89" t="str">
        <v/>
      </c>
    </row>
    <row r="8643" spans="6:6" x14ac:dyDescent="0.3">
      <c r="F8643" s="89" t="str">
        <v/>
      </c>
    </row>
    <row r="8644" spans="6:6" x14ac:dyDescent="0.3">
      <c r="F8644" s="89" t="str">
        <v/>
      </c>
    </row>
    <row r="8645" spans="6:6" x14ac:dyDescent="0.3">
      <c r="F8645" s="89" t="str">
        <v/>
      </c>
    </row>
    <row r="8646" spans="6:6" x14ac:dyDescent="0.3">
      <c r="F8646" s="89" t="str">
        <v/>
      </c>
    </row>
    <row r="8647" spans="6:6" x14ac:dyDescent="0.3">
      <c r="F8647" s="89" t="str">
        <v/>
      </c>
    </row>
    <row r="8648" spans="6:6" x14ac:dyDescent="0.3">
      <c r="F8648" s="89" t="str">
        <v/>
      </c>
    </row>
    <row r="8649" spans="6:6" x14ac:dyDescent="0.3">
      <c r="F8649" s="89" t="str">
        <v/>
      </c>
    </row>
    <row r="8650" spans="6:6" x14ac:dyDescent="0.3">
      <c r="F8650" s="89" t="str">
        <v/>
      </c>
    </row>
    <row r="8651" spans="6:6" x14ac:dyDescent="0.3">
      <c r="F8651" s="89" t="str">
        <v/>
      </c>
    </row>
    <row r="8652" spans="6:6" x14ac:dyDescent="0.3">
      <c r="F8652" s="89" t="str">
        <v/>
      </c>
    </row>
    <row r="8653" spans="6:6" x14ac:dyDescent="0.3">
      <c r="F8653" s="89" t="str">
        <v/>
      </c>
    </row>
    <row r="8654" spans="6:6" x14ac:dyDescent="0.3">
      <c r="F8654" s="89" t="str">
        <v/>
      </c>
    </row>
    <row r="8655" spans="6:6" x14ac:dyDescent="0.3">
      <c r="F8655" s="89" t="str">
        <v/>
      </c>
    </row>
    <row r="8656" spans="6:6" x14ac:dyDescent="0.3">
      <c r="F8656" s="89" t="str">
        <v/>
      </c>
    </row>
    <row r="8657" spans="6:6" x14ac:dyDescent="0.3">
      <c r="F8657" s="89" t="str">
        <v/>
      </c>
    </row>
    <row r="8658" spans="6:6" x14ac:dyDescent="0.3">
      <c r="F8658" s="89" t="str">
        <v/>
      </c>
    </row>
    <row r="8659" spans="6:6" x14ac:dyDescent="0.3">
      <c r="F8659" s="89" t="str">
        <v/>
      </c>
    </row>
    <row r="8660" spans="6:6" x14ac:dyDescent="0.3">
      <c r="F8660" s="89" t="str">
        <v/>
      </c>
    </row>
    <row r="8661" spans="6:6" x14ac:dyDescent="0.3">
      <c r="F8661" s="89" t="str">
        <v/>
      </c>
    </row>
    <row r="8662" spans="6:6" x14ac:dyDescent="0.3">
      <c r="F8662" s="89" t="str">
        <v/>
      </c>
    </row>
    <row r="8663" spans="6:6" x14ac:dyDescent="0.3">
      <c r="F8663" s="89" t="str">
        <v/>
      </c>
    </row>
    <row r="8664" spans="6:6" x14ac:dyDescent="0.3">
      <c r="F8664" s="89" t="str">
        <v/>
      </c>
    </row>
    <row r="8665" spans="6:6" x14ac:dyDescent="0.3">
      <c r="F8665" s="89" t="str">
        <v/>
      </c>
    </row>
    <row r="8666" spans="6:6" x14ac:dyDescent="0.3">
      <c r="F8666" s="89" t="str">
        <v/>
      </c>
    </row>
    <row r="8667" spans="6:6" x14ac:dyDescent="0.3">
      <c r="F8667" s="89" t="str">
        <v/>
      </c>
    </row>
    <row r="8668" spans="6:6" x14ac:dyDescent="0.3">
      <c r="F8668" s="89" t="str">
        <v/>
      </c>
    </row>
    <row r="8669" spans="6:6" x14ac:dyDescent="0.3">
      <c r="F8669" s="89" t="str">
        <v/>
      </c>
    </row>
    <row r="8670" spans="6:6" x14ac:dyDescent="0.3">
      <c r="F8670" s="89" t="str">
        <v/>
      </c>
    </row>
    <row r="8671" spans="6:6" x14ac:dyDescent="0.3">
      <c r="F8671" s="89" t="str">
        <v/>
      </c>
    </row>
    <row r="8672" spans="6:6" x14ac:dyDescent="0.3">
      <c r="F8672" s="89" t="str">
        <v/>
      </c>
    </row>
    <row r="8673" spans="6:6" x14ac:dyDescent="0.3">
      <c r="F8673" s="89" t="str">
        <v/>
      </c>
    </row>
    <row r="8674" spans="6:6" x14ac:dyDescent="0.3">
      <c r="F8674" s="89" t="str">
        <v/>
      </c>
    </row>
    <row r="8675" spans="6:6" x14ac:dyDescent="0.3">
      <c r="F8675" s="89" t="str">
        <v/>
      </c>
    </row>
    <row r="8676" spans="6:6" x14ac:dyDescent="0.3">
      <c r="F8676" s="89" t="str">
        <v/>
      </c>
    </row>
    <row r="8677" spans="6:6" x14ac:dyDescent="0.3">
      <c r="F8677" s="89" t="str">
        <v/>
      </c>
    </row>
    <row r="8678" spans="6:6" x14ac:dyDescent="0.3">
      <c r="F8678" s="89" t="str">
        <v/>
      </c>
    </row>
    <row r="8679" spans="6:6" x14ac:dyDescent="0.3">
      <c r="F8679" s="89" t="str">
        <v/>
      </c>
    </row>
    <row r="8680" spans="6:6" x14ac:dyDescent="0.3">
      <c r="F8680" s="89" t="str">
        <v/>
      </c>
    </row>
    <row r="8681" spans="6:6" x14ac:dyDescent="0.3">
      <c r="F8681" s="89" t="str">
        <v/>
      </c>
    </row>
    <row r="8682" spans="6:6" x14ac:dyDescent="0.3">
      <c r="F8682" s="89" t="str">
        <v/>
      </c>
    </row>
    <row r="8683" spans="6:6" x14ac:dyDescent="0.3">
      <c r="F8683" s="89" t="str">
        <v/>
      </c>
    </row>
    <row r="8684" spans="6:6" x14ac:dyDescent="0.3">
      <c r="F8684" s="89" t="str">
        <v/>
      </c>
    </row>
    <row r="8685" spans="6:6" x14ac:dyDescent="0.3">
      <c r="F8685" s="89" t="str">
        <v/>
      </c>
    </row>
    <row r="8686" spans="6:6" x14ac:dyDescent="0.3">
      <c r="F8686" s="89" t="str">
        <v/>
      </c>
    </row>
    <row r="8687" spans="6:6" x14ac:dyDescent="0.3">
      <c r="F8687" s="89" t="str">
        <v/>
      </c>
    </row>
    <row r="8688" spans="6:6" x14ac:dyDescent="0.3">
      <c r="F8688" s="89" t="str">
        <v/>
      </c>
    </row>
    <row r="8689" spans="6:6" x14ac:dyDescent="0.3">
      <c r="F8689" s="89" t="str">
        <v/>
      </c>
    </row>
    <row r="8690" spans="6:6" x14ac:dyDescent="0.3">
      <c r="F8690" s="89" t="str">
        <v/>
      </c>
    </row>
    <row r="8691" spans="6:6" x14ac:dyDescent="0.3">
      <c r="F8691" s="89" t="str">
        <v/>
      </c>
    </row>
    <row r="8692" spans="6:6" x14ac:dyDescent="0.3">
      <c r="F8692" s="89" t="str">
        <v/>
      </c>
    </row>
    <row r="8693" spans="6:6" x14ac:dyDescent="0.3">
      <c r="F8693" s="89" t="str">
        <v/>
      </c>
    </row>
    <row r="8694" spans="6:6" x14ac:dyDescent="0.3">
      <c r="F8694" s="89" t="str">
        <v/>
      </c>
    </row>
    <row r="8695" spans="6:6" x14ac:dyDescent="0.3">
      <c r="F8695" s="89" t="str">
        <v/>
      </c>
    </row>
    <row r="8696" spans="6:6" x14ac:dyDescent="0.3">
      <c r="F8696" s="89" t="str">
        <v/>
      </c>
    </row>
    <row r="8697" spans="6:6" x14ac:dyDescent="0.3">
      <c r="F8697" s="89" t="str">
        <v/>
      </c>
    </row>
    <row r="8698" spans="6:6" x14ac:dyDescent="0.3">
      <c r="F8698" s="89" t="str">
        <v/>
      </c>
    </row>
    <row r="8699" spans="6:6" x14ac:dyDescent="0.3">
      <c r="F8699" s="89" t="str">
        <v/>
      </c>
    </row>
    <row r="8700" spans="6:6" x14ac:dyDescent="0.3">
      <c r="F8700" s="89" t="str">
        <v/>
      </c>
    </row>
    <row r="8701" spans="6:6" x14ac:dyDescent="0.3">
      <c r="F8701" s="89" t="str">
        <v/>
      </c>
    </row>
    <row r="8702" spans="6:6" x14ac:dyDescent="0.3">
      <c r="F8702" s="89" t="str">
        <v/>
      </c>
    </row>
    <row r="8703" spans="6:6" x14ac:dyDescent="0.3">
      <c r="F8703" s="89" t="str">
        <v/>
      </c>
    </row>
    <row r="8704" spans="6:6" x14ac:dyDescent="0.3">
      <c r="F8704" s="89" t="str">
        <v/>
      </c>
    </row>
    <row r="8705" spans="6:6" x14ac:dyDescent="0.3">
      <c r="F8705" s="89" t="str">
        <v/>
      </c>
    </row>
    <row r="8706" spans="6:6" x14ac:dyDescent="0.3">
      <c r="F8706" s="89" t="str">
        <v/>
      </c>
    </row>
    <row r="8707" spans="6:6" x14ac:dyDescent="0.3">
      <c r="F8707" s="89" t="str">
        <v/>
      </c>
    </row>
    <row r="8708" spans="6:6" x14ac:dyDescent="0.3">
      <c r="F8708" s="89" t="str">
        <v/>
      </c>
    </row>
    <row r="8709" spans="6:6" x14ac:dyDescent="0.3">
      <c r="F8709" s="89" t="str">
        <v/>
      </c>
    </row>
    <row r="8710" spans="6:6" x14ac:dyDescent="0.3">
      <c r="F8710" s="89" t="str">
        <v/>
      </c>
    </row>
    <row r="8711" spans="6:6" x14ac:dyDescent="0.3">
      <c r="F8711" s="89" t="str">
        <v/>
      </c>
    </row>
    <row r="8712" spans="6:6" x14ac:dyDescent="0.3">
      <c r="F8712" s="89" t="str">
        <v/>
      </c>
    </row>
    <row r="8713" spans="6:6" x14ac:dyDescent="0.3">
      <c r="F8713" s="89" t="str">
        <v/>
      </c>
    </row>
    <row r="8714" spans="6:6" x14ac:dyDescent="0.3">
      <c r="F8714" s="89" t="str">
        <v/>
      </c>
    </row>
    <row r="8715" spans="6:6" x14ac:dyDescent="0.3">
      <c r="F8715" s="89" t="str">
        <v/>
      </c>
    </row>
    <row r="8716" spans="6:6" x14ac:dyDescent="0.3">
      <c r="F8716" s="89" t="str">
        <v/>
      </c>
    </row>
    <row r="8717" spans="6:6" x14ac:dyDescent="0.3">
      <c r="F8717" s="89" t="str">
        <v/>
      </c>
    </row>
    <row r="8718" spans="6:6" x14ac:dyDescent="0.3">
      <c r="F8718" s="89" t="str">
        <v/>
      </c>
    </row>
    <row r="8719" spans="6:6" x14ac:dyDescent="0.3">
      <c r="F8719" s="89" t="str">
        <v/>
      </c>
    </row>
    <row r="8720" spans="6:6" x14ac:dyDescent="0.3">
      <c r="F8720" s="89" t="str">
        <v/>
      </c>
    </row>
    <row r="8721" spans="6:6" x14ac:dyDescent="0.3">
      <c r="F8721" s="89" t="str">
        <v/>
      </c>
    </row>
    <row r="8722" spans="6:6" x14ac:dyDescent="0.3">
      <c r="F8722" s="89" t="str">
        <v/>
      </c>
    </row>
    <row r="8723" spans="6:6" x14ac:dyDescent="0.3">
      <c r="F8723" s="89" t="str">
        <v/>
      </c>
    </row>
    <row r="8724" spans="6:6" x14ac:dyDescent="0.3">
      <c r="F8724" s="89" t="str">
        <v/>
      </c>
    </row>
    <row r="8725" spans="6:6" x14ac:dyDescent="0.3">
      <c r="F8725" s="89" t="str">
        <v/>
      </c>
    </row>
    <row r="8726" spans="6:6" x14ac:dyDescent="0.3">
      <c r="F8726" s="89" t="str">
        <v/>
      </c>
    </row>
    <row r="8727" spans="6:6" x14ac:dyDescent="0.3">
      <c r="F8727" s="89" t="str">
        <v/>
      </c>
    </row>
    <row r="8728" spans="6:6" x14ac:dyDescent="0.3">
      <c r="F8728" s="89" t="str">
        <v/>
      </c>
    </row>
    <row r="8729" spans="6:6" x14ac:dyDescent="0.3">
      <c r="F8729" s="89" t="str">
        <v/>
      </c>
    </row>
    <row r="8730" spans="6:6" x14ac:dyDescent="0.3">
      <c r="F8730" s="89" t="str">
        <v/>
      </c>
    </row>
    <row r="8731" spans="6:6" x14ac:dyDescent="0.3">
      <c r="F8731" s="89" t="str">
        <v/>
      </c>
    </row>
    <row r="8732" spans="6:6" x14ac:dyDescent="0.3">
      <c r="F8732" s="89" t="str">
        <v/>
      </c>
    </row>
    <row r="8733" spans="6:6" x14ac:dyDescent="0.3">
      <c r="F8733" s="89" t="str">
        <v/>
      </c>
    </row>
    <row r="8734" spans="6:6" x14ac:dyDescent="0.3">
      <c r="F8734" s="89" t="str">
        <v/>
      </c>
    </row>
    <row r="8735" spans="6:6" x14ac:dyDescent="0.3">
      <c r="F8735" s="89" t="str">
        <v/>
      </c>
    </row>
    <row r="8736" spans="6:6" x14ac:dyDescent="0.3">
      <c r="F8736" s="89" t="str">
        <v/>
      </c>
    </row>
    <row r="8737" spans="6:6" x14ac:dyDescent="0.3">
      <c r="F8737" s="89" t="str">
        <v/>
      </c>
    </row>
    <row r="8738" spans="6:6" x14ac:dyDescent="0.3">
      <c r="F8738" s="89" t="str">
        <v/>
      </c>
    </row>
    <row r="8739" spans="6:6" x14ac:dyDescent="0.3">
      <c r="F8739" s="89" t="str">
        <v/>
      </c>
    </row>
    <row r="8740" spans="6:6" x14ac:dyDescent="0.3">
      <c r="F8740" s="89" t="str">
        <v/>
      </c>
    </row>
    <row r="8741" spans="6:6" x14ac:dyDescent="0.3">
      <c r="F8741" s="89" t="str">
        <v/>
      </c>
    </row>
    <row r="8742" spans="6:6" x14ac:dyDescent="0.3">
      <c r="F8742" s="89" t="str">
        <v/>
      </c>
    </row>
    <row r="8743" spans="6:6" x14ac:dyDescent="0.3">
      <c r="F8743" s="89" t="str">
        <v/>
      </c>
    </row>
    <row r="8744" spans="6:6" x14ac:dyDescent="0.3">
      <c r="F8744" s="89" t="str">
        <v/>
      </c>
    </row>
    <row r="8745" spans="6:6" x14ac:dyDescent="0.3">
      <c r="F8745" s="89" t="str">
        <v/>
      </c>
    </row>
    <row r="8746" spans="6:6" x14ac:dyDescent="0.3">
      <c r="F8746" s="89" t="str">
        <v/>
      </c>
    </row>
    <row r="8747" spans="6:6" x14ac:dyDescent="0.3">
      <c r="F8747" s="89" t="str">
        <v/>
      </c>
    </row>
    <row r="8748" spans="6:6" x14ac:dyDescent="0.3">
      <c r="F8748" s="89" t="str">
        <v/>
      </c>
    </row>
    <row r="8749" spans="6:6" x14ac:dyDescent="0.3">
      <c r="F8749" s="89" t="str">
        <v/>
      </c>
    </row>
    <row r="8750" spans="6:6" x14ac:dyDescent="0.3">
      <c r="F8750" s="89" t="str">
        <v/>
      </c>
    </row>
    <row r="8751" spans="6:6" x14ac:dyDescent="0.3">
      <c r="F8751" s="89" t="str">
        <v/>
      </c>
    </row>
    <row r="8752" spans="6:6" x14ac:dyDescent="0.3">
      <c r="F8752" s="89" t="str">
        <v/>
      </c>
    </row>
    <row r="8753" spans="6:6" x14ac:dyDescent="0.3">
      <c r="F8753" s="89" t="str">
        <v/>
      </c>
    </row>
    <row r="8754" spans="6:6" x14ac:dyDescent="0.3">
      <c r="F8754" s="89" t="str">
        <v/>
      </c>
    </row>
    <row r="8755" spans="6:6" x14ac:dyDescent="0.3">
      <c r="F8755" s="89" t="str">
        <v/>
      </c>
    </row>
    <row r="8756" spans="6:6" x14ac:dyDescent="0.3">
      <c r="F8756" s="89" t="str">
        <v/>
      </c>
    </row>
    <row r="8757" spans="6:6" x14ac:dyDescent="0.3">
      <c r="F8757" s="89" t="str">
        <v/>
      </c>
    </row>
    <row r="8758" spans="6:6" x14ac:dyDescent="0.3">
      <c r="F8758" s="89" t="str">
        <v/>
      </c>
    </row>
    <row r="8759" spans="6:6" x14ac:dyDescent="0.3">
      <c r="F8759" s="89" t="str">
        <v/>
      </c>
    </row>
    <row r="8760" spans="6:6" x14ac:dyDescent="0.3">
      <c r="F8760" s="89" t="str">
        <v/>
      </c>
    </row>
    <row r="8761" spans="6:6" x14ac:dyDescent="0.3">
      <c r="F8761" s="89" t="str">
        <v/>
      </c>
    </row>
    <row r="8762" spans="6:6" x14ac:dyDescent="0.3">
      <c r="F8762" s="89" t="str">
        <v/>
      </c>
    </row>
    <row r="8763" spans="6:6" x14ac:dyDescent="0.3">
      <c r="F8763" s="89" t="str">
        <v/>
      </c>
    </row>
    <row r="8764" spans="6:6" x14ac:dyDescent="0.3">
      <c r="F8764" s="89" t="str">
        <v/>
      </c>
    </row>
    <row r="8765" spans="6:6" x14ac:dyDescent="0.3">
      <c r="F8765" s="89" t="str">
        <v/>
      </c>
    </row>
    <row r="8766" spans="6:6" x14ac:dyDescent="0.3">
      <c r="F8766" s="89" t="str">
        <v/>
      </c>
    </row>
    <row r="8767" spans="6:6" x14ac:dyDescent="0.3">
      <c r="F8767" s="89" t="str">
        <v/>
      </c>
    </row>
    <row r="8768" spans="6:6" x14ac:dyDescent="0.3">
      <c r="F8768" s="89" t="str">
        <v/>
      </c>
    </row>
    <row r="8769" spans="6:6" x14ac:dyDescent="0.3">
      <c r="F8769" s="89" t="str">
        <v/>
      </c>
    </row>
    <row r="8770" spans="6:6" x14ac:dyDescent="0.3">
      <c r="F8770" s="89" t="str">
        <v/>
      </c>
    </row>
    <row r="8771" spans="6:6" x14ac:dyDescent="0.3">
      <c r="F8771" s="89" t="str">
        <v/>
      </c>
    </row>
    <row r="8772" spans="6:6" x14ac:dyDescent="0.3">
      <c r="F8772" s="89" t="str">
        <v/>
      </c>
    </row>
    <row r="8773" spans="6:6" x14ac:dyDescent="0.3">
      <c r="F8773" s="89" t="str">
        <v/>
      </c>
    </row>
    <row r="8774" spans="6:6" x14ac:dyDescent="0.3">
      <c r="F8774" s="89" t="str">
        <v/>
      </c>
    </row>
    <row r="8775" spans="6:6" x14ac:dyDescent="0.3">
      <c r="F8775" s="89" t="str">
        <v/>
      </c>
    </row>
    <row r="8776" spans="6:6" x14ac:dyDescent="0.3">
      <c r="F8776" s="89" t="str">
        <v/>
      </c>
    </row>
    <row r="8777" spans="6:6" x14ac:dyDescent="0.3">
      <c r="F8777" s="89" t="str">
        <v/>
      </c>
    </row>
    <row r="8778" spans="6:6" x14ac:dyDescent="0.3">
      <c r="F8778" s="89" t="str">
        <v/>
      </c>
    </row>
    <row r="8779" spans="6:6" x14ac:dyDescent="0.3">
      <c r="F8779" s="89" t="str">
        <v/>
      </c>
    </row>
    <row r="8780" spans="6:6" x14ac:dyDescent="0.3">
      <c r="F8780" s="89" t="str">
        <v/>
      </c>
    </row>
    <row r="8781" spans="6:6" x14ac:dyDescent="0.3">
      <c r="F8781" s="89" t="str">
        <v/>
      </c>
    </row>
    <row r="8782" spans="6:6" x14ac:dyDescent="0.3">
      <c r="F8782" s="89" t="str">
        <v/>
      </c>
    </row>
    <row r="8783" spans="6:6" x14ac:dyDescent="0.3">
      <c r="F8783" s="89" t="str">
        <v/>
      </c>
    </row>
    <row r="8784" spans="6:6" x14ac:dyDescent="0.3">
      <c r="F8784" s="89" t="str">
        <v/>
      </c>
    </row>
    <row r="8785" spans="6:6" x14ac:dyDescent="0.3">
      <c r="F8785" s="89" t="str">
        <v/>
      </c>
    </row>
    <row r="8786" spans="6:6" x14ac:dyDescent="0.3">
      <c r="F8786" s="89" t="str">
        <v/>
      </c>
    </row>
    <row r="8787" spans="6:6" x14ac:dyDescent="0.3">
      <c r="F8787" s="89" t="str">
        <v/>
      </c>
    </row>
    <row r="8788" spans="6:6" x14ac:dyDescent="0.3">
      <c r="F8788" s="89" t="str">
        <v/>
      </c>
    </row>
    <row r="8789" spans="6:6" x14ac:dyDescent="0.3">
      <c r="F8789" s="89" t="str">
        <v/>
      </c>
    </row>
    <row r="8790" spans="6:6" x14ac:dyDescent="0.3">
      <c r="F8790" s="89" t="str">
        <v/>
      </c>
    </row>
    <row r="8791" spans="6:6" x14ac:dyDescent="0.3">
      <c r="F8791" s="89" t="str">
        <v/>
      </c>
    </row>
    <row r="8792" spans="6:6" x14ac:dyDescent="0.3">
      <c r="F8792" s="89" t="str">
        <v/>
      </c>
    </row>
    <row r="8793" spans="6:6" x14ac:dyDescent="0.3">
      <c r="F8793" s="89" t="str">
        <v/>
      </c>
    </row>
    <row r="8794" spans="6:6" x14ac:dyDescent="0.3">
      <c r="F8794" s="89" t="str">
        <v/>
      </c>
    </row>
    <row r="8795" spans="6:6" x14ac:dyDescent="0.3">
      <c r="F8795" s="89" t="str">
        <v/>
      </c>
    </row>
    <row r="8796" spans="6:6" x14ac:dyDescent="0.3">
      <c r="F8796" s="89" t="str">
        <v/>
      </c>
    </row>
    <row r="8797" spans="6:6" x14ac:dyDescent="0.3">
      <c r="F8797" s="89" t="str">
        <v/>
      </c>
    </row>
    <row r="8798" spans="6:6" x14ac:dyDescent="0.3">
      <c r="F8798" s="89" t="str">
        <v/>
      </c>
    </row>
    <row r="8799" spans="6:6" x14ac:dyDescent="0.3">
      <c r="F8799" s="89" t="str">
        <v/>
      </c>
    </row>
    <row r="8800" spans="6:6" x14ac:dyDescent="0.3">
      <c r="F8800" s="89" t="str">
        <v/>
      </c>
    </row>
    <row r="8801" spans="6:6" x14ac:dyDescent="0.3">
      <c r="F8801" s="89" t="str">
        <v/>
      </c>
    </row>
    <row r="8802" spans="6:6" x14ac:dyDescent="0.3">
      <c r="F8802" s="89" t="str">
        <v/>
      </c>
    </row>
    <row r="8803" spans="6:6" x14ac:dyDescent="0.3">
      <c r="F8803" s="89" t="str">
        <v/>
      </c>
    </row>
    <row r="8804" spans="6:6" x14ac:dyDescent="0.3">
      <c r="F8804" s="89" t="str">
        <v/>
      </c>
    </row>
    <row r="8805" spans="6:6" x14ac:dyDescent="0.3">
      <c r="F8805" s="89" t="str">
        <v/>
      </c>
    </row>
    <row r="8806" spans="6:6" x14ac:dyDescent="0.3">
      <c r="F8806" s="89" t="str">
        <v/>
      </c>
    </row>
    <row r="8807" spans="6:6" x14ac:dyDescent="0.3">
      <c r="F8807" s="89" t="str">
        <v/>
      </c>
    </row>
    <row r="8808" spans="6:6" x14ac:dyDescent="0.3">
      <c r="F8808" s="89" t="str">
        <v/>
      </c>
    </row>
    <row r="8809" spans="6:6" x14ac:dyDescent="0.3">
      <c r="F8809" s="89" t="str">
        <v/>
      </c>
    </row>
    <row r="8810" spans="6:6" x14ac:dyDescent="0.3">
      <c r="F8810" s="89" t="str">
        <v/>
      </c>
    </row>
    <row r="8811" spans="6:6" x14ac:dyDescent="0.3">
      <c r="F8811" s="89" t="str">
        <v/>
      </c>
    </row>
    <row r="8812" spans="6:6" x14ac:dyDescent="0.3">
      <c r="F8812" s="89" t="str">
        <v/>
      </c>
    </row>
    <row r="8813" spans="6:6" x14ac:dyDescent="0.3">
      <c r="F8813" s="89" t="str">
        <v/>
      </c>
    </row>
    <row r="8814" spans="6:6" x14ac:dyDescent="0.3">
      <c r="F8814" s="89" t="str">
        <v/>
      </c>
    </row>
    <row r="8815" spans="6:6" x14ac:dyDescent="0.3">
      <c r="F8815" s="89" t="str">
        <v/>
      </c>
    </row>
    <row r="8816" spans="6:6" x14ac:dyDescent="0.3">
      <c r="F8816" s="89" t="str">
        <v/>
      </c>
    </row>
    <row r="8817" spans="6:6" x14ac:dyDescent="0.3">
      <c r="F8817" s="89" t="str">
        <v/>
      </c>
    </row>
    <row r="8818" spans="6:6" x14ac:dyDescent="0.3">
      <c r="F8818" s="89" t="str">
        <v/>
      </c>
    </row>
    <row r="8819" spans="6:6" x14ac:dyDescent="0.3">
      <c r="F8819" s="89" t="str">
        <v/>
      </c>
    </row>
    <row r="8820" spans="6:6" x14ac:dyDescent="0.3">
      <c r="F8820" s="89" t="str">
        <v/>
      </c>
    </row>
    <row r="8821" spans="6:6" x14ac:dyDescent="0.3">
      <c r="F8821" s="89" t="str">
        <v/>
      </c>
    </row>
    <row r="8822" spans="6:6" x14ac:dyDescent="0.3">
      <c r="F8822" s="89" t="str">
        <v/>
      </c>
    </row>
    <row r="8823" spans="6:6" x14ac:dyDescent="0.3">
      <c r="F8823" s="89" t="str">
        <v/>
      </c>
    </row>
    <row r="8824" spans="6:6" x14ac:dyDescent="0.3">
      <c r="F8824" s="89" t="str">
        <v/>
      </c>
    </row>
    <row r="8825" spans="6:6" x14ac:dyDescent="0.3">
      <c r="F8825" s="89" t="str">
        <v/>
      </c>
    </row>
    <row r="8826" spans="6:6" x14ac:dyDescent="0.3">
      <c r="F8826" s="89" t="str">
        <v/>
      </c>
    </row>
    <row r="8827" spans="6:6" x14ac:dyDescent="0.3">
      <c r="F8827" s="89" t="str">
        <v/>
      </c>
    </row>
    <row r="8828" spans="6:6" x14ac:dyDescent="0.3">
      <c r="F8828" s="89" t="str">
        <v/>
      </c>
    </row>
    <row r="8829" spans="6:6" x14ac:dyDescent="0.3">
      <c r="F8829" s="89" t="str">
        <v/>
      </c>
    </row>
    <row r="8830" spans="6:6" x14ac:dyDescent="0.3">
      <c r="F8830" s="89" t="str">
        <v/>
      </c>
    </row>
    <row r="8831" spans="6:6" x14ac:dyDescent="0.3">
      <c r="F8831" s="89" t="str">
        <v/>
      </c>
    </row>
    <row r="8832" spans="6:6" x14ac:dyDescent="0.3">
      <c r="F8832" s="89" t="str">
        <v/>
      </c>
    </row>
    <row r="8833" spans="6:6" x14ac:dyDescent="0.3">
      <c r="F8833" s="89" t="str">
        <v/>
      </c>
    </row>
    <row r="8834" spans="6:6" x14ac:dyDescent="0.3">
      <c r="F8834" s="89" t="str">
        <v/>
      </c>
    </row>
    <row r="8835" spans="6:6" x14ac:dyDescent="0.3">
      <c r="F8835" s="89" t="str">
        <v/>
      </c>
    </row>
    <row r="8836" spans="6:6" x14ac:dyDescent="0.3">
      <c r="F8836" s="89" t="str">
        <v/>
      </c>
    </row>
    <row r="8837" spans="6:6" x14ac:dyDescent="0.3">
      <c r="F8837" s="89" t="str">
        <v/>
      </c>
    </row>
    <row r="8838" spans="6:6" x14ac:dyDescent="0.3">
      <c r="F8838" s="89" t="str">
        <v/>
      </c>
    </row>
    <row r="8839" spans="6:6" x14ac:dyDescent="0.3">
      <c r="F8839" s="89" t="str">
        <v/>
      </c>
    </row>
    <row r="8840" spans="6:6" x14ac:dyDescent="0.3">
      <c r="F8840" s="89" t="str">
        <v/>
      </c>
    </row>
    <row r="8841" spans="6:6" x14ac:dyDescent="0.3">
      <c r="F8841" s="89" t="str">
        <v/>
      </c>
    </row>
    <row r="8842" spans="6:6" x14ac:dyDescent="0.3">
      <c r="F8842" s="89" t="str">
        <v/>
      </c>
    </row>
    <row r="8843" spans="6:6" x14ac:dyDescent="0.3">
      <c r="F8843" s="89" t="str">
        <v/>
      </c>
    </row>
    <row r="8844" spans="6:6" x14ac:dyDescent="0.3">
      <c r="F8844" s="89" t="str">
        <v/>
      </c>
    </row>
    <row r="8845" spans="6:6" x14ac:dyDescent="0.3">
      <c r="F8845" s="89" t="str">
        <v/>
      </c>
    </row>
    <row r="8846" spans="6:6" x14ac:dyDescent="0.3">
      <c r="F8846" s="89" t="str">
        <v/>
      </c>
    </row>
    <row r="8847" spans="6:6" x14ac:dyDescent="0.3">
      <c r="F8847" s="89" t="str">
        <v/>
      </c>
    </row>
    <row r="8848" spans="6:6" x14ac:dyDescent="0.3">
      <c r="F8848" s="89" t="str">
        <v/>
      </c>
    </row>
    <row r="8849" spans="6:6" x14ac:dyDescent="0.3">
      <c r="F8849" s="89" t="str">
        <v/>
      </c>
    </row>
    <row r="8850" spans="6:6" x14ac:dyDescent="0.3">
      <c r="F8850" s="89" t="str">
        <v/>
      </c>
    </row>
    <row r="8851" spans="6:6" x14ac:dyDescent="0.3">
      <c r="F8851" s="89" t="str">
        <v/>
      </c>
    </row>
    <row r="8852" spans="6:6" x14ac:dyDescent="0.3">
      <c r="F8852" s="89" t="str">
        <v/>
      </c>
    </row>
    <row r="8853" spans="6:6" x14ac:dyDescent="0.3">
      <c r="F8853" s="89" t="str">
        <v/>
      </c>
    </row>
    <row r="8854" spans="6:6" x14ac:dyDescent="0.3">
      <c r="F8854" s="89" t="str">
        <v/>
      </c>
    </row>
    <row r="8855" spans="6:6" x14ac:dyDescent="0.3">
      <c r="F8855" s="89" t="str">
        <v/>
      </c>
    </row>
    <row r="8856" spans="6:6" x14ac:dyDescent="0.3">
      <c r="F8856" s="89" t="str">
        <v/>
      </c>
    </row>
    <row r="8857" spans="6:6" x14ac:dyDescent="0.3">
      <c r="F8857" s="89" t="str">
        <v/>
      </c>
    </row>
    <row r="8858" spans="6:6" x14ac:dyDescent="0.3">
      <c r="F8858" s="89" t="str">
        <v/>
      </c>
    </row>
    <row r="8859" spans="6:6" x14ac:dyDescent="0.3">
      <c r="F8859" s="89" t="str">
        <v/>
      </c>
    </row>
    <row r="8860" spans="6:6" x14ac:dyDescent="0.3">
      <c r="F8860" s="89" t="str">
        <v/>
      </c>
    </row>
    <row r="8861" spans="6:6" x14ac:dyDescent="0.3">
      <c r="F8861" s="89" t="str">
        <v/>
      </c>
    </row>
    <row r="8862" spans="6:6" x14ac:dyDescent="0.3">
      <c r="F8862" s="89" t="str">
        <v/>
      </c>
    </row>
    <row r="8863" spans="6:6" x14ac:dyDescent="0.3">
      <c r="F8863" s="89" t="str">
        <v/>
      </c>
    </row>
    <row r="8864" spans="6:6" x14ac:dyDescent="0.3">
      <c r="F8864" s="89" t="str">
        <v/>
      </c>
    </row>
    <row r="8865" spans="6:6" x14ac:dyDescent="0.3">
      <c r="F8865" s="89" t="str">
        <v/>
      </c>
    </row>
    <row r="8866" spans="6:6" x14ac:dyDescent="0.3">
      <c r="F8866" s="89" t="str">
        <v/>
      </c>
    </row>
    <row r="8867" spans="6:6" x14ac:dyDescent="0.3">
      <c r="F8867" s="89" t="str">
        <v/>
      </c>
    </row>
    <row r="8868" spans="6:6" x14ac:dyDescent="0.3">
      <c r="F8868" s="89" t="str">
        <v/>
      </c>
    </row>
    <row r="8869" spans="6:6" x14ac:dyDescent="0.3">
      <c r="F8869" s="89" t="str">
        <v/>
      </c>
    </row>
    <row r="8870" spans="6:6" x14ac:dyDescent="0.3">
      <c r="F8870" s="89" t="str">
        <v/>
      </c>
    </row>
    <row r="8871" spans="6:6" x14ac:dyDescent="0.3">
      <c r="F8871" s="89" t="str">
        <v/>
      </c>
    </row>
    <row r="8872" spans="6:6" x14ac:dyDescent="0.3">
      <c r="F8872" s="89" t="str">
        <v/>
      </c>
    </row>
    <row r="8873" spans="6:6" x14ac:dyDescent="0.3">
      <c r="F8873" s="89" t="str">
        <v/>
      </c>
    </row>
    <row r="8874" spans="6:6" x14ac:dyDescent="0.3">
      <c r="F8874" s="89" t="str">
        <v/>
      </c>
    </row>
    <row r="8875" spans="6:6" x14ac:dyDescent="0.3">
      <c r="F8875" s="89" t="str">
        <v/>
      </c>
    </row>
    <row r="8876" spans="6:6" x14ac:dyDescent="0.3">
      <c r="F8876" s="89" t="str">
        <v/>
      </c>
    </row>
    <row r="8877" spans="6:6" x14ac:dyDescent="0.3">
      <c r="F8877" s="89" t="str">
        <v/>
      </c>
    </row>
    <row r="8878" spans="6:6" x14ac:dyDescent="0.3">
      <c r="F8878" s="89" t="str">
        <v/>
      </c>
    </row>
    <row r="8879" spans="6:6" x14ac:dyDescent="0.3">
      <c r="F8879" s="89" t="str">
        <v/>
      </c>
    </row>
    <row r="8880" spans="6:6" x14ac:dyDescent="0.3">
      <c r="F8880" s="89" t="str">
        <v/>
      </c>
    </row>
    <row r="8881" spans="6:6" x14ac:dyDescent="0.3">
      <c r="F8881" s="89" t="str">
        <v/>
      </c>
    </row>
    <row r="8882" spans="6:6" x14ac:dyDescent="0.3">
      <c r="F8882" s="89" t="str">
        <v/>
      </c>
    </row>
    <row r="8883" spans="6:6" x14ac:dyDescent="0.3">
      <c r="F8883" s="89" t="str">
        <v/>
      </c>
    </row>
    <row r="8884" spans="6:6" x14ac:dyDescent="0.3">
      <c r="F8884" s="89" t="str">
        <v/>
      </c>
    </row>
    <row r="8885" spans="6:6" x14ac:dyDescent="0.3">
      <c r="F8885" s="89" t="str">
        <v/>
      </c>
    </row>
    <row r="8886" spans="6:6" x14ac:dyDescent="0.3">
      <c r="F8886" s="89" t="str">
        <v/>
      </c>
    </row>
    <row r="8887" spans="6:6" x14ac:dyDescent="0.3">
      <c r="F8887" s="89" t="str">
        <v/>
      </c>
    </row>
    <row r="8888" spans="6:6" x14ac:dyDescent="0.3">
      <c r="F8888" s="89" t="str">
        <v/>
      </c>
    </row>
    <row r="8889" spans="6:6" x14ac:dyDescent="0.3">
      <c r="F8889" s="89" t="str">
        <v/>
      </c>
    </row>
    <row r="8890" spans="6:6" x14ac:dyDescent="0.3">
      <c r="F8890" s="89" t="str">
        <v/>
      </c>
    </row>
    <row r="8891" spans="6:6" x14ac:dyDescent="0.3">
      <c r="F8891" s="89" t="str">
        <v/>
      </c>
    </row>
    <row r="8892" spans="6:6" x14ac:dyDescent="0.3">
      <c r="F8892" s="89" t="str">
        <v/>
      </c>
    </row>
    <row r="8893" spans="6:6" x14ac:dyDescent="0.3">
      <c r="F8893" s="89" t="str">
        <v/>
      </c>
    </row>
    <row r="8894" spans="6:6" x14ac:dyDescent="0.3">
      <c r="F8894" s="89" t="str">
        <v/>
      </c>
    </row>
    <row r="8895" spans="6:6" x14ac:dyDescent="0.3">
      <c r="F8895" s="89" t="str">
        <v/>
      </c>
    </row>
    <row r="8896" spans="6:6" x14ac:dyDescent="0.3">
      <c r="F8896" s="89" t="str">
        <v/>
      </c>
    </row>
    <row r="8897" spans="6:6" x14ac:dyDescent="0.3">
      <c r="F8897" s="89" t="str">
        <v/>
      </c>
    </row>
    <row r="8898" spans="6:6" x14ac:dyDescent="0.3">
      <c r="F8898" s="89" t="str">
        <v/>
      </c>
    </row>
    <row r="8899" spans="6:6" x14ac:dyDescent="0.3">
      <c r="F8899" s="89" t="str">
        <v/>
      </c>
    </row>
    <row r="8900" spans="6:6" x14ac:dyDescent="0.3">
      <c r="F8900" s="89" t="str">
        <v/>
      </c>
    </row>
    <row r="8901" spans="6:6" x14ac:dyDescent="0.3">
      <c r="F8901" s="89" t="str">
        <v/>
      </c>
    </row>
    <row r="8902" spans="6:6" x14ac:dyDescent="0.3">
      <c r="F8902" s="89" t="str">
        <v/>
      </c>
    </row>
    <row r="8903" spans="6:6" x14ac:dyDescent="0.3">
      <c r="F8903" s="89" t="str">
        <v/>
      </c>
    </row>
    <row r="8904" spans="6:6" x14ac:dyDescent="0.3">
      <c r="F8904" s="89" t="str">
        <v/>
      </c>
    </row>
    <row r="8905" spans="6:6" x14ac:dyDescent="0.3">
      <c r="F8905" s="89" t="str">
        <v/>
      </c>
    </row>
    <row r="8906" spans="6:6" x14ac:dyDescent="0.3">
      <c r="F8906" s="89" t="str">
        <v/>
      </c>
    </row>
    <row r="8907" spans="6:6" x14ac:dyDescent="0.3">
      <c r="F8907" s="89" t="str">
        <v/>
      </c>
    </row>
    <row r="8908" spans="6:6" x14ac:dyDescent="0.3">
      <c r="F8908" s="89" t="str">
        <v/>
      </c>
    </row>
    <row r="8909" spans="6:6" x14ac:dyDescent="0.3">
      <c r="F8909" s="89" t="str">
        <v/>
      </c>
    </row>
    <row r="8910" spans="6:6" x14ac:dyDescent="0.3">
      <c r="F8910" s="89" t="str">
        <v/>
      </c>
    </row>
    <row r="8911" spans="6:6" x14ac:dyDescent="0.3">
      <c r="F8911" s="89" t="str">
        <v/>
      </c>
    </row>
    <row r="8912" spans="6:6" x14ac:dyDescent="0.3">
      <c r="F8912" s="89" t="str">
        <v/>
      </c>
    </row>
    <row r="8913" spans="6:6" x14ac:dyDescent="0.3">
      <c r="F8913" s="89" t="str">
        <v/>
      </c>
    </row>
    <row r="8914" spans="6:6" x14ac:dyDescent="0.3">
      <c r="F8914" s="89" t="str">
        <v/>
      </c>
    </row>
    <row r="8915" spans="6:6" x14ac:dyDescent="0.3">
      <c r="F8915" s="89" t="str">
        <v/>
      </c>
    </row>
    <row r="8916" spans="6:6" x14ac:dyDescent="0.3">
      <c r="F8916" s="89" t="str">
        <v/>
      </c>
    </row>
    <row r="8917" spans="6:6" x14ac:dyDescent="0.3">
      <c r="F8917" s="89" t="str">
        <v/>
      </c>
    </row>
    <row r="8918" spans="6:6" x14ac:dyDescent="0.3">
      <c r="F8918" s="89" t="str">
        <v/>
      </c>
    </row>
    <row r="8919" spans="6:6" x14ac:dyDescent="0.3">
      <c r="F8919" s="89" t="str">
        <v/>
      </c>
    </row>
    <row r="8920" spans="6:6" x14ac:dyDescent="0.3">
      <c r="F8920" s="89" t="str">
        <v/>
      </c>
    </row>
    <row r="8921" spans="6:6" x14ac:dyDescent="0.3">
      <c r="F8921" s="89" t="str">
        <v/>
      </c>
    </row>
    <row r="8922" spans="6:6" x14ac:dyDescent="0.3">
      <c r="F8922" s="89" t="str">
        <v/>
      </c>
    </row>
    <row r="8923" spans="6:6" x14ac:dyDescent="0.3">
      <c r="F8923" s="89" t="str">
        <v/>
      </c>
    </row>
    <row r="8924" spans="6:6" x14ac:dyDescent="0.3">
      <c r="F8924" s="89" t="str">
        <v/>
      </c>
    </row>
    <row r="8925" spans="6:6" x14ac:dyDescent="0.3">
      <c r="F8925" s="89" t="str">
        <v/>
      </c>
    </row>
    <row r="8926" spans="6:6" x14ac:dyDescent="0.3">
      <c r="F8926" s="89" t="str">
        <v/>
      </c>
    </row>
    <row r="8927" spans="6:6" x14ac:dyDescent="0.3">
      <c r="F8927" s="89" t="str">
        <v/>
      </c>
    </row>
    <row r="8928" spans="6:6" x14ac:dyDescent="0.3">
      <c r="F8928" s="89" t="str">
        <v/>
      </c>
    </row>
    <row r="8929" spans="6:6" x14ac:dyDescent="0.3">
      <c r="F8929" s="89" t="str">
        <v/>
      </c>
    </row>
    <row r="8930" spans="6:6" x14ac:dyDescent="0.3">
      <c r="F8930" s="89" t="str">
        <v/>
      </c>
    </row>
    <row r="8931" spans="6:6" x14ac:dyDescent="0.3">
      <c r="F8931" s="89" t="str">
        <v/>
      </c>
    </row>
    <row r="8932" spans="6:6" x14ac:dyDescent="0.3">
      <c r="F8932" s="89" t="str">
        <v/>
      </c>
    </row>
    <row r="8933" spans="6:6" x14ac:dyDescent="0.3">
      <c r="F8933" s="89" t="str">
        <v/>
      </c>
    </row>
    <row r="8934" spans="6:6" x14ac:dyDescent="0.3">
      <c r="F8934" s="89" t="str">
        <v/>
      </c>
    </row>
    <row r="8935" spans="6:6" x14ac:dyDescent="0.3">
      <c r="F8935" s="89" t="str">
        <v/>
      </c>
    </row>
    <row r="8936" spans="6:6" x14ac:dyDescent="0.3">
      <c r="F8936" s="89" t="str">
        <v/>
      </c>
    </row>
    <row r="8937" spans="6:6" x14ac:dyDescent="0.3">
      <c r="F8937" s="89" t="str">
        <v/>
      </c>
    </row>
    <row r="8938" spans="6:6" x14ac:dyDescent="0.3">
      <c r="F8938" s="89" t="str">
        <v/>
      </c>
    </row>
    <row r="8939" spans="6:6" x14ac:dyDescent="0.3">
      <c r="F8939" s="89" t="str">
        <v/>
      </c>
    </row>
    <row r="8940" spans="6:6" x14ac:dyDescent="0.3">
      <c r="F8940" s="89" t="str">
        <v/>
      </c>
    </row>
    <row r="8941" spans="6:6" x14ac:dyDescent="0.3">
      <c r="F8941" s="89" t="str">
        <v/>
      </c>
    </row>
    <row r="8942" spans="6:6" x14ac:dyDescent="0.3">
      <c r="F8942" s="89" t="str">
        <v/>
      </c>
    </row>
    <row r="8943" spans="6:6" x14ac:dyDescent="0.3">
      <c r="F8943" s="89" t="str">
        <v/>
      </c>
    </row>
    <row r="8944" spans="6:6" x14ac:dyDescent="0.3">
      <c r="F8944" s="89" t="str">
        <v/>
      </c>
    </row>
    <row r="8945" spans="6:6" x14ac:dyDescent="0.3">
      <c r="F8945" s="89" t="str">
        <v/>
      </c>
    </row>
    <row r="8946" spans="6:6" x14ac:dyDescent="0.3">
      <c r="F8946" s="89" t="str">
        <v/>
      </c>
    </row>
    <row r="8947" spans="6:6" x14ac:dyDescent="0.3">
      <c r="F8947" s="89" t="str">
        <v/>
      </c>
    </row>
    <row r="8948" spans="6:6" x14ac:dyDescent="0.3">
      <c r="F8948" s="89" t="str">
        <v/>
      </c>
    </row>
    <row r="8949" spans="6:6" x14ac:dyDescent="0.3">
      <c r="F8949" s="89" t="str">
        <v/>
      </c>
    </row>
    <row r="8950" spans="6:6" x14ac:dyDescent="0.3">
      <c r="F8950" s="89" t="str">
        <v/>
      </c>
    </row>
    <row r="8951" spans="6:6" x14ac:dyDescent="0.3">
      <c r="F8951" s="89" t="str">
        <v/>
      </c>
    </row>
    <row r="8952" spans="6:6" x14ac:dyDescent="0.3">
      <c r="F8952" s="89" t="str">
        <v/>
      </c>
    </row>
    <row r="8953" spans="6:6" x14ac:dyDescent="0.3">
      <c r="F8953" s="89" t="str">
        <v/>
      </c>
    </row>
    <row r="8954" spans="6:6" x14ac:dyDescent="0.3">
      <c r="F8954" s="89" t="str">
        <v/>
      </c>
    </row>
    <row r="8955" spans="6:6" x14ac:dyDescent="0.3">
      <c r="F8955" s="89" t="str">
        <v/>
      </c>
    </row>
    <row r="8956" spans="6:6" x14ac:dyDescent="0.3">
      <c r="F8956" s="89" t="str">
        <v/>
      </c>
    </row>
    <row r="8957" spans="6:6" x14ac:dyDescent="0.3">
      <c r="F8957" s="89" t="str">
        <v/>
      </c>
    </row>
    <row r="8958" spans="6:6" x14ac:dyDescent="0.3">
      <c r="F8958" s="89" t="str">
        <v/>
      </c>
    </row>
    <row r="8959" spans="6:6" x14ac:dyDescent="0.3">
      <c r="F8959" s="89" t="str">
        <v/>
      </c>
    </row>
    <row r="8960" spans="6:6" x14ac:dyDescent="0.3">
      <c r="F8960" s="89" t="str">
        <v/>
      </c>
    </row>
    <row r="8961" spans="6:6" x14ac:dyDescent="0.3">
      <c r="F8961" s="89" t="str">
        <v/>
      </c>
    </row>
    <row r="8962" spans="6:6" x14ac:dyDescent="0.3">
      <c r="F8962" s="89" t="str">
        <v/>
      </c>
    </row>
    <row r="8963" spans="6:6" x14ac:dyDescent="0.3">
      <c r="F8963" s="89" t="str">
        <v/>
      </c>
    </row>
    <row r="8964" spans="6:6" x14ac:dyDescent="0.3">
      <c r="F8964" s="89" t="str">
        <v/>
      </c>
    </row>
    <row r="8965" spans="6:6" x14ac:dyDescent="0.3">
      <c r="F8965" s="89" t="str">
        <v/>
      </c>
    </row>
    <row r="8966" spans="6:6" x14ac:dyDescent="0.3">
      <c r="F8966" s="89" t="str">
        <v/>
      </c>
    </row>
    <row r="8967" spans="6:6" x14ac:dyDescent="0.3">
      <c r="F8967" s="89" t="str">
        <v/>
      </c>
    </row>
    <row r="8968" spans="6:6" x14ac:dyDescent="0.3">
      <c r="F8968" s="89" t="str">
        <v/>
      </c>
    </row>
    <row r="8969" spans="6:6" x14ac:dyDescent="0.3">
      <c r="F8969" s="89" t="str">
        <v/>
      </c>
    </row>
    <row r="8970" spans="6:6" x14ac:dyDescent="0.3">
      <c r="F8970" s="89" t="str">
        <v/>
      </c>
    </row>
    <row r="8971" spans="6:6" x14ac:dyDescent="0.3">
      <c r="F8971" s="89" t="str">
        <v/>
      </c>
    </row>
    <row r="8972" spans="6:6" x14ac:dyDescent="0.3">
      <c r="F8972" s="89" t="str">
        <v/>
      </c>
    </row>
    <row r="8973" spans="6:6" x14ac:dyDescent="0.3">
      <c r="F8973" s="89" t="str">
        <v/>
      </c>
    </row>
    <row r="8974" spans="6:6" x14ac:dyDescent="0.3">
      <c r="F8974" s="89" t="str">
        <v/>
      </c>
    </row>
    <row r="8975" spans="6:6" x14ac:dyDescent="0.3">
      <c r="F8975" s="89" t="str">
        <v/>
      </c>
    </row>
    <row r="8976" spans="6:6" x14ac:dyDescent="0.3">
      <c r="F8976" s="89" t="str">
        <v/>
      </c>
    </row>
    <row r="8977" spans="6:6" x14ac:dyDescent="0.3">
      <c r="F8977" s="89" t="str">
        <v/>
      </c>
    </row>
    <row r="8978" spans="6:6" x14ac:dyDescent="0.3">
      <c r="F8978" s="89" t="str">
        <v/>
      </c>
    </row>
    <row r="8979" spans="6:6" x14ac:dyDescent="0.3">
      <c r="F8979" s="89" t="str">
        <v/>
      </c>
    </row>
    <row r="8980" spans="6:6" x14ac:dyDescent="0.3">
      <c r="F8980" s="89" t="str">
        <v/>
      </c>
    </row>
    <row r="8981" spans="6:6" x14ac:dyDescent="0.3">
      <c r="F8981" s="89" t="str">
        <v/>
      </c>
    </row>
    <row r="8982" spans="6:6" x14ac:dyDescent="0.3">
      <c r="F8982" s="89" t="str">
        <v/>
      </c>
    </row>
    <row r="8983" spans="6:6" x14ac:dyDescent="0.3">
      <c r="F8983" s="89" t="str">
        <v/>
      </c>
    </row>
    <row r="8984" spans="6:6" x14ac:dyDescent="0.3">
      <c r="F8984" s="89" t="str">
        <v/>
      </c>
    </row>
    <row r="8985" spans="6:6" x14ac:dyDescent="0.3">
      <c r="F8985" s="89" t="str">
        <v/>
      </c>
    </row>
    <row r="8986" spans="6:6" x14ac:dyDescent="0.3">
      <c r="F8986" s="89" t="str">
        <v/>
      </c>
    </row>
    <row r="8987" spans="6:6" x14ac:dyDescent="0.3">
      <c r="F8987" s="89" t="str">
        <v/>
      </c>
    </row>
    <row r="8988" spans="6:6" x14ac:dyDescent="0.3">
      <c r="F8988" s="89" t="str">
        <v/>
      </c>
    </row>
    <row r="8989" spans="6:6" x14ac:dyDescent="0.3">
      <c r="F8989" s="89" t="str">
        <v/>
      </c>
    </row>
    <row r="8990" spans="6:6" x14ac:dyDescent="0.3">
      <c r="F8990" s="89" t="str">
        <v/>
      </c>
    </row>
    <row r="8991" spans="6:6" x14ac:dyDescent="0.3">
      <c r="F8991" s="89" t="str">
        <v/>
      </c>
    </row>
    <row r="8992" spans="6:6" x14ac:dyDescent="0.3">
      <c r="F8992" s="89" t="str">
        <v/>
      </c>
    </row>
    <row r="8993" spans="6:6" x14ac:dyDescent="0.3">
      <c r="F8993" s="89" t="str">
        <v/>
      </c>
    </row>
    <row r="8994" spans="6:6" x14ac:dyDescent="0.3">
      <c r="F8994" s="89" t="str">
        <v/>
      </c>
    </row>
    <row r="8995" spans="6:6" x14ac:dyDescent="0.3">
      <c r="F8995" s="89" t="str">
        <v/>
      </c>
    </row>
    <row r="8996" spans="6:6" x14ac:dyDescent="0.3">
      <c r="F8996" s="89" t="str">
        <v/>
      </c>
    </row>
    <row r="8997" spans="6:6" x14ac:dyDescent="0.3">
      <c r="F8997" s="89" t="str">
        <v/>
      </c>
    </row>
    <row r="8998" spans="6:6" x14ac:dyDescent="0.3">
      <c r="F8998" s="89" t="str">
        <v/>
      </c>
    </row>
    <row r="8999" spans="6:6" x14ac:dyDescent="0.3">
      <c r="F8999" s="89" t="str">
        <v/>
      </c>
    </row>
    <row r="9000" spans="6:6" x14ac:dyDescent="0.3">
      <c r="F9000" s="89" t="str">
        <v/>
      </c>
    </row>
    <row r="9001" spans="6:6" x14ac:dyDescent="0.3">
      <c r="F9001" s="89" t="str">
        <v/>
      </c>
    </row>
    <row r="9002" spans="6:6" x14ac:dyDescent="0.3">
      <c r="F9002" s="89" t="str">
        <v/>
      </c>
    </row>
    <row r="9003" spans="6:6" x14ac:dyDescent="0.3">
      <c r="F9003" s="89" t="str">
        <v/>
      </c>
    </row>
    <row r="9004" spans="6:6" x14ac:dyDescent="0.3">
      <c r="F9004" s="89" t="str">
        <v/>
      </c>
    </row>
    <row r="9005" spans="6:6" x14ac:dyDescent="0.3">
      <c r="F9005" s="89" t="str">
        <v/>
      </c>
    </row>
    <row r="9006" spans="6:6" x14ac:dyDescent="0.3">
      <c r="F9006" s="89" t="str">
        <v/>
      </c>
    </row>
    <row r="9007" spans="6:6" x14ac:dyDescent="0.3">
      <c r="F9007" s="89" t="str">
        <v/>
      </c>
    </row>
    <row r="9008" spans="6:6" x14ac:dyDescent="0.3">
      <c r="F9008" s="89" t="str">
        <v/>
      </c>
    </row>
    <row r="9009" spans="6:6" x14ac:dyDescent="0.3">
      <c r="F9009" s="89" t="str">
        <v/>
      </c>
    </row>
    <row r="9010" spans="6:6" x14ac:dyDescent="0.3">
      <c r="F9010" s="89" t="str">
        <v/>
      </c>
    </row>
    <row r="9011" spans="6:6" x14ac:dyDescent="0.3">
      <c r="F9011" s="89" t="str">
        <v/>
      </c>
    </row>
    <row r="9012" spans="6:6" x14ac:dyDescent="0.3">
      <c r="F9012" s="89" t="str">
        <v/>
      </c>
    </row>
    <row r="9013" spans="6:6" x14ac:dyDescent="0.3">
      <c r="F9013" s="89" t="str">
        <v/>
      </c>
    </row>
    <row r="9014" spans="6:6" x14ac:dyDescent="0.3">
      <c r="F9014" s="89" t="str">
        <v/>
      </c>
    </row>
    <row r="9015" spans="6:6" x14ac:dyDescent="0.3">
      <c r="F9015" s="89" t="str">
        <v/>
      </c>
    </row>
    <row r="9016" spans="6:6" x14ac:dyDescent="0.3">
      <c r="F9016" s="89" t="str">
        <v/>
      </c>
    </row>
    <row r="9017" spans="6:6" x14ac:dyDescent="0.3">
      <c r="F9017" s="89" t="str">
        <v/>
      </c>
    </row>
    <row r="9018" spans="6:6" x14ac:dyDescent="0.3">
      <c r="F9018" s="89" t="str">
        <v/>
      </c>
    </row>
    <row r="9019" spans="6:6" x14ac:dyDescent="0.3">
      <c r="F9019" s="89" t="str">
        <v/>
      </c>
    </row>
    <row r="9020" spans="6:6" x14ac:dyDescent="0.3">
      <c r="F9020" s="89" t="str">
        <v/>
      </c>
    </row>
    <row r="9021" spans="6:6" x14ac:dyDescent="0.3">
      <c r="F9021" s="89" t="str">
        <v/>
      </c>
    </row>
    <row r="9022" spans="6:6" x14ac:dyDescent="0.3">
      <c r="F9022" s="89" t="str">
        <v/>
      </c>
    </row>
    <row r="9023" spans="6:6" x14ac:dyDescent="0.3">
      <c r="F9023" s="89" t="str">
        <v/>
      </c>
    </row>
    <row r="9024" spans="6:6" x14ac:dyDescent="0.3">
      <c r="F9024" s="89" t="str">
        <v/>
      </c>
    </row>
    <row r="9025" spans="6:6" x14ac:dyDescent="0.3">
      <c r="F9025" s="89" t="str">
        <v/>
      </c>
    </row>
    <row r="9026" spans="6:6" x14ac:dyDescent="0.3">
      <c r="F9026" s="89" t="str">
        <v/>
      </c>
    </row>
    <row r="9027" spans="6:6" x14ac:dyDescent="0.3">
      <c r="F9027" s="89" t="str">
        <v/>
      </c>
    </row>
    <row r="9028" spans="6:6" x14ac:dyDescent="0.3">
      <c r="F9028" s="89" t="str">
        <v/>
      </c>
    </row>
    <row r="9029" spans="6:6" x14ac:dyDescent="0.3">
      <c r="F9029" s="89" t="str">
        <v/>
      </c>
    </row>
    <row r="9030" spans="6:6" x14ac:dyDescent="0.3">
      <c r="F9030" s="89" t="str">
        <v/>
      </c>
    </row>
    <row r="9031" spans="6:6" x14ac:dyDescent="0.3">
      <c r="F9031" s="89" t="str">
        <v/>
      </c>
    </row>
    <row r="9032" spans="6:6" x14ac:dyDescent="0.3">
      <c r="F9032" s="89" t="str">
        <v/>
      </c>
    </row>
    <row r="9033" spans="6:6" x14ac:dyDescent="0.3">
      <c r="F9033" s="89" t="str">
        <v/>
      </c>
    </row>
    <row r="9034" spans="6:6" x14ac:dyDescent="0.3">
      <c r="F9034" s="89" t="str">
        <v/>
      </c>
    </row>
    <row r="9035" spans="6:6" x14ac:dyDescent="0.3">
      <c r="F9035" s="89" t="str">
        <v/>
      </c>
    </row>
    <row r="9036" spans="6:6" x14ac:dyDescent="0.3">
      <c r="F9036" s="89" t="str">
        <v/>
      </c>
    </row>
    <row r="9037" spans="6:6" x14ac:dyDescent="0.3">
      <c r="F9037" s="89" t="str">
        <v/>
      </c>
    </row>
    <row r="9038" spans="6:6" x14ac:dyDescent="0.3">
      <c r="F9038" s="89" t="str">
        <v/>
      </c>
    </row>
    <row r="9039" spans="6:6" x14ac:dyDescent="0.3">
      <c r="F9039" s="89" t="str">
        <v/>
      </c>
    </row>
    <row r="9040" spans="6:6" x14ac:dyDescent="0.3">
      <c r="F9040" s="89" t="str">
        <v/>
      </c>
    </row>
    <row r="9041" spans="6:6" x14ac:dyDescent="0.3">
      <c r="F9041" s="89" t="str">
        <v/>
      </c>
    </row>
    <row r="9042" spans="6:6" x14ac:dyDescent="0.3">
      <c r="F9042" s="89" t="str">
        <v/>
      </c>
    </row>
    <row r="9043" spans="6:6" x14ac:dyDescent="0.3">
      <c r="F9043" s="89" t="str">
        <v/>
      </c>
    </row>
    <row r="9044" spans="6:6" x14ac:dyDescent="0.3">
      <c r="F9044" s="89" t="str">
        <v/>
      </c>
    </row>
    <row r="9045" spans="6:6" x14ac:dyDescent="0.3">
      <c r="F9045" s="89" t="str">
        <v/>
      </c>
    </row>
    <row r="9046" spans="6:6" x14ac:dyDescent="0.3">
      <c r="F9046" s="89" t="str">
        <v/>
      </c>
    </row>
    <row r="9047" spans="6:6" x14ac:dyDescent="0.3">
      <c r="F9047" s="89" t="str">
        <v/>
      </c>
    </row>
    <row r="9048" spans="6:6" x14ac:dyDescent="0.3">
      <c r="F9048" s="89" t="str">
        <v/>
      </c>
    </row>
    <row r="9049" spans="6:6" x14ac:dyDescent="0.3">
      <c r="F9049" s="89" t="str">
        <v/>
      </c>
    </row>
    <row r="9050" spans="6:6" x14ac:dyDescent="0.3">
      <c r="F9050" s="89" t="str">
        <v/>
      </c>
    </row>
    <row r="9051" spans="6:6" x14ac:dyDescent="0.3">
      <c r="F9051" s="89" t="str">
        <v/>
      </c>
    </row>
    <row r="9052" spans="6:6" x14ac:dyDescent="0.3">
      <c r="F9052" s="89" t="str">
        <v/>
      </c>
    </row>
    <row r="9053" spans="6:6" x14ac:dyDescent="0.3">
      <c r="F9053" s="89" t="str">
        <v/>
      </c>
    </row>
    <row r="9054" spans="6:6" x14ac:dyDescent="0.3">
      <c r="F9054" s="89" t="str">
        <v/>
      </c>
    </row>
    <row r="9055" spans="6:6" x14ac:dyDescent="0.3">
      <c r="F9055" s="89" t="str">
        <v/>
      </c>
    </row>
    <row r="9056" spans="6:6" x14ac:dyDescent="0.3">
      <c r="F9056" s="89" t="str">
        <v/>
      </c>
    </row>
    <row r="9057" spans="6:6" x14ac:dyDescent="0.3">
      <c r="F9057" s="89" t="str">
        <v/>
      </c>
    </row>
    <row r="9058" spans="6:6" x14ac:dyDescent="0.3">
      <c r="F9058" s="89" t="str">
        <v/>
      </c>
    </row>
    <row r="9059" spans="6:6" x14ac:dyDescent="0.3">
      <c r="F9059" s="89" t="str">
        <v/>
      </c>
    </row>
    <row r="9060" spans="6:6" x14ac:dyDescent="0.3">
      <c r="F9060" s="89" t="str">
        <v/>
      </c>
    </row>
    <row r="9061" spans="6:6" x14ac:dyDescent="0.3">
      <c r="F9061" s="89" t="str">
        <v/>
      </c>
    </row>
    <row r="9062" spans="6:6" x14ac:dyDescent="0.3">
      <c r="F9062" s="89" t="str">
        <v/>
      </c>
    </row>
    <row r="9063" spans="6:6" x14ac:dyDescent="0.3">
      <c r="F9063" s="89" t="str">
        <v/>
      </c>
    </row>
    <row r="9064" spans="6:6" x14ac:dyDescent="0.3">
      <c r="F9064" s="89" t="str">
        <v/>
      </c>
    </row>
    <row r="9065" spans="6:6" x14ac:dyDescent="0.3">
      <c r="F9065" s="89" t="str">
        <v/>
      </c>
    </row>
    <row r="9066" spans="6:6" x14ac:dyDescent="0.3">
      <c r="F9066" s="89" t="str">
        <v/>
      </c>
    </row>
    <row r="9067" spans="6:6" x14ac:dyDescent="0.3">
      <c r="F9067" s="89" t="str">
        <v/>
      </c>
    </row>
    <row r="9068" spans="6:6" x14ac:dyDescent="0.3">
      <c r="F9068" s="89" t="str">
        <v/>
      </c>
    </row>
    <row r="9069" spans="6:6" x14ac:dyDescent="0.3">
      <c r="F9069" s="89" t="str">
        <v/>
      </c>
    </row>
    <row r="9070" spans="6:6" x14ac:dyDescent="0.3">
      <c r="F9070" s="89" t="str">
        <v/>
      </c>
    </row>
    <row r="9071" spans="6:6" x14ac:dyDescent="0.3">
      <c r="F9071" s="89" t="str">
        <v/>
      </c>
    </row>
    <row r="9072" spans="6:6" x14ac:dyDescent="0.3">
      <c r="F9072" s="89" t="str">
        <v/>
      </c>
    </row>
    <row r="9073" spans="6:6" x14ac:dyDescent="0.3">
      <c r="F9073" s="89" t="str">
        <v/>
      </c>
    </row>
    <row r="9074" spans="6:6" x14ac:dyDescent="0.3">
      <c r="F9074" s="89" t="str">
        <v/>
      </c>
    </row>
    <row r="9075" spans="6:6" x14ac:dyDescent="0.3">
      <c r="F9075" s="89" t="str">
        <v/>
      </c>
    </row>
    <row r="9076" spans="6:6" x14ac:dyDescent="0.3">
      <c r="F9076" s="89" t="str">
        <v/>
      </c>
    </row>
    <row r="9077" spans="6:6" x14ac:dyDescent="0.3">
      <c r="F9077" s="89" t="str">
        <v/>
      </c>
    </row>
    <row r="9078" spans="6:6" x14ac:dyDescent="0.3">
      <c r="F9078" s="89" t="str">
        <v/>
      </c>
    </row>
    <row r="9079" spans="6:6" x14ac:dyDescent="0.3">
      <c r="F9079" s="89" t="str">
        <v/>
      </c>
    </row>
    <row r="9080" spans="6:6" x14ac:dyDescent="0.3">
      <c r="F9080" s="89" t="str">
        <v/>
      </c>
    </row>
    <row r="9081" spans="6:6" x14ac:dyDescent="0.3">
      <c r="F9081" s="89" t="str">
        <v/>
      </c>
    </row>
    <row r="9082" spans="6:6" x14ac:dyDescent="0.3">
      <c r="F9082" s="89" t="str">
        <v/>
      </c>
    </row>
    <row r="9083" spans="6:6" x14ac:dyDescent="0.3">
      <c r="F9083" s="89" t="str">
        <v/>
      </c>
    </row>
    <row r="9084" spans="6:6" x14ac:dyDescent="0.3">
      <c r="F9084" s="89" t="str">
        <v/>
      </c>
    </row>
    <row r="9085" spans="6:6" x14ac:dyDescent="0.3">
      <c r="F9085" s="89" t="str">
        <v/>
      </c>
    </row>
    <row r="9086" spans="6:6" x14ac:dyDescent="0.3">
      <c r="F9086" s="89" t="str">
        <v/>
      </c>
    </row>
    <row r="9087" spans="6:6" x14ac:dyDescent="0.3">
      <c r="F9087" s="89" t="str">
        <v/>
      </c>
    </row>
    <row r="9088" spans="6:6" x14ac:dyDescent="0.3">
      <c r="F9088" s="89" t="str">
        <v/>
      </c>
    </row>
    <row r="9089" spans="6:6" x14ac:dyDescent="0.3">
      <c r="F9089" s="89" t="str">
        <v/>
      </c>
    </row>
    <row r="9090" spans="6:6" x14ac:dyDescent="0.3">
      <c r="F9090" s="89" t="str">
        <v/>
      </c>
    </row>
    <row r="9091" spans="6:6" x14ac:dyDescent="0.3">
      <c r="F9091" s="89" t="str">
        <v/>
      </c>
    </row>
    <row r="9092" spans="6:6" x14ac:dyDescent="0.3">
      <c r="F9092" s="89" t="str">
        <v/>
      </c>
    </row>
    <row r="9093" spans="6:6" x14ac:dyDescent="0.3">
      <c r="F9093" s="89" t="str">
        <v/>
      </c>
    </row>
    <row r="9094" spans="6:6" x14ac:dyDescent="0.3">
      <c r="F9094" s="89" t="str">
        <v/>
      </c>
    </row>
    <row r="9095" spans="6:6" x14ac:dyDescent="0.3">
      <c r="F9095" s="89" t="str">
        <v/>
      </c>
    </row>
    <row r="9096" spans="6:6" x14ac:dyDescent="0.3">
      <c r="F9096" s="89" t="str">
        <v/>
      </c>
    </row>
    <row r="9097" spans="6:6" x14ac:dyDescent="0.3">
      <c r="F9097" s="89" t="str">
        <v/>
      </c>
    </row>
    <row r="9098" spans="6:6" x14ac:dyDescent="0.3">
      <c r="F9098" s="89" t="str">
        <v/>
      </c>
    </row>
    <row r="9099" spans="6:6" x14ac:dyDescent="0.3">
      <c r="F9099" s="89" t="str">
        <v/>
      </c>
    </row>
    <row r="9100" spans="6:6" x14ac:dyDescent="0.3">
      <c r="F9100" s="89" t="str">
        <v/>
      </c>
    </row>
    <row r="9101" spans="6:6" x14ac:dyDescent="0.3">
      <c r="F9101" s="89" t="str">
        <v/>
      </c>
    </row>
    <row r="9102" spans="6:6" x14ac:dyDescent="0.3">
      <c r="F9102" s="89" t="str">
        <v/>
      </c>
    </row>
    <row r="9103" spans="6:6" x14ac:dyDescent="0.3">
      <c r="F9103" s="89" t="str">
        <v/>
      </c>
    </row>
    <row r="9104" spans="6:6" x14ac:dyDescent="0.3">
      <c r="F9104" s="89" t="str">
        <v/>
      </c>
    </row>
    <row r="9105" spans="6:6" x14ac:dyDescent="0.3">
      <c r="F9105" s="89" t="str">
        <v/>
      </c>
    </row>
    <row r="9106" spans="6:6" x14ac:dyDescent="0.3">
      <c r="F9106" s="89" t="str">
        <v/>
      </c>
    </row>
    <row r="9107" spans="6:6" x14ac:dyDescent="0.3">
      <c r="F9107" s="89" t="str">
        <v/>
      </c>
    </row>
    <row r="9108" spans="6:6" x14ac:dyDescent="0.3">
      <c r="F9108" s="89" t="str">
        <v/>
      </c>
    </row>
    <row r="9109" spans="6:6" x14ac:dyDescent="0.3">
      <c r="F9109" s="89" t="str">
        <v/>
      </c>
    </row>
    <row r="9110" spans="6:6" x14ac:dyDescent="0.3">
      <c r="F9110" s="89" t="str">
        <v/>
      </c>
    </row>
    <row r="9111" spans="6:6" x14ac:dyDescent="0.3">
      <c r="F9111" s="89" t="str">
        <v/>
      </c>
    </row>
    <row r="9112" spans="6:6" x14ac:dyDescent="0.3">
      <c r="F9112" s="89" t="str">
        <v/>
      </c>
    </row>
    <row r="9113" spans="6:6" x14ac:dyDescent="0.3">
      <c r="F9113" s="89" t="str">
        <v/>
      </c>
    </row>
    <row r="9114" spans="6:6" x14ac:dyDescent="0.3">
      <c r="F9114" s="89" t="str">
        <v/>
      </c>
    </row>
    <row r="9115" spans="6:6" x14ac:dyDescent="0.3">
      <c r="F9115" s="89" t="str">
        <v/>
      </c>
    </row>
    <row r="9116" spans="6:6" x14ac:dyDescent="0.3">
      <c r="F9116" s="89" t="str">
        <v/>
      </c>
    </row>
    <row r="9117" spans="6:6" x14ac:dyDescent="0.3">
      <c r="F9117" s="89" t="str">
        <v/>
      </c>
    </row>
    <row r="9118" spans="6:6" x14ac:dyDescent="0.3">
      <c r="F9118" s="89" t="str">
        <v/>
      </c>
    </row>
    <row r="9119" spans="6:6" x14ac:dyDescent="0.3">
      <c r="F9119" s="89" t="str">
        <v/>
      </c>
    </row>
    <row r="9120" spans="6:6" x14ac:dyDescent="0.3">
      <c r="F9120" s="89" t="str">
        <v/>
      </c>
    </row>
    <row r="9121" spans="6:6" x14ac:dyDescent="0.3">
      <c r="F9121" s="89" t="str">
        <v/>
      </c>
    </row>
    <row r="9122" spans="6:6" x14ac:dyDescent="0.3">
      <c r="F9122" s="89" t="str">
        <v/>
      </c>
    </row>
    <row r="9123" spans="6:6" x14ac:dyDescent="0.3">
      <c r="F9123" s="89" t="str">
        <v/>
      </c>
    </row>
    <row r="9124" spans="6:6" x14ac:dyDescent="0.3">
      <c r="F9124" s="89" t="str">
        <v/>
      </c>
    </row>
    <row r="9125" spans="6:6" x14ac:dyDescent="0.3">
      <c r="F9125" s="89" t="str">
        <v/>
      </c>
    </row>
    <row r="9126" spans="6:6" x14ac:dyDescent="0.3">
      <c r="F9126" s="89" t="str">
        <v/>
      </c>
    </row>
    <row r="9127" spans="6:6" x14ac:dyDescent="0.3">
      <c r="F9127" s="89" t="str">
        <v/>
      </c>
    </row>
    <row r="9128" spans="6:6" x14ac:dyDescent="0.3">
      <c r="F9128" s="89" t="str">
        <v/>
      </c>
    </row>
    <row r="9129" spans="6:6" x14ac:dyDescent="0.3">
      <c r="F9129" s="89" t="str">
        <v/>
      </c>
    </row>
    <row r="9130" spans="6:6" x14ac:dyDescent="0.3">
      <c r="F9130" s="89" t="str">
        <v/>
      </c>
    </row>
    <row r="9131" spans="6:6" x14ac:dyDescent="0.3">
      <c r="F9131" s="89" t="str">
        <v/>
      </c>
    </row>
    <row r="9132" spans="6:6" x14ac:dyDescent="0.3">
      <c r="F9132" s="89" t="str">
        <v/>
      </c>
    </row>
    <row r="9133" spans="6:6" x14ac:dyDescent="0.3">
      <c r="F9133" s="89" t="str">
        <v/>
      </c>
    </row>
    <row r="9134" spans="6:6" x14ac:dyDescent="0.3">
      <c r="F9134" s="89" t="str">
        <v/>
      </c>
    </row>
    <row r="9135" spans="6:6" x14ac:dyDescent="0.3">
      <c r="F9135" s="89" t="str">
        <v/>
      </c>
    </row>
    <row r="9136" spans="6:6" x14ac:dyDescent="0.3">
      <c r="F9136" s="89" t="str">
        <v/>
      </c>
    </row>
    <row r="9137" spans="6:6" x14ac:dyDescent="0.3">
      <c r="F9137" s="89" t="str">
        <v/>
      </c>
    </row>
    <row r="9138" spans="6:6" x14ac:dyDescent="0.3">
      <c r="F9138" s="89" t="str">
        <v/>
      </c>
    </row>
    <row r="9139" spans="6:6" x14ac:dyDescent="0.3">
      <c r="F9139" s="89" t="str">
        <v/>
      </c>
    </row>
    <row r="9140" spans="6:6" x14ac:dyDescent="0.3">
      <c r="F9140" s="89" t="str">
        <v/>
      </c>
    </row>
    <row r="9141" spans="6:6" x14ac:dyDescent="0.3">
      <c r="F9141" s="89" t="str">
        <v/>
      </c>
    </row>
    <row r="9142" spans="6:6" x14ac:dyDescent="0.3">
      <c r="F9142" s="89" t="str">
        <v/>
      </c>
    </row>
    <row r="9143" spans="6:6" x14ac:dyDescent="0.3">
      <c r="F9143" s="89" t="str">
        <v/>
      </c>
    </row>
    <row r="9144" spans="6:6" x14ac:dyDescent="0.3">
      <c r="F9144" s="89" t="str">
        <v/>
      </c>
    </row>
    <row r="9145" spans="6:6" x14ac:dyDescent="0.3">
      <c r="F9145" s="89" t="str">
        <v/>
      </c>
    </row>
    <row r="9146" spans="6:6" x14ac:dyDescent="0.3">
      <c r="F9146" s="89" t="str">
        <v/>
      </c>
    </row>
    <row r="9147" spans="6:6" x14ac:dyDescent="0.3">
      <c r="F9147" s="89" t="str">
        <v/>
      </c>
    </row>
    <row r="9148" spans="6:6" x14ac:dyDescent="0.3">
      <c r="F9148" s="89" t="str">
        <v/>
      </c>
    </row>
    <row r="9149" spans="6:6" x14ac:dyDescent="0.3">
      <c r="F9149" s="89" t="str">
        <v/>
      </c>
    </row>
    <row r="9150" spans="6:6" x14ac:dyDescent="0.3">
      <c r="F9150" s="89" t="str">
        <v/>
      </c>
    </row>
    <row r="9151" spans="6:6" x14ac:dyDescent="0.3">
      <c r="F9151" s="89" t="str">
        <v/>
      </c>
    </row>
    <row r="9152" spans="6:6" x14ac:dyDescent="0.3">
      <c r="F9152" s="89" t="str">
        <v/>
      </c>
    </row>
    <row r="9153" spans="6:6" x14ac:dyDescent="0.3">
      <c r="F9153" s="89" t="str">
        <v/>
      </c>
    </row>
    <row r="9154" spans="6:6" x14ac:dyDescent="0.3">
      <c r="F9154" s="89" t="str">
        <v/>
      </c>
    </row>
    <row r="9155" spans="6:6" x14ac:dyDescent="0.3">
      <c r="F9155" s="89" t="str">
        <v/>
      </c>
    </row>
    <row r="9156" spans="6:6" x14ac:dyDescent="0.3">
      <c r="F9156" s="89" t="str">
        <v/>
      </c>
    </row>
    <row r="9157" spans="6:6" x14ac:dyDescent="0.3">
      <c r="F9157" s="89" t="str">
        <v/>
      </c>
    </row>
    <row r="9158" spans="6:6" x14ac:dyDescent="0.3">
      <c r="F9158" s="89" t="str">
        <v/>
      </c>
    </row>
    <row r="9159" spans="6:6" x14ac:dyDescent="0.3">
      <c r="F9159" s="89" t="str">
        <v/>
      </c>
    </row>
    <row r="9160" spans="6:6" x14ac:dyDescent="0.3">
      <c r="F9160" s="89" t="str">
        <v/>
      </c>
    </row>
    <row r="9161" spans="6:6" x14ac:dyDescent="0.3">
      <c r="F9161" s="89" t="str">
        <v/>
      </c>
    </row>
    <row r="9162" spans="6:6" x14ac:dyDescent="0.3">
      <c r="F9162" s="89" t="str">
        <v/>
      </c>
    </row>
    <row r="9163" spans="6:6" x14ac:dyDescent="0.3">
      <c r="F9163" s="89" t="str">
        <v/>
      </c>
    </row>
    <row r="9164" spans="6:6" x14ac:dyDescent="0.3">
      <c r="F9164" s="89" t="str">
        <v/>
      </c>
    </row>
    <row r="9165" spans="6:6" x14ac:dyDescent="0.3">
      <c r="F9165" s="89" t="str">
        <v/>
      </c>
    </row>
    <row r="9166" spans="6:6" x14ac:dyDescent="0.3">
      <c r="F9166" s="89" t="str">
        <v/>
      </c>
    </row>
    <row r="9167" spans="6:6" x14ac:dyDescent="0.3">
      <c r="F9167" s="89" t="str">
        <v/>
      </c>
    </row>
    <row r="9168" spans="6:6" x14ac:dyDescent="0.3">
      <c r="F9168" s="89" t="str">
        <v/>
      </c>
    </row>
    <row r="9169" spans="6:6" x14ac:dyDescent="0.3">
      <c r="F9169" s="89" t="str">
        <v/>
      </c>
    </row>
    <row r="9170" spans="6:6" x14ac:dyDescent="0.3">
      <c r="F9170" s="89" t="str">
        <v/>
      </c>
    </row>
    <row r="9171" spans="6:6" x14ac:dyDescent="0.3">
      <c r="F9171" s="89" t="str">
        <v/>
      </c>
    </row>
    <row r="9172" spans="6:6" x14ac:dyDescent="0.3">
      <c r="F9172" s="89" t="str">
        <v/>
      </c>
    </row>
    <row r="9173" spans="6:6" x14ac:dyDescent="0.3">
      <c r="F9173" s="89" t="str">
        <v/>
      </c>
    </row>
    <row r="9174" spans="6:6" x14ac:dyDescent="0.3">
      <c r="F9174" s="89" t="str">
        <v/>
      </c>
    </row>
    <row r="9175" spans="6:6" x14ac:dyDescent="0.3">
      <c r="F9175" s="89" t="str">
        <v/>
      </c>
    </row>
    <row r="9176" spans="6:6" x14ac:dyDescent="0.3">
      <c r="F9176" s="89" t="str">
        <v/>
      </c>
    </row>
    <row r="9177" spans="6:6" x14ac:dyDescent="0.3">
      <c r="F9177" s="89" t="str">
        <v/>
      </c>
    </row>
    <row r="9178" spans="6:6" x14ac:dyDescent="0.3">
      <c r="F9178" s="89" t="str">
        <v/>
      </c>
    </row>
    <row r="9179" spans="6:6" x14ac:dyDescent="0.3">
      <c r="F9179" s="89" t="str">
        <v/>
      </c>
    </row>
    <row r="9180" spans="6:6" x14ac:dyDescent="0.3">
      <c r="F9180" s="89" t="str">
        <v/>
      </c>
    </row>
    <row r="9181" spans="6:6" x14ac:dyDescent="0.3">
      <c r="F9181" s="89" t="str">
        <v/>
      </c>
    </row>
    <row r="9182" spans="6:6" x14ac:dyDescent="0.3">
      <c r="F9182" s="89" t="str">
        <v/>
      </c>
    </row>
    <row r="9183" spans="6:6" x14ac:dyDescent="0.3">
      <c r="F9183" s="89" t="str">
        <v/>
      </c>
    </row>
    <row r="9184" spans="6:6" x14ac:dyDescent="0.3">
      <c r="F9184" s="89" t="str">
        <v/>
      </c>
    </row>
    <row r="9185" spans="6:6" x14ac:dyDescent="0.3">
      <c r="F9185" s="89" t="str">
        <v/>
      </c>
    </row>
    <row r="9186" spans="6:6" x14ac:dyDescent="0.3">
      <c r="F9186" s="89" t="str">
        <v/>
      </c>
    </row>
    <row r="9187" spans="6:6" x14ac:dyDescent="0.3">
      <c r="F9187" s="89" t="str">
        <v/>
      </c>
    </row>
    <row r="9188" spans="6:6" x14ac:dyDescent="0.3">
      <c r="F9188" s="89" t="str">
        <v/>
      </c>
    </row>
    <row r="9189" spans="6:6" x14ac:dyDescent="0.3">
      <c r="F9189" s="89" t="str">
        <v/>
      </c>
    </row>
    <row r="9190" spans="6:6" x14ac:dyDescent="0.3">
      <c r="F9190" s="89" t="str">
        <v/>
      </c>
    </row>
    <row r="9191" spans="6:6" x14ac:dyDescent="0.3">
      <c r="F9191" s="89" t="str">
        <v/>
      </c>
    </row>
    <row r="9192" spans="6:6" x14ac:dyDescent="0.3">
      <c r="F9192" s="89" t="str">
        <v/>
      </c>
    </row>
    <row r="9193" spans="6:6" x14ac:dyDescent="0.3">
      <c r="F9193" s="89" t="str">
        <v/>
      </c>
    </row>
    <row r="9194" spans="6:6" x14ac:dyDescent="0.3">
      <c r="F9194" s="89" t="str">
        <v/>
      </c>
    </row>
    <row r="9195" spans="6:6" x14ac:dyDescent="0.3">
      <c r="F9195" s="89" t="str">
        <v/>
      </c>
    </row>
    <row r="9196" spans="6:6" x14ac:dyDescent="0.3">
      <c r="F9196" s="89" t="str">
        <v/>
      </c>
    </row>
    <row r="9197" spans="6:6" x14ac:dyDescent="0.3">
      <c r="F9197" s="89" t="str">
        <v/>
      </c>
    </row>
    <row r="9198" spans="6:6" x14ac:dyDescent="0.3">
      <c r="F9198" s="89" t="str">
        <v/>
      </c>
    </row>
    <row r="9199" spans="6:6" x14ac:dyDescent="0.3">
      <c r="F9199" s="89" t="str">
        <v/>
      </c>
    </row>
    <row r="9200" spans="6:6" x14ac:dyDescent="0.3">
      <c r="F9200" s="89" t="str">
        <v/>
      </c>
    </row>
    <row r="9201" spans="6:6" x14ac:dyDescent="0.3">
      <c r="F9201" s="89" t="str">
        <v/>
      </c>
    </row>
    <row r="9202" spans="6:6" x14ac:dyDescent="0.3">
      <c r="F9202" s="89" t="str">
        <v/>
      </c>
    </row>
    <row r="9203" spans="6:6" x14ac:dyDescent="0.3">
      <c r="F9203" s="89" t="str">
        <v/>
      </c>
    </row>
    <row r="9204" spans="6:6" x14ac:dyDescent="0.3">
      <c r="F9204" s="89" t="str">
        <v/>
      </c>
    </row>
    <row r="9205" spans="6:6" x14ac:dyDescent="0.3">
      <c r="F9205" s="89" t="str">
        <v/>
      </c>
    </row>
    <row r="9206" spans="6:6" x14ac:dyDescent="0.3">
      <c r="F9206" s="89" t="str">
        <v/>
      </c>
    </row>
    <row r="9207" spans="6:6" x14ac:dyDescent="0.3">
      <c r="F9207" s="89" t="str">
        <v/>
      </c>
    </row>
    <row r="9208" spans="6:6" x14ac:dyDescent="0.3">
      <c r="F9208" s="89" t="str">
        <v/>
      </c>
    </row>
    <row r="9209" spans="6:6" x14ac:dyDescent="0.3">
      <c r="F9209" s="89" t="str">
        <v/>
      </c>
    </row>
    <row r="9210" spans="6:6" x14ac:dyDescent="0.3">
      <c r="F9210" s="89" t="str">
        <v/>
      </c>
    </row>
    <row r="9211" spans="6:6" x14ac:dyDescent="0.3">
      <c r="F9211" s="89" t="str">
        <v/>
      </c>
    </row>
    <row r="9212" spans="6:6" x14ac:dyDescent="0.3">
      <c r="F9212" s="89" t="str">
        <v/>
      </c>
    </row>
    <row r="9213" spans="6:6" x14ac:dyDescent="0.3">
      <c r="F9213" s="89" t="str">
        <v/>
      </c>
    </row>
    <row r="9214" spans="6:6" x14ac:dyDescent="0.3">
      <c r="F9214" s="89" t="str">
        <v/>
      </c>
    </row>
    <row r="9215" spans="6:6" x14ac:dyDescent="0.3">
      <c r="F9215" s="89" t="str">
        <v/>
      </c>
    </row>
    <row r="9216" spans="6:6" x14ac:dyDescent="0.3">
      <c r="F9216" s="89" t="str">
        <v/>
      </c>
    </row>
    <row r="9217" spans="6:6" x14ac:dyDescent="0.3">
      <c r="F9217" s="89" t="str">
        <v/>
      </c>
    </row>
    <row r="9218" spans="6:6" x14ac:dyDescent="0.3">
      <c r="F9218" s="89" t="str">
        <v/>
      </c>
    </row>
    <row r="9219" spans="6:6" x14ac:dyDescent="0.3">
      <c r="F9219" s="89" t="str">
        <v/>
      </c>
    </row>
    <row r="9220" spans="6:6" x14ac:dyDescent="0.3">
      <c r="F9220" s="89" t="str">
        <v/>
      </c>
    </row>
    <row r="9221" spans="6:6" x14ac:dyDescent="0.3">
      <c r="F9221" s="89" t="str">
        <v/>
      </c>
    </row>
    <row r="9222" spans="6:6" x14ac:dyDescent="0.3">
      <c r="F9222" s="89" t="str">
        <v/>
      </c>
    </row>
    <row r="9223" spans="6:6" x14ac:dyDescent="0.3">
      <c r="F9223" s="89" t="str">
        <v/>
      </c>
    </row>
    <row r="9224" spans="6:6" x14ac:dyDescent="0.3">
      <c r="F9224" s="89" t="str">
        <v/>
      </c>
    </row>
    <row r="9225" spans="6:6" x14ac:dyDescent="0.3">
      <c r="F9225" s="89" t="str">
        <v/>
      </c>
    </row>
    <row r="9226" spans="6:6" x14ac:dyDescent="0.3">
      <c r="F9226" s="89" t="str">
        <v/>
      </c>
    </row>
    <row r="9227" spans="6:6" x14ac:dyDescent="0.3">
      <c r="F9227" s="89" t="str">
        <v/>
      </c>
    </row>
    <row r="9228" spans="6:6" x14ac:dyDescent="0.3">
      <c r="F9228" s="89" t="str">
        <v/>
      </c>
    </row>
    <row r="9229" spans="6:6" x14ac:dyDescent="0.3">
      <c r="F9229" s="89" t="str">
        <v/>
      </c>
    </row>
    <row r="9230" spans="6:6" x14ac:dyDescent="0.3">
      <c r="F9230" s="89" t="str">
        <v/>
      </c>
    </row>
    <row r="9231" spans="6:6" x14ac:dyDescent="0.3">
      <c r="F9231" s="89" t="str">
        <v/>
      </c>
    </row>
    <row r="9232" spans="6:6" x14ac:dyDescent="0.3">
      <c r="F9232" s="89" t="str">
        <v/>
      </c>
    </row>
    <row r="9233" spans="6:6" x14ac:dyDescent="0.3">
      <c r="F9233" s="89" t="str">
        <v/>
      </c>
    </row>
    <row r="9234" spans="6:6" x14ac:dyDescent="0.3">
      <c r="F9234" s="89" t="str">
        <v/>
      </c>
    </row>
    <row r="9235" spans="6:6" x14ac:dyDescent="0.3">
      <c r="F9235" s="89" t="str">
        <v/>
      </c>
    </row>
    <row r="9236" spans="6:6" x14ac:dyDescent="0.3">
      <c r="F9236" s="89" t="str">
        <v/>
      </c>
    </row>
    <row r="9237" spans="6:6" x14ac:dyDescent="0.3">
      <c r="F9237" s="89" t="str">
        <v/>
      </c>
    </row>
    <row r="9238" spans="6:6" x14ac:dyDescent="0.3">
      <c r="F9238" s="89" t="str">
        <v/>
      </c>
    </row>
    <row r="9239" spans="6:6" x14ac:dyDescent="0.3">
      <c r="F9239" s="89" t="str">
        <v/>
      </c>
    </row>
    <row r="9240" spans="6:6" x14ac:dyDescent="0.3">
      <c r="F9240" s="89" t="str">
        <v/>
      </c>
    </row>
    <row r="9241" spans="6:6" x14ac:dyDescent="0.3">
      <c r="F9241" s="89" t="str">
        <v/>
      </c>
    </row>
    <row r="9242" spans="6:6" x14ac:dyDescent="0.3">
      <c r="F9242" s="89" t="str">
        <v/>
      </c>
    </row>
    <row r="9243" spans="6:6" x14ac:dyDescent="0.3">
      <c r="F9243" s="89" t="str">
        <v/>
      </c>
    </row>
    <row r="9244" spans="6:6" x14ac:dyDescent="0.3">
      <c r="F9244" s="89" t="str">
        <v/>
      </c>
    </row>
    <row r="9245" spans="6:6" x14ac:dyDescent="0.3">
      <c r="F9245" s="89" t="str">
        <v/>
      </c>
    </row>
    <row r="9246" spans="6:6" x14ac:dyDescent="0.3">
      <c r="F9246" s="89" t="str">
        <v/>
      </c>
    </row>
    <row r="9247" spans="6:6" x14ac:dyDescent="0.3">
      <c r="F9247" s="89" t="str">
        <v/>
      </c>
    </row>
    <row r="9248" spans="6:6" x14ac:dyDescent="0.3">
      <c r="F9248" s="89" t="str">
        <v/>
      </c>
    </row>
    <row r="9249" spans="6:6" x14ac:dyDescent="0.3">
      <c r="F9249" s="89" t="str">
        <v/>
      </c>
    </row>
    <row r="9250" spans="6:6" x14ac:dyDescent="0.3">
      <c r="F9250" s="89" t="str">
        <v/>
      </c>
    </row>
    <row r="9251" spans="6:6" x14ac:dyDescent="0.3">
      <c r="F9251" s="89" t="str">
        <v/>
      </c>
    </row>
    <row r="9252" spans="6:6" x14ac:dyDescent="0.3">
      <c r="F9252" s="89" t="str">
        <v/>
      </c>
    </row>
    <row r="9253" spans="6:6" x14ac:dyDescent="0.3">
      <c r="F9253" s="89" t="str">
        <v/>
      </c>
    </row>
    <row r="9254" spans="6:6" x14ac:dyDescent="0.3">
      <c r="F9254" s="89" t="str">
        <v/>
      </c>
    </row>
    <row r="9255" spans="6:6" x14ac:dyDescent="0.3">
      <c r="F9255" s="89" t="str">
        <v/>
      </c>
    </row>
    <row r="9256" spans="6:6" x14ac:dyDescent="0.3">
      <c r="F9256" s="89" t="str">
        <v/>
      </c>
    </row>
    <row r="9257" spans="6:6" x14ac:dyDescent="0.3">
      <c r="F9257" s="89" t="str">
        <v/>
      </c>
    </row>
    <row r="9258" spans="6:6" x14ac:dyDescent="0.3">
      <c r="F9258" s="89" t="str">
        <v/>
      </c>
    </row>
    <row r="9259" spans="6:6" x14ac:dyDescent="0.3">
      <c r="F9259" s="89" t="str">
        <v/>
      </c>
    </row>
    <row r="9260" spans="6:6" x14ac:dyDescent="0.3">
      <c r="F9260" s="89" t="str">
        <v/>
      </c>
    </row>
    <row r="9261" spans="6:6" x14ac:dyDescent="0.3">
      <c r="F9261" s="89" t="str">
        <v/>
      </c>
    </row>
    <row r="9262" spans="6:6" x14ac:dyDescent="0.3">
      <c r="F9262" s="89" t="str">
        <v/>
      </c>
    </row>
    <row r="9263" spans="6:6" x14ac:dyDescent="0.3">
      <c r="F9263" s="89" t="str">
        <v/>
      </c>
    </row>
    <row r="9264" spans="6:6" x14ac:dyDescent="0.3">
      <c r="F9264" s="89" t="str">
        <v/>
      </c>
    </row>
    <row r="9265" spans="6:6" x14ac:dyDescent="0.3">
      <c r="F9265" s="89" t="str">
        <v/>
      </c>
    </row>
    <row r="9266" spans="6:6" x14ac:dyDescent="0.3">
      <c r="F9266" s="89" t="str">
        <v/>
      </c>
    </row>
    <row r="9267" spans="6:6" x14ac:dyDescent="0.3">
      <c r="F9267" s="89" t="str">
        <v/>
      </c>
    </row>
    <row r="9268" spans="6:6" x14ac:dyDescent="0.3">
      <c r="F9268" s="89" t="str">
        <v/>
      </c>
    </row>
    <row r="9269" spans="6:6" x14ac:dyDescent="0.3">
      <c r="F9269" s="89" t="str">
        <v/>
      </c>
    </row>
    <row r="9270" spans="6:6" x14ac:dyDescent="0.3">
      <c r="F9270" s="89" t="str">
        <v/>
      </c>
    </row>
    <row r="9271" spans="6:6" x14ac:dyDescent="0.3">
      <c r="F9271" s="89" t="str">
        <v/>
      </c>
    </row>
    <row r="9272" spans="6:6" x14ac:dyDescent="0.3">
      <c r="F9272" s="89" t="str">
        <v/>
      </c>
    </row>
    <row r="9273" spans="6:6" x14ac:dyDescent="0.3">
      <c r="F9273" s="89" t="str">
        <v/>
      </c>
    </row>
    <row r="9274" spans="6:6" x14ac:dyDescent="0.3">
      <c r="F9274" s="89" t="str">
        <v/>
      </c>
    </row>
    <row r="9275" spans="6:6" x14ac:dyDescent="0.3">
      <c r="F9275" s="89" t="str">
        <v/>
      </c>
    </row>
    <row r="9276" spans="6:6" x14ac:dyDescent="0.3">
      <c r="F9276" s="89" t="str">
        <v/>
      </c>
    </row>
    <row r="9277" spans="6:6" x14ac:dyDescent="0.3">
      <c r="F9277" s="89" t="str">
        <v/>
      </c>
    </row>
    <row r="9278" spans="6:6" x14ac:dyDescent="0.3">
      <c r="F9278" s="89" t="str">
        <v/>
      </c>
    </row>
    <row r="9279" spans="6:6" x14ac:dyDescent="0.3">
      <c r="F9279" s="89" t="str">
        <v/>
      </c>
    </row>
    <row r="9280" spans="6:6" x14ac:dyDescent="0.3">
      <c r="F9280" s="89" t="str">
        <v/>
      </c>
    </row>
    <row r="9281" spans="6:6" x14ac:dyDescent="0.3">
      <c r="F9281" s="89" t="str">
        <v/>
      </c>
    </row>
    <row r="9282" spans="6:6" x14ac:dyDescent="0.3">
      <c r="F9282" s="89" t="str">
        <v/>
      </c>
    </row>
    <row r="9283" spans="6:6" x14ac:dyDescent="0.3">
      <c r="F9283" s="89" t="str">
        <v/>
      </c>
    </row>
    <row r="9284" spans="6:6" x14ac:dyDescent="0.3">
      <c r="F9284" s="89" t="str">
        <v/>
      </c>
    </row>
    <row r="9285" spans="6:6" x14ac:dyDescent="0.3">
      <c r="F9285" s="89" t="str">
        <v/>
      </c>
    </row>
    <row r="9286" spans="6:6" x14ac:dyDescent="0.3">
      <c r="F9286" s="89" t="str">
        <v/>
      </c>
    </row>
    <row r="9287" spans="6:6" x14ac:dyDescent="0.3">
      <c r="F9287" s="89" t="str">
        <v/>
      </c>
    </row>
    <row r="9288" spans="6:6" x14ac:dyDescent="0.3">
      <c r="F9288" s="89" t="str">
        <v/>
      </c>
    </row>
    <row r="9289" spans="6:6" x14ac:dyDescent="0.3">
      <c r="F9289" s="89" t="str">
        <v/>
      </c>
    </row>
    <row r="9290" spans="6:6" x14ac:dyDescent="0.3">
      <c r="F9290" s="89" t="str">
        <v/>
      </c>
    </row>
    <row r="9291" spans="6:6" x14ac:dyDescent="0.3">
      <c r="F9291" s="89" t="str">
        <v/>
      </c>
    </row>
    <row r="9292" spans="6:6" x14ac:dyDescent="0.3">
      <c r="F9292" s="89" t="str">
        <v/>
      </c>
    </row>
    <row r="9293" spans="6:6" x14ac:dyDescent="0.3">
      <c r="F9293" s="89" t="str">
        <v/>
      </c>
    </row>
    <row r="9294" spans="6:6" x14ac:dyDescent="0.3">
      <c r="F9294" s="89" t="str">
        <v/>
      </c>
    </row>
    <row r="9295" spans="6:6" x14ac:dyDescent="0.3">
      <c r="F9295" s="89" t="str">
        <v/>
      </c>
    </row>
    <row r="9296" spans="6:6" x14ac:dyDescent="0.3">
      <c r="F9296" s="89" t="str">
        <v/>
      </c>
    </row>
    <row r="9297" spans="6:6" x14ac:dyDescent="0.3">
      <c r="F9297" s="89" t="str">
        <v/>
      </c>
    </row>
    <row r="9298" spans="6:6" x14ac:dyDescent="0.3">
      <c r="F9298" s="89" t="str">
        <v/>
      </c>
    </row>
    <row r="9299" spans="6:6" x14ac:dyDescent="0.3">
      <c r="F9299" s="89" t="str">
        <v/>
      </c>
    </row>
    <row r="9300" spans="6:6" x14ac:dyDescent="0.3">
      <c r="F9300" s="89" t="str">
        <v/>
      </c>
    </row>
    <row r="9301" spans="6:6" x14ac:dyDescent="0.3">
      <c r="F9301" s="89" t="str">
        <v/>
      </c>
    </row>
    <row r="9302" spans="6:6" x14ac:dyDescent="0.3">
      <c r="F9302" s="89" t="str">
        <v/>
      </c>
    </row>
    <row r="9303" spans="6:6" x14ac:dyDescent="0.3">
      <c r="F9303" s="89" t="str">
        <v/>
      </c>
    </row>
    <row r="9304" spans="6:6" x14ac:dyDescent="0.3">
      <c r="F9304" s="89" t="str">
        <v/>
      </c>
    </row>
    <row r="9305" spans="6:6" x14ac:dyDescent="0.3">
      <c r="F9305" s="89" t="str">
        <v/>
      </c>
    </row>
    <row r="9306" spans="6:6" x14ac:dyDescent="0.3">
      <c r="F9306" s="89" t="str">
        <v/>
      </c>
    </row>
    <row r="9307" spans="6:6" x14ac:dyDescent="0.3">
      <c r="F9307" s="89" t="str">
        <v/>
      </c>
    </row>
    <row r="9308" spans="6:6" x14ac:dyDescent="0.3">
      <c r="F9308" s="89" t="str">
        <v/>
      </c>
    </row>
    <row r="9309" spans="6:6" x14ac:dyDescent="0.3">
      <c r="F9309" s="89" t="str">
        <v/>
      </c>
    </row>
    <row r="9310" spans="6:6" x14ac:dyDescent="0.3">
      <c r="F9310" s="89" t="str">
        <v/>
      </c>
    </row>
    <row r="9311" spans="6:6" x14ac:dyDescent="0.3">
      <c r="F9311" s="89" t="str">
        <v/>
      </c>
    </row>
    <row r="9312" spans="6:6" x14ac:dyDescent="0.3">
      <c r="F9312" s="89" t="str">
        <v/>
      </c>
    </row>
    <row r="9313" spans="6:6" x14ac:dyDescent="0.3">
      <c r="F9313" s="89" t="str">
        <v/>
      </c>
    </row>
    <row r="9314" spans="6:6" x14ac:dyDescent="0.3">
      <c r="F9314" s="89" t="str">
        <v/>
      </c>
    </row>
    <row r="9315" spans="6:6" x14ac:dyDescent="0.3">
      <c r="F9315" s="89" t="str">
        <v/>
      </c>
    </row>
    <row r="9316" spans="6:6" x14ac:dyDescent="0.3">
      <c r="F9316" s="89" t="str">
        <v/>
      </c>
    </row>
    <row r="9317" spans="6:6" x14ac:dyDescent="0.3">
      <c r="F9317" s="89" t="str">
        <v/>
      </c>
    </row>
    <row r="9318" spans="6:6" x14ac:dyDescent="0.3">
      <c r="F9318" s="89" t="str">
        <v/>
      </c>
    </row>
    <row r="9319" spans="6:6" x14ac:dyDescent="0.3">
      <c r="F9319" s="89" t="str">
        <v/>
      </c>
    </row>
    <row r="9320" spans="6:6" x14ac:dyDescent="0.3">
      <c r="F9320" s="89" t="str">
        <v/>
      </c>
    </row>
    <row r="9321" spans="6:6" x14ac:dyDescent="0.3">
      <c r="F9321" s="89" t="str">
        <v/>
      </c>
    </row>
    <row r="9322" spans="6:6" x14ac:dyDescent="0.3">
      <c r="F9322" s="89" t="str">
        <v/>
      </c>
    </row>
    <row r="9323" spans="6:6" x14ac:dyDescent="0.3">
      <c r="F9323" s="89" t="str">
        <v/>
      </c>
    </row>
    <row r="9324" spans="6:6" x14ac:dyDescent="0.3">
      <c r="F9324" s="89" t="str">
        <v/>
      </c>
    </row>
    <row r="9325" spans="6:6" x14ac:dyDescent="0.3">
      <c r="F9325" s="89" t="str">
        <v/>
      </c>
    </row>
    <row r="9326" spans="6:6" x14ac:dyDescent="0.3">
      <c r="F9326" s="89" t="str">
        <v/>
      </c>
    </row>
    <row r="9327" spans="6:6" x14ac:dyDescent="0.3">
      <c r="F9327" s="89" t="str">
        <v/>
      </c>
    </row>
    <row r="9328" spans="6:6" x14ac:dyDescent="0.3">
      <c r="F9328" s="89" t="str">
        <v/>
      </c>
    </row>
    <row r="9329" spans="6:6" x14ac:dyDescent="0.3">
      <c r="F9329" s="89" t="str">
        <v/>
      </c>
    </row>
    <row r="9330" spans="6:6" x14ac:dyDescent="0.3">
      <c r="F9330" s="89" t="str">
        <v/>
      </c>
    </row>
    <row r="9331" spans="6:6" x14ac:dyDescent="0.3">
      <c r="F9331" s="89" t="str">
        <v/>
      </c>
    </row>
    <row r="9332" spans="6:6" x14ac:dyDescent="0.3">
      <c r="F9332" s="89" t="str">
        <v/>
      </c>
    </row>
    <row r="9333" spans="6:6" x14ac:dyDescent="0.3">
      <c r="F9333" s="89" t="str">
        <v/>
      </c>
    </row>
    <row r="9334" spans="6:6" x14ac:dyDescent="0.3">
      <c r="F9334" s="89" t="str">
        <v/>
      </c>
    </row>
    <row r="9335" spans="6:6" x14ac:dyDescent="0.3">
      <c r="F9335" s="89" t="str">
        <v/>
      </c>
    </row>
    <row r="9336" spans="6:6" x14ac:dyDescent="0.3">
      <c r="F9336" s="89" t="str">
        <v/>
      </c>
    </row>
    <row r="9337" spans="6:6" x14ac:dyDescent="0.3">
      <c r="F9337" s="89" t="str">
        <v/>
      </c>
    </row>
    <row r="9338" spans="6:6" x14ac:dyDescent="0.3">
      <c r="F9338" s="89" t="str">
        <v/>
      </c>
    </row>
    <row r="9339" spans="6:6" x14ac:dyDescent="0.3">
      <c r="F9339" s="89" t="str">
        <v/>
      </c>
    </row>
    <row r="9340" spans="6:6" x14ac:dyDescent="0.3">
      <c r="F9340" s="89" t="str">
        <v/>
      </c>
    </row>
    <row r="9341" spans="6:6" x14ac:dyDescent="0.3">
      <c r="F9341" s="89" t="str">
        <v/>
      </c>
    </row>
    <row r="9342" spans="6:6" x14ac:dyDescent="0.3">
      <c r="F9342" s="89" t="str">
        <v/>
      </c>
    </row>
    <row r="9343" spans="6:6" x14ac:dyDescent="0.3">
      <c r="F9343" s="89" t="str">
        <v/>
      </c>
    </row>
    <row r="9344" spans="6:6" x14ac:dyDescent="0.3">
      <c r="F9344" s="89" t="str">
        <v/>
      </c>
    </row>
    <row r="9345" spans="6:6" x14ac:dyDescent="0.3">
      <c r="F9345" s="89" t="str">
        <v/>
      </c>
    </row>
    <row r="9346" spans="6:6" x14ac:dyDescent="0.3">
      <c r="F9346" s="89" t="str">
        <v/>
      </c>
    </row>
    <row r="9347" spans="6:6" x14ac:dyDescent="0.3">
      <c r="F9347" s="89" t="str">
        <v/>
      </c>
    </row>
    <row r="9348" spans="6:6" x14ac:dyDescent="0.3">
      <c r="F9348" s="89" t="str">
        <v/>
      </c>
    </row>
    <row r="9349" spans="6:6" x14ac:dyDescent="0.3">
      <c r="F9349" s="89" t="str">
        <v/>
      </c>
    </row>
    <row r="9350" spans="6:6" x14ac:dyDescent="0.3">
      <c r="F9350" s="89" t="str">
        <v/>
      </c>
    </row>
    <row r="9351" spans="6:6" x14ac:dyDescent="0.3">
      <c r="F9351" s="89" t="str">
        <v/>
      </c>
    </row>
    <row r="9352" spans="6:6" x14ac:dyDescent="0.3">
      <c r="F9352" s="89" t="str">
        <v/>
      </c>
    </row>
    <row r="9353" spans="6:6" x14ac:dyDescent="0.3">
      <c r="F9353" s="89" t="str">
        <v/>
      </c>
    </row>
    <row r="9354" spans="6:6" x14ac:dyDescent="0.3">
      <c r="F9354" s="89" t="str">
        <v/>
      </c>
    </row>
    <row r="9355" spans="6:6" x14ac:dyDescent="0.3">
      <c r="F9355" s="89" t="str">
        <v/>
      </c>
    </row>
    <row r="9356" spans="6:6" x14ac:dyDescent="0.3">
      <c r="F9356" s="89" t="str">
        <v/>
      </c>
    </row>
    <row r="9357" spans="6:6" x14ac:dyDescent="0.3">
      <c r="F9357" s="89" t="str">
        <v/>
      </c>
    </row>
    <row r="9358" spans="6:6" x14ac:dyDescent="0.3">
      <c r="F9358" s="89" t="str">
        <v/>
      </c>
    </row>
    <row r="9359" spans="6:6" x14ac:dyDescent="0.3">
      <c r="F9359" s="89" t="str">
        <v/>
      </c>
    </row>
    <row r="9360" spans="6:6" x14ac:dyDescent="0.3">
      <c r="F9360" s="89" t="str">
        <v/>
      </c>
    </row>
    <row r="9361" spans="6:6" x14ac:dyDescent="0.3">
      <c r="F9361" s="89" t="str">
        <v/>
      </c>
    </row>
    <row r="9362" spans="6:6" x14ac:dyDescent="0.3">
      <c r="F9362" s="89" t="str">
        <v/>
      </c>
    </row>
    <row r="9363" spans="6:6" x14ac:dyDescent="0.3">
      <c r="F9363" s="89" t="str">
        <v/>
      </c>
    </row>
    <row r="9364" spans="6:6" x14ac:dyDescent="0.3">
      <c r="F9364" s="89" t="str">
        <v/>
      </c>
    </row>
    <row r="9365" spans="6:6" x14ac:dyDescent="0.3">
      <c r="F9365" s="89" t="str">
        <v/>
      </c>
    </row>
    <row r="9366" spans="6:6" x14ac:dyDescent="0.3">
      <c r="F9366" s="89" t="str">
        <v/>
      </c>
    </row>
    <row r="9367" spans="6:6" x14ac:dyDescent="0.3">
      <c r="F9367" s="89" t="str">
        <v/>
      </c>
    </row>
    <row r="9368" spans="6:6" x14ac:dyDescent="0.3">
      <c r="F9368" s="89" t="str">
        <v/>
      </c>
    </row>
    <row r="9369" spans="6:6" x14ac:dyDescent="0.3">
      <c r="F9369" s="89" t="str">
        <v/>
      </c>
    </row>
    <row r="9370" spans="6:6" x14ac:dyDescent="0.3">
      <c r="F9370" s="89" t="str">
        <v/>
      </c>
    </row>
    <row r="9371" spans="6:6" x14ac:dyDescent="0.3">
      <c r="F9371" s="89" t="str">
        <v/>
      </c>
    </row>
    <row r="9372" spans="6:6" x14ac:dyDescent="0.3">
      <c r="F9372" s="89" t="str">
        <v/>
      </c>
    </row>
    <row r="9373" spans="6:6" x14ac:dyDescent="0.3">
      <c r="F9373" s="89" t="str">
        <v/>
      </c>
    </row>
    <row r="9374" spans="6:6" x14ac:dyDescent="0.3">
      <c r="F9374" s="89" t="str">
        <v/>
      </c>
    </row>
    <row r="9375" spans="6:6" x14ac:dyDescent="0.3">
      <c r="F9375" s="89" t="str">
        <v/>
      </c>
    </row>
    <row r="9376" spans="6:6" x14ac:dyDescent="0.3">
      <c r="F9376" s="89" t="str">
        <v/>
      </c>
    </row>
    <row r="9377" spans="6:6" x14ac:dyDescent="0.3">
      <c r="F9377" s="89" t="str">
        <v/>
      </c>
    </row>
    <row r="9378" spans="6:6" x14ac:dyDescent="0.3">
      <c r="F9378" s="89" t="str">
        <v/>
      </c>
    </row>
    <row r="9379" spans="6:6" x14ac:dyDescent="0.3">
      <c r="F9379" s="89" t="str">
        <v/>
      </c>
    </row>
    <row r="9380" spans="6:6" x14ac:dyDescent="0.3">
      <c r="F9380" s="89" t="str">
        <v/>
      </c>
    </row>
    <row r="9381" spans="6:6" x14ac:dyDescent="0.3">
      <c r="F9381" s="89" t="str">
        <v/>
      </c>
    </row>
    <row r="9382" spans="6:6" x14ac:dyDescent="0.3">
      <c r="F9382" s="89" t="str">
        <v/>
      </c>
    </row>
    <row r="9383" spans="6:6" x14ac:dyDescent="0.3">
      <c r="F9383" s="89" t="str">
        <v/>
      </c>
    </row>
    <row r="9384" spans="6:6" x14ac:dyDescent="0.3">
      <c r="F9384" s="89" t="str">
        <v/>
      </c>
    </row>
    <row r="9385" spans="6:6" x14ac:dyDescent="0.3">
      <c r="F9385" s="89" t="str">
        <v/>
      </c>
    </row>
    <row r="9386" spans="6:6" x14ac:dyDescent="0.3">
      <c r="F9386" s="89" t="str">
        <v/>
      </c>
    </row>
    <row r="9387" spans="6:6" x14ac:dyDescent="0.3">
      <c r="F9387" s="89" t="str">
        <v/>
      </c>
    </row>
    <row r="9388" spans="6:6" x14ac:dyDescent="0.3">
      <c r="F9388" s="89" t="str">
        <v/>
      </c>
    </row>
    <row r="9389" spans="6:6" x14ac:dyDescent="0.3">
      <c r="F9389" s="89" t="str">
        <v/>
      </c>
    </row>
    <row r="9390" spans="6:6" x14ac:dyDescent="0.3">
      <c r="F9390" s="89" t="str">
        <v/>
      </c>
    </row>
    <row r="9391" spans="6:6" x14ac:dyDescent="0.3">
      <c r="F9391" s="89" t="str">
        <v/>
      </c>
    </row>
    <row r="9392" spans="6:6" x14ac:dyDescent="0.3">
      <c r="F9392" s="89" t="str">
        <v/>
      </c>
    </row>
    <row r="9393" spans="6:6" x14ac:dyDescent="0.3">
      <c r="F9393" s="89" t="str">
        <v/>
      </c>
    </row>
    <row r="9394" spans="6:6" x14ac:dyDescent="0.3">
      <c r="F9394" s="89" t="str">
        <v/>
      </c>
    </row>
    <row r="9395" spans="6:6" x14ac:dyDescent="0.3">
      <c r="F9395" s="89" t="str">
        <v/>
      </c>
    </row>
    <row r="9396" spans="6:6" x14ac:dyDescent="0.3">
      <c r="F9396" s="89" t="str">
        <v/>
      </c>
    </row>
    <row r="9397" spans="6:6" x14ac:dyDescent="0.3">
      <c r="F9397" s="89" t="str">
        <v/>
      </c>
    </row>
    <row r="9398" spans="6:6" x14ac:dyDescent="0.3">
      <c r="F9398" s="89" t="str">
        <v/>
      </c>
    </row>
    <row r="9399" spans="6:6" x14ac:dyDescent="0.3">
      <c r="F9399" s="89" t="str">
        <v/>
      </c>
    </row>
    <row r="9400" spans="6:6" x14ac:dyDescent="0.3">
      <c r="F9400" s="89" t="str">
        <v/>
      </c>
    </row>
    <row r="9401" spans="6:6" x14ac:dyDescent="0.3">
      <c r="F9401" s="89" t="str">
        <v/>
      </c>
    </row>
    <row r="9402" spans="6:6" x14ac:dyDescent="0.3">
      <c r="F9402" s="89" t="str">
        <v/>
      </c>
    </row>
    <row r="9403" spans="6:6" x14ac:dyDescent="0.3">
      <c r="F9403" s="89" t="str">
        <v/>
      </c>
    </row>
    <row r="9404" spans="6:6" x14ac:dyDescent="0.3">
      <c r="F9404" s="89" t="str">
        <v/>
      </c>
    </row>
    <row r="9405" spans="6:6" x14ac:dyDescent="0.3">
      <c r="F9405" s="89" t="str">
        <v/>
      </c>
    </row>
    <row r="9406" spans="6:6" x14ac:dyDescent="0.3">
      <c r="F9406" s="89" t="str">
        <v/>
      </c>
    </row>
    <row r="9407" spans="6:6" x14ac:dyDescent="0.3">
      <c r="F9407" s="89" t="str">
        <v/>
      </c>
    </row>
    <row r="9408" spans="6:6" x14ac:dyDescent="0.3">
      <c r="F9408" s="89" t="str">
        <v/>
      </c>
    </row>
    <row r="9409" spans="6:6" x14ac:dyDescent="0.3">
      <c r="F9409" s="89" t="str">
        <v/>
      </c>
    </row>
    <row r="9410" spans="6:6" x14ac:dyDescent="0.3">
      <c r="F9410" s="89" t="str">
        <v/>
      </c>
    </row>
    <row r="9411" spans="6:6" x14ac:dyDescent="0.3">
      <c r="F9411" s="89" t="str">
        <v/>
      </c>
    </row>
    <row r="9412" spans="6:6" x14ac:dyDescent="0.3">
      <c r="F9412" s="89" t="str">
        <v/>
      </c>
    </row>
    <row r="9413" spans="6:6" x14ac:dyDescent="0.3">
      <c r="F9413" s="89" t="str">
        <v/>
      </c>
    </row>
    <row r="9414" spans="6:6" x14ac:dyDescent="0.3">
      <c r="F9414" s="89" t="str">
        <v/>
      </c>
    </row>
    <row r="9415" spans="6:6" x14ac:dyDescent="0.3">
      <c r="F9415" s="89" t="str">
        <v/>
      </c>
    </row>
    <row r="9416" spans="6:6" x14ac:dyDescent="0.3">
      <c r="F9416" s="89" t="str">
        <v/>
      </c>
    </row>
    <row r="9417" spans="6:6" x14ac:dyDescent="0.3">
      <c r="F9417" s="89" t="str">
        <v/>
      </c>
    </row>
    <row r="9418" spans="6:6" x14ac:dyDescent="0.3">
      <c r="F9418" s="89" t="str">
        <v/>
      </c>
    </row>
    <row r="9419" spans="6:6" x14ac:dyDescent="0.3">
      <c r="F9419" s="89" t="str">
        <v/>
      </c>
    </row>
    <row r="9420" spans="6:6" x14ac:dyDescent="0.3">
      <c r="F9420" s="89" t="str">
        <v/>
      </c>
    </row>
    <row r="9421" spans="6:6" x14ac:dyDescent="0.3">
      <c r="F9421" s="89" t="str">
        <v/>
      </c>
    </row>
    <row r="9422" spans="6:6" x14ac:dyDescent="0.3">
      <c r="F9422" s="89" t="str">
        <v/>
      </c>
    </row>
    <row r="9423" spans="6:6" x14ac:dyDescent="0.3">
      <c r="F9423" s="89" t="str">
        <v/>
      </c>
    </row>
    <row r="9424" spans="6:6" x14ac:dyDescent="0.3">
      <c r="F9424" s="89" t="str">
        <v/>
      </c>
    </row>
    <row r="9425" spans="6:6" x14ac:dyDescent="0.3">
      <c r="F9425" s="89" t="str">
        <v/>
      </c>
    </row>
    <row r="9426" spans="6:6" x14ac:dyDescent="0.3">
      <c r="F9426" s="89" t="str">
        <v/>
      </c>
    </row>
    <row r="9427" spans="6:6" x14ac:dyDescent="0.3">
      <c r="F9427" s="89" t="str">
        <v/>
      </c>
    </row>
    <row r="9428" spans="6:6" x14ac:dyDescent="0.3">
      <c r="F9428" s="89" t="str">
        <v/>
      </c>
    </row>
    <row r="9429" spans="6:6" x14ac:dyDescent="0.3">
      <c r="F9429" s="89" t="str">
        <v/>
      </c>
    </row>
    <row r="9430" spans="6:6" x14ac:dyDescent="0.3">
      <c r="F9430" s="89" t="str">
        <v/>
      </c>
    </row>
    <row r="9431" spans="6:6" x14ac:dyDescent="0.3">
      <c r="F9431" s="89" t="str">
        <v/>
      </c>
    </row>
    <row r="9432" spans="6:6" x14ac:dyDescent="0.3">
      <c r="F9432" s="89" t="str">
        <v/>
      </c>
    </row>
    <row r="9433" spans="6:6" x14ac:dyDescent="0.3">
      <c r="F9433" s="89" t="str">
        <v/>
      </c>
    </row>
    <row r="9434" spans="6:6" x14ac:dyDescent="0.3">
      <c r="F9434" s="89" t="str">
        <v/>
      </c>
    </row>
    <row r="9435" spans="6:6" x14ac:dyDescent="0.3">
      <c r="F9435" s="89" t="str">
        <v/>
      </c>
    </row>
    <row r="9436" spans="6:6" x14ac:dyDescent="0.3">
      <c r="F9436" s="89" t="str">
        <v/>
      </c>
    </row>
    <row r="9437" spans="6:6" x14ac:dyDescent="0.3">
      <c r="F9437" s="89" t="str">
        <v/>
      </c>
    </row>
    <row r="9438" spans="6:6" x14ac:dyDescent="0.3">
      <c r="F9438" s="89" t="str">
        <v/>
      </c>
    </row>
    <row r="9439" spans="6:6" x14ac:dyDescent="0.3">
      <c r="F9439" s="89" t="str">
        <v/>
      </c>
    </row>
    <row r="9440" spans="6:6" x14ac:dyDescent="0.3">
      <c r="F9440" s="89" t="str">
        <v/>
      </c>
    </row>
    <row r="9441" spans="6:6" x14ac:dyDescent="0.3">
      <c r="F9441" s="89" t="str">
        <v/>
      </c>
    </row>
    <row r="9442" spans="6:6" x14ac:dyDescent="0.3">
      <c r="F9442" s="89" t="str">
        <v/>
      </c>
    </row>
    <row r="9443" spans="6:6" x14ac:dyDescent="0.3">
      <c r="F9443" s="89" t="str">
        <v/>
      </c>
    </row>
    <row r="9444" spans="6:6" x14ac:dyDescent="0.3">
      <c r="F9444" s="89" t="str">
        <v/>
      </c>
    </row>
    <row r="9445" spans="6:6" x14ac:dyDescent="0.3">
      <c r="F9445" s="89" t="str">
        <v/>
      </c>
    </row>
    <row r="9446" spans="6:6" x14ac:dyDescent="0.3">
      <c r="F9446" s="89" t="str">
        <v/>
      </c>
    </row>
    <row r="9447" spans="6:6" x14ac:dyDescent="0.3">
      <c r="F9447" s="89" t="str">
        <v/>
      </c>
    </row>
    <row r="9448" spans="6:6" x14ac:dyDescent="0.3">
      <c r="F9448" s="89" t="str">
        <v/>
      </c>
    </row>
    <row r="9449" spans="6:6" x14ac:dyDescent="0.3">
      <c r="F9449" s="89" t="str">
        <v/>
      </c>
    </row>
    <row r="9450" spans="6:6" x14ac:dyDescent="0.3">
      <c r="F9450" s="89" t="str">
        <v/>
      </c>
    </row>
    <row r="9451" spans="6:6" x14ac:dyDescent="0.3">
      <c r="F9451" s="89" t="str">
        <v/>
      </c>
    </row>
    <row r="9452" spans="6:6" x14ac:dyDescent="0.3">
      <c r="F9452" s="89" t="str">
        <v/>
      </c>
    </row>
    <row r="9453" spans="6:6" x14ac:dyDescent="0.3">
      <c r="F9453" s="89" t="str">
        <v/>
      </c>
    </row>
    <row r="9454" spans="6:6" x14ac:dyDescent="0.3">
      <c r="F9454" s="89" t="str">
        <v/>
      </c>
    </row>
    <row r="9455" spans="6:6" x14ac:dyDescent="0.3">
      <c r="F9455" s="89" t="str">
        <v/>
      </c>
    </row>
    <row r="9456" spans="6:6" x14ac:dyDescent="0.3">
      <c r="F9456" s="89" t="str">
        <v/>
      </c>
    </row>
    <row r="9457" spans="6:6" x14ac:dyDescent="0.3">
      <c r="F9457" s="89" t="str">
        <v/>
      </c>
    </row>
    <row r="9458" spans="6:6" x14ac:dyDescent="0.3">
      <c r="F9458" s="89" t="str">
        <v/>
      </c>
    </row>
    <row r="9459" spans="6:6" x14ac:dyDescent="0.3">
      <c r="F9459" s="89" t="str">
        <v/>
      </c>
    </row>
    <row r="9460" spans="6:6" x14ac:dyDescent="0.3">
      <c r="F9460" s="89" t="str">
        <v/>
      </c>
    </row>
    <row r="9461" spans="6:6" x14ac:dyDescent="0.3">
      <c r="F9461" s="89" t="str">
        <v/>
      </c>
    </row>
    <row r="9462" spans="6:6" x14ac:dyDescent="0.3">
      <c r="F9462" s="89" t="str">
        <v/>
      </c>
    </row>
    <row r="9463" spans="6:6" x14ac:dyDescent="0.3">
      <c r="F9463" s="89" t="str">
        <v/>
      </c>
    </row>
    <row r="9464" spans="6:6" x14ac:dyDescent="0.3">
      <c r="F9464" s="89" t="str">
        <v/>
      </c>
    </row>
    <row r="9465" spans="6:6" x14ac:dyDescent="0.3">
      <c r="F9465" s="89" t="str">
        <v/>
      </c>
    </row>
    <row r="9466" spans="6:6" x14ac:dyDescent="0.3">
      <c r="F9466" s="89" t="str">
        <v/>
      </c>
    </row>
    <row r="9467" spans="6:6" x14ac:dyDescent="0.3">
      <c r="F9467" s="89" t="str">
        <v/>
      </c>
    </row>
    <row r="9468" spans="6:6" x14ac:dyDescent="0.3">
      <c r="F9468" s="89" t="str">
        <v/>
      </c>
    </row>
    <row r="9469" spans="6:6" x14ac:dyDescent="0.3">
      <c r="F9469" s="89" t="str">
        <v/>
      </c>
    </row>
    <row r="9470" spans="6:6" x14ac:dyDescent="0.3">
      <c r="F9470" s="89" t="str">
        <v/>
      </c>
    </row>
    <row r="9471" spans="6:6" x14ac:dyDescent="0.3">
      <c r="F9471" s="89" t="str">
        <v/>
      </c>
    </row>
    <row r="9472" spans="6:6" x14ac:dyDescent="0.3">
      <c r="F9472" s="89" t="str">
        <v/>
      </c>
    </row>
    <row r="9473" spans="6:6" x14ac:dyDescent="0.3">
      <c r="F9473" s="89" t="str">
        <v/>
      </c>
    </row>
    <row r="9474" spans="6:6" x14ac:dyDescent="0.3">
      <c r="F9474" s="89" t="str">
        <v/>
      </c>
    </row>
    <row r="9475" spans="6:6" x14ac:dyDescent="0.3">
      <c r="F9475" s="89" t="str">
        <v/>
      </c>
    </row>
    <row r="9476" spans="6:6" x14ac:dyDescent="0.3">
      <c r="F9476" s="89" t="str">
        <v/>
      </c>
    </row>
    <row r="9477" spans="6:6" x14ac:dyDescent="0.3">
      <c r="F9477" s="89" t="str">
        <v/>
      </c>
    </row>
    <row r="9478" spans="6:6" x14ac:dyDescent="0.3">
      <c r="F9478" s="89" t="str">
        <v/>
      </c>
    </row>
    <row r="9479" spans="6:6" x14ac:dyDescent="0.3">
      <c r="F9479" s="89" t="str">
        <v/>
      </c>
    </row>
    <row r="9480" spans="6:6" x14ac:dyDescent="0.3">
      <c r="F9480" s="89" t="str">
        <v/>
      </c>
    </row>
    <row r="9481" spans="6:6" x14ac:dyDescent="0.3">
      <c r="F9481" s="89" t="str">
        <v/>
      </c>
    </row>
    <row r="9482" spans="6:6" x14ac:dyDescent="0.3">
      <c r="F9482" s="89" t="str">
        <v/>
      </c>
    </row>
    <row r="9483" spans="6:6" x14ac:dyDescent="0.3">
      <c r="F9483" s="89" t="str">
        <v/>
      </c>
    </row>
    <row r="9484" spans="6:6" x14ac:dyDescent="0.3">
      <c r="F9484" s="89" t="str">
        <v/>
      </c>
    </row>
    <row r="9485" spans="6:6" x14ac:dyDescent="0.3">
      <c r="F9485" s="89" t="str">
        <v/>
      </c>
    </row>
    <row r="9486" spans="6:6" x14ac:dyDescent="0.3">
      <c r="F9486" s="89" t="str">
        <v/>
      </c>
    </row>
    <row r="9487" spans="6:6" x14ac:dyDescent="0.3">
      <c r="F9487" s="89" t="str">
        <v/>
      </c>
    </row>
    <row r="9488" spans="6:6" x14ac:dyDescent="0.3">
      <c r="F9488" s="89" t="str">
        <v/>
      </c>
    </row>
    <row r="9489" spans="6:6" x14ac:dyDescent="0.3">
      <c r="F9489" s="89" t="str">
        <v/>
      </c>
    </row>
    <row r="9490" spans="6:6" x14ac:dyDescent="0.3">
      <c r="F9490" s="89" t="str">
        <v/>
      </c>
    </row>
    <row r="9491" spans="6:6" x14ac:dyDescent="0.3">
      <c r="F9491" s="89" t="str">
        <v/>
      </c>
    </row>
    <row r="9492" spans="6:6" x14ac:dyDescent="0.3">
      <c r="F9492" s="89" t="str">
        <v/>
      </c>
    </row>
    <row r="9493" spans="6:6" x14ac:dyDescent="0.3">
      <c r="F9493" s="89" t="str">
        <v/>
      </c>
    </row>
    <row r="9494" spans="6:6" x14ac:dyDescent="0.3">
      <c r="F9494" s="89" t="str">
        <v/>
      </c>
    </row>
    <row r="9495" spans="6:6" x14ac:dyDescent="0.3">
      <c r="F9495" s="89" t="str">
        <v/>
      </c>
    </row>
    <row r="9496" spans="6:6" x14ac:dyDescent="0.3">
      <c r="F9496" s="89" t="str">
        <v/>
      </c>
    </row>
    <row r="9497" spans="6:6" x14ac:dyDescent="0.3">
      <c r="F9497" s="89" t="str">
        <v/>
      </c>
    </row>
    <row r="9498" spans="6:6" x14ac:dyDescent="0.3">
      <c r="F9498" s="89" t="str">
        <v/>
      </c>
    </row>
    <row r="9499" spans="6:6" x14ac:dyDescent="0.3">
      <c r="F9499" s="89" t="str">
        <v/>
      </c>
    </row>
    <row r="9500" spans="6:6" x14ac:dyDescent="0.3">
      <c r="F9500" s="89" t="str">
        <v/>
      </c>
    </row>
    <row r="9501" spans="6:6" x14ac:dyDescent="0.3">
      <c r="F9501" s="89" t="str">
        <v/>
      </c>
    </row>
    <row r="9502" spans="6:6" x14ac:dyDescent="0.3">
      <c r="F9502" s="89" t="str">
        <v/>
      </c>
    </row>
    <row r="9503" spans="6:6" x14ac:dyDescent="0.3">
      <c r="F9503" s="89" t="str">
        <v/>
      </c>
    </row>
    <row r="9504" spans="6:6" x14ac:dyDescent="0.3">
      <c r="F9504" s="89" t="str">
        <v/>
      </c>
    </row>
    <row r="9505" spans="6:6" x14ac:dyDescent="0.3">
      <c r="F9505" s="89" t="str">
        <v/>
      </c>
    </row>
    <row r="9506" spans="6:6" x14ac:dyDescent="0.3">
      <c r="F9506" s="89" t="str">
        <v/>
      </c>
    </row>
    <row r="9507" spans="6:6" x14ac:dyDescent="0.3">
      <c r="F9507" s="89" t="str">
        <v/>
      </c>
    </row>
    <row r="9508" spans="6:6" x14ac:dyDescent="0.3">
      <c r="F9508" s="89" t="str">
        <v/>
      </c>
    </row>
    <row r="9509" spans="6:6" x14ac:dyDescent="0.3">
      <c r="F9509" s="89" t="str">
        <v/>
      </c>
    </row>
    <row r="9510" spans="6:6" x14ac:dyDescent="0.3">
      <c r="F9510" s="89" t="str">
        <v/>
      </c>
    </row>
    <row r="9511" spans="6:6" x14ac:dyDescent="0.3">
      <c r="F9511" s="89" t="str">
        <v/>
      </c>
    </row>
    <row r="9512" spans="6:6" x14ac:dyDescent="0.3">
      <c r="F9512" s="89" t="str">
        <v/>
      </c>
    </row>
    <row r="9513" spans="6:6" x14ac:dyDescent="0.3">
      <c r="F9513" s="89" t="str">
        <v/>
      </c>
    </row>
    <row r="9514" spans="6:6" x14ac:dyDescent="0.3">
      <c r="F9514" s="89" t="str">
        <v/>
      </c>
    </row>
    <row r="9515" spans="6:6" x14ac:dyDescent="0.3">
      <c r="F9515" s="89" t="str">
        <v/>
      </c>
    </row>
    <row r="9516" spans="6:6" x14ac:dyDescent="0.3">
      <c r="F9516" s="89" t="str">
        <v/>
      </c>
    </row>
    <row r="9517" spans="6:6" x14ac:dyDescent="0.3">
      <c r="F9517" s="89" t="str">
        <v/>
      </c>
    </row>
    <row r="9518" spans="6:6" x14ac:dyDescent="0.3">
      <c r="F9518" s="89" t="str">
        <v/>
      </c>
    </row>
    <row r="9519" spans="6:6" x14ac:dyDescent="0.3">
      <c r="F9519" s="89" t="str">
        <v/>
      </c>
    </row>
    <row r="9520" spans="6:6" x14ac:dyDescent="0.3">
      <c r="F9520" s="89" t="str">
        <v/>
      </c>
    </row>
    <row r="9521" spans="6:6" x14ac:dyDescent="0.3">
      <c r="F9521" s="89" t="str">
        <v/>
      </c>
    </row>
    <row r="9522" spans="6:6" x14ac:dyDescent="0.3">
      <c r="F9522" s="89" t="str">
        <v/>
      </c>
    </row>
    <row r="9523" spans="6:6" x14ac:dyDescent="0.3">
      <c r="F9523" s="89" t="str">
        <v/>
      </c>
    </row>
    <row r="9524" spans="6:6" x14ac:dyDescent="0.3">
      <c r="F9524" s="89" t="str">
        <v/>
      </c>
    </row>
    <row r="9525" spans="6:6" x14ac:dyDescent="0.3">
      <c r="F9525" s="89" t="str">
        <v/>
      </c>
    </row>
    <row r="9526" spans="6:6" x14ac:dyDescent="0.3">
      <c r="F9526" s="89" t="str">
        <v/>
      </c>
    </row>
    <row r="9527" spans="6:6" x14ac:dyDescent="0.3">
      <c r="F9527" s="89" t="str">
        <v/>
      </c>
    </row>
    <row r="9528" spans="6:6" x14ac:dyDescent="0.3">
      <c r="F9528" s="89" t="str">
        <v/>
      </c>
    </row>
    <row r="9529" spans="6:6" x14ac:dyDescent="0.3">
      <c r="F9529" s="89" t="str">
        <v/>
      </c>
    </row>
    <row r="9530" spans="6:6" x14ac:dyDescent="0.3">
      <c r="F9530" s="89" t="str">
        <v/>
      </c>
    </row>
    <row r="9531" spans="6:6" x14ac:dyDescent="0.3">
      <c r="F9531" s="89" t="str">
        <v/>
      </c>
    </row>
    <row r="9532" spans="6:6" x14ac:dyDescent="0.3">
      <c r="F9532" s="89" t="str">
        <v/>
      </c>
    </row>
    <row r="9533" spans="6:6" x14ac:dyDescent="0.3">
      <c r="F9533" s="89" t="str">
        <v/>
      </c>
    </row>
    <row r="9534" spans="6:6" x14ac:dyDescent="0.3">
      <c r="F9534" s="89" t="str">
        <v/>
      </c>
    </row>
    <row r="9535" spans="6:6" x14ac:dyDescent="0.3">
      <c r="F9535" s="89" t="str">
        <v/>
      </c>
    </row>
    <row r="9536" spans="6:6" x14ac:dyDescent="0.3">
      <c r="F9536" s="89" t="str">
        <v/>
      </c>
    </row>
    <row r="9537" spans="6:6" x14ac:dyDescent="0.3">
      <c r="F9537" s="89" t="str">
        <v/>
      </c>
    </row>
    <row r="9538" spans="6:6" x14ac:dyDescent="0.3">
      <c r="F9538" s="89" t="str">
        <v/>
      </c>
    </row>
    <row r="9539" spans="6:6" x14ac:dyDescent="0.3">
      <c r="F9539" s="89" t="str">
        <v/>
      </c>
    </row>
    <row r="9540" spans="6:6" x14ac:dyDescent="0.3">
      <c r="F9540" s="89" t="str">
        <v/>
      </c>
    </row>
    <row r="9541" spans="6:6" x14ac:dyDescent="0.3">
      <c r="F9541" s="89" t="str">
        <v/>
      </c>
    </row>
    <row r="9542" spans="6:6" x14ac:dyDescent="0.3">
      <c r="F9542" s="89" t="str">
        <v/>
      </c>
    </row>
    <row r="9543" spans="6:6" x14ac:dyDescent="0.3">
      <c r="F9543" s="89" t="str">
        <v/>
      </c>
    </row>
    <row r="9544" spans="6:6" x14ac:dyDescent="0.3">
      <c r="F9544" s="89" t="str">
        <v/>
      </c>
    </row>
    <row r="9545" spans="6:6" x14ac:dyDescent="0.3">
      <c r="F9545" s="89" t="str">
        <v/>
      </c>
    </row>
    <row r="9546" spans="6:6" x14ac:dyDescent="0.3">
      <c r="F9546" s="89" t="str">
        <v/>
      </c>
    </row>
    <row r="9547" spans="6:6" x14ac:dyDescent="0.3">
      <c r="F9547" s="89" t="str">
        <v/>
      </c>
    </row>
    <row r="9548" spans="6:6" x14ac:dyDescent="0.3">
      <c r="F9548" s="89" t="str">
        <v/>
      </c>
    </row>
    <row r="9549" spans="6:6" x14ac:dyDescent="0.3">
      <c r="F9549" s="89" t="str">
        <v/>
      </c>
    </row>
    <row r="9550" spans="6:6" x14ac:dyDescent="0.3">
      <c r="F9550" s="89" t="str">
        <v/>
      </c>
    </row>
    <row r="9551" spans="6:6" x14ac:dyDescent="0.3">
      <c r="F9551" s="89" t="str">
        <v/>
      </c>
    </row>
    <row r="9552" spans="6:6" x14ac:dyDescent="0.3">
      <c r="F9552" s="89" t="str">
        <v/>
      </c>
    </row>
    <row r="9553" spans="6:6" x14ac:dyDescent="0.3">
      <c r="F9553" s="89" t="str">
        <v/>
      </c>
    </row>
    <row r="9554" spans="6:6" x14ac:dyDescent="0.3">
      <c r="F9554" s="89" t="str">
        <v/>
      </c>
    </row>
    <row r="9555" spans="6:6" x14ac:dyDescent="0.3">
      <c r="F9555" s="89" t="str">
        <v/>
      </c>
    </row>
    <row r="9556" spans="6:6" x14ac:dyDescent="0.3">
      <c r="F9556" s="89" t="str">
        <v/>
      </c>
    </row>
    <row r="9557" spans="6:6" x14ac:dyDescent="0.3">
      <c r="F9557" s="89" t="str">
        <v/>
      </c>
    </row>
    <row r="9558" spans="6:6" x14ac:dyDescent="0.3">
      <c r="F9558" s="89" t="str">
        <v/>
      </c>
    </row>
    <row r="9559" spans="6:6" x14ac:dyDescent="0.3">
      <c r="F9559" s="89" t="str">
        <v/>
      </c>
    </row>
    <row r="9560" spans="6:6" x14ac:dyDescent="0.3">
      <c r="F9560" s="89" t="str">
        <v/>
      </c>
    </row>
    <row r="9561" spans="6:6" x14ac:dyDescent="0.3">
      <c r="F9561" s="89" t="str">
        <v/>
      </c>
    </row>
    <row r="9562" spans="6:6" x14ac:dyDescent="0.3">
      <c r="F9562" s="89" t="str">
        <v/>
      </c>
    </row>
    <row r="9563" spans="6:6" x14ac:dyDescent="0.3">
      <c r="F9563" s="89" t="str">
        <v/>
      </c>
    </row>
    <row r="9564" spans="6:6" x14ac:dyDescent="0.3">
      <c r="F9564" s="89" t="str">
        <v/>
      </c>
    </row>
    <row r="9565" spans="6:6" x14ac:dyDescent="0.3">
      <c r="F9565" s="89" t="str">
        <v/>
      </c>
    </row>
    <row r="9566" spans="6:6" x14ac:dyDescent="0.3">
      <c r="F9566" s="89" t="str">
        <v/>
      </c>
    </row>
    <row r="9567" spans="6:6" x14ac:dyDescent="0.3">
      <c r="F9567" s="89" t="str">
        <v/>
      </c>
    </row>
    <row r="9568" spans="6:6" x14ac:dyDescent="0.3">
      <c r="F9568" s="89" t="str">
        <v/>
      </c>
    </row>
    <row r="9569" spans="6:6" x14ac:dyDescent="0.3">
      <c r="F9569" s="89" t="str">
        <v/>
      </c>
    </row>
    <row r="9570" spans="6:6" x14ac:dyDescent="0.3">
      <c r="F9570" s="89" t="str">
        <v/>
      </c>
    </row>
    <row r="9571" spans="6:6" x14ac:dyDescent="0.3">
      <c r="F9571" s="89" t="str">
        <v/>
      </c>
    </row>
    <row r="9572" spans="6:6" x14ac:dyDescent="0.3">
      <c r="F9572" s="89" t="str">
        <v/>
      </c>
    </row>
    <row r="9573" spans="6:6" x14ac:dyDescent="0.3">
      <c r="F9573" s="89" t="str">
        <v/>
      </c>
    </row>
    <row r="9574" spans="6:6" x14ac:dyDescent="0.3">
      <c r="F9574" s="89" t="str">
        <v/>
      </c>
    </row>
    <row r="9575" spans="6:6" x14ac:dyDescent="0.3">
      <c r="F9575" s="89" t="str">
        <v/>
      </c>
    </row>
    <row r="9576" spans="6:6" x14ac:dyDescent="0.3">
      <c r="F9576" s="89" t="str">
        <v/>
      </c>
    </row>
    <row r="9577" spans="6:6" x14ac:dyDescent="0.3">
      <c r="F9577" s="89" t="str">
        <v/>
      </c>
    </row>
    <row r="9578" spans="6:6" x14ac:dyDescent="0.3">
      <c r="F9578" s="89" t="str">
        <v/>
      </c>
    </row>
    <row r="9579" spans="6:6" x14ac:dyDescent="0.3">
      <c r="F9579" s="89" t="str">
        <v/>
      </c>
    </row>
    <row r="9580" spans="6:6" x14ac:dyDescent="0.3">
      <c r="F9580" s="89" t="str">
        <v/>
      </c>
    </row>
    <row r="9581" spans="6:6" x14ac:dyDescent="0.3">
      <c r="F9581" s="89" t="str">
        <v/>
      </c>
    </row>
    <row r="9582" spans="6:6" x14ac:dyDescent="0.3">
      <c r="F9582" s="89" t="str">
        <v/>
      </c>
    </row>
    <row r="9583" spans="6:6" x14ac:dyDescent="0.3">
      <c r="F9583" s="89" t="str">
        <v/>
      </c>
    </row>
    <row r="9584" spans="6:6" x14ac:dyDescent="0.3">
      <c r="F9584" s="89" t="str">
        <v/>
      </c>
    </row>
    <row r="9585" spans="6:6" x14ac:dyDescent="0.3">
      <c r="F9585" s="89" t="str">
        <v/>
      </c>
    </row>
    <row r="9586" spans="6:6" x14ac:dyDescent="0.3">
      <c r="F9586" s="89" t="str">
        <v/>
      </c>
    </row>
    <row r="9587" spans="6:6" x14ac:dyDescent="0.3">
      <c r="F9587" s="89" t="str">
        <v/>
      </c>
    </row>
    <row r="9588" spans="6:6" x14ac:dyDescent="0.3">
      <c r="F9588" s="89" t="str">
        <v/>
      </c>
    </row>
    <row r="9589" spans="6:6" x14ac:dyDescent="0.3">
      <c r="F9589" s="89" t="str">
        <v/>
      </c>
    </row>
    <row r="9590" spans="6:6" x14ac:dyDescent="0.3">
      <c r="F9590" s="89" t="str">
        <v/>
      </c>
    </row>
    <row r="9591" spans="6:6" x14ac:dyDescent="0.3">
      <c r="F9591" s="89" t="str">
        <v/>
      </c>
    </row>
    <row r="9592" spans="6:6" x14ac:dyDescent="0.3">
      <c r="F9592" s="89" t="str">
        <v/>
      </c>
    </row>
    <row r="9593" spans="6:6" x14ac:dyDescent="0.3">
      <c r="F9593" s="89" t="str">
        <v/>
      </c>
    </row>
    <row r="9594" spans="6:6" x14ac:dyDescent="0.3">
      <c r="F9594" s="89" t="str">
        <v/>
      </c>
    </row>
    <row r="9595" spans="6:6" x14ac:dyDescent="0.3">
      <c r="F9595" s="89" t="str">
        <v/>
      </c>
    </row>
    <row r="9596" spans="6:6" x14ac:dyDescent="0.3">
      <c r="F9596" s="89" t="str">
        <v/>
      </c>
    </row>
    <row r="9597" spans="6:6" x14ac:dyDescent="0.3">
      <c r="F9597" s="89" t="str">
        <v/>
      </c>
    </row>
    <row r="9598" spans="6:6" x14ac:dyDescent="0.3">
      <c r="F9598" s="89" t="str">
        <v/>
      </c>
    </row>
    <row r="9599" spans="6:6" x14ac:dyDescent="0.3">
      <c r="F9599" s="89" t="str">
        <v/>
      </c>
    </row>
    <row r="9600" spans="6:6" x14ac:dyDescent="0.3">
      <c r="F9600" s="89" t="str">
        <v/>
      </c>
    </row>
    <row r="9601" spans="6:6" x14ac:dyDescent="0.3">
      <c r="F9601" s="89" t="str">
        <v/>
      </c>
    </row>
    <row r="9602" spans="6:6" x14ac:dyDescent="0.3">
      <c r="F9602" s="89" t="str">
        <v/>
      </c>
    </row>
    <row r="9603" spans="6:6" x14ac:dyDescent="0.3">
      <c r="F9603" s="89" t="str">
        <v/>
      </c>
    </row>
    <row r="9604" spans="6:6" x14ac:dyDescent="0.3">
      <c r="F9604" s="89" t="str">
        <v/>
      </c>
    </row>
    <row r="9605" spans="6:6" x14ac:dyDescent="0.3">
      <c r="F9605" s="89" t="str">
        <v/>
      </c>
    </row>
    <row r="9606" spans="6:6" x14ac:dyDescent="0.3">
      <c r="F9606" s="89" t="str">
        <v/>
      </c>
    </row>
    <row r="9607" spans="6:6" x14ac:dyDescent="0.3">
      <c r="F9607" s="89" t="str">
        <v/>
      </c>
    </row>
    <row r="9608" spans="6:6" x14ac:dyDescent="0.3">
      <c r="F9608" s="89" t="str">
        <v/>
      </c>
    </row>
    <row r="9609" spans="6:6" x14ac:dyDescent="0.3">
      <c r="F9609" s="89" t="str">
        <v/>
      </c>
    </row>
    <row r="9610" spans="6:6" x14ac:dyDescent="0.3">
      <c r="F9610" s="89" t="str">
        <v/>
      </c>
    </row>
    <row r="9611" spans="6:6" x14ac:dyDescent="0.3">
      <c r="F9611" s="89" t="str">
        <v/>
      </c>
    </row>
    <row r="9612" spans="6:6" x14ac:dyDescent="0.3">
      <c r="F9612" s="89" t="str">
        <v/>
      </c>
    </row>
    <row r="9613" spans="6:6" x14ac:dyDescent="0.3">
      <c r="F9613" s="89" t="str">
        <v/>
      </c>
    </row>
    <row r="9614" spans="6:6" x14ac:dyDescent="0.3">
      <c r="F9614" s="89" t="str">
        <v/>
      </c>
    </row>
    <row r="9615" spans="6:6" x14ac:dyDescent="0.3">
      <c r="F9615" s="89" t="str">
        <v/>
      </c>
    </row>
    <row r="9616" spans="6:6" x14ac:dyDescent="0.3">
      <c r="F9616" s="89" t="str">
        <v/>
      </c>
    </row>
    <row r="9617" spans="6:6" x14ac:dyDescent="0.3">
      <c r="F9617" s="89" t="str">
        <v/>
      </c>
    </row>
    <row r="9618" spans="6:6" x14ac:dyDescent="0.3">
      <c r="F9618" s="89" t="str">
        <v/>
      </c>
    </row>
    <row r="9619" spans="6:6" x14ac:dyDescent="0.3">
      <c r="F9619" s="89" t="str">
        <v/>
      </c>
    </row>
    <row r="9620" spans="6:6" x14ac:dyDescent="0.3">
      <c r="F9620" s="89" t="str">
        <v/>
      </c>
    </row>
    <row r="9621" spans="6:6" x14ac:dyDescent="0.3">
      <c r="F9621" s="89" t="str">
        <v/>
      </c>
    </row>
    <row r="9622" spans="6:6" x14ac:dyDescent="0.3">
      <c r="F9622" s="89" t="str">
        <v/>
      </c>
    </row>
    <row r="9623" spans="6:6" x14ac:dyDescent="0.3">
      <c r="F9623" s="89" t="str">
        <v/>
      </c>
    </row>
    <row r="9624" spans="6:6" x14ac:dyDescent="0.3">
      <c r="F9624" s="89" t="str">
        <v/>
      </c>
    </row>
    <row r="9625" spans="6:6" x14ac:dyDescent="0.3">
      <c r="F9625" s="89" t="str">
        <v/>
      </c>
    </row>
    <row r="9626" spans="6:6" x14ac:dyDescent="0.3">
      <c r="F9626" s="89" t="str">
        <v/>
      </c>
    </row>
    <row r="9627" spans="6:6" x14ac:dyDescent="0.3">
      <c r="F9627" s="89" t="str">
        <v/>
      </c>
    </row>
    <row r="9628" spans="6:6" x14ac:dyDescent="0.3">
      <c r="F9628" s="89" t="str">
        <v/>
      </c>
    </row>
    <row r="9629" spans="6:6" x14ac:dyDescent="0.3">
      <c r="F9629" s="89" t="str">
        <v/>
      </c>
    </row>
    <row r="9630" spans="6:6" x14ac:dyDescent="0.3">
      <c r="F9630" s="89" t="str">
        <v/>
      </c>
    </row>
    <row r="9631" spans="6:6" x14ac:dyDescent="0.3">
      <c r="F9631" s="89" t="str">
        <v/>
      </c>
    </row>
    <row r="9632" spans="6:6" x14ac:dyDescent="0.3">
      <c r="F9632" s="89" t="str">
        <v/>
      </c>
    </row>
    <row r="9633" spans="6:6" x14ac:dyDescent="0.3">
      <c r="F9633" s="89" t="str">
        <v/>
      </c>
    </row>
    <row r="9634" spans="6:6" x14ac:dyDescent="0.3">
      <c r="F9634" s="89" t="str">
        <v/>
      </c>
    </row>
    <row r="9635" spans="6:6" x14ac:dyDescent="0.3">
      <c r="F9635" s="89" t="str">
        <v/>
      </c>
    </row>
    <row r="9636" spans="6:6" x14ac:dyDescent="0.3">
      <c r="F9636" s="89" t="str">
        <v/>
      </c>
    </row>
    <row r="9637" spans="6:6" x14ac:dyDescent="0.3">
      <c r="F9637" s="89" t="str">
        <v/>
      </c>
    </row>
    <row r="9638" spans="6:6" x14ac:dyDescent="0.3">
      <c r="F9638" s="89" t="str">
        <v/>
      </c>
    </row>
    <row r="9639" spans="6:6" x14ac:dyDescent="0.3">
      <c r="F9639" s="89" t="str">
        <v/>
      </c>
    </row>
    <row r="9640" spans="6:6" x14ac:dyDescent="0.3">
      <c r="F9640" s="89" t="str">
        <v/>
      </c>
    </row>
    <row r="9641" spans="6:6" x14ac:dyDescent="0.3">
      <c r="F9641" s="89" t="str">
        <v/>
      </c>
    </row>
    <row r="9642" spans="6:6" x14ac:dyDescent="0.3">
      <c r="F9642" s="89" t="str">
        <v/>
      </c>
    </row>
    <row r="9643" spans="6:6" x14ac:dyDescent="0.3">
      <c r="F9643" s="89" t="str">
        <v/>
      </c>
    </row>
    <row r="9644" spans="6:6" x14ac:dyDescent="0.3">
      <c r="F9644" s="89" t="str">
        <v/>
      </c>
    </row>
    <row r="9645" spans="6:6" x14ac:dyDescent="0.3">
      <c r="F9645" s="89" t="str">
        <v/>
      </c>
    </row>
    <row r="9646" spans="6:6" x14ac:dyDescent="0.3">
      <c r="F9646" s="89" t="str">
        <v/>
      </c>
    </row>
    <row r="9647" spans="6:6" x14ac:dyDescent="0.3">
      <c r="F9647" s="89" t="str">
        <v/>
      </c>
    </row>
    <row r="9648" spans="6:6" x14ac:dyDescent="0.3">
      <c r="F9648" s="89" t="str">
        <v/>
      </c>
    </row>
    <row r="9649" spans="6:6" x14ac:dyDescent="0.3">
      <c r="F9649" s="89" t="str">
        <v/>
      </c>
    </row>
    <row r="9650" spans="6:6" x14ac:dyDescent="0.3">
      <c r="F9650" s="89" t="str">
        <v/>
      </c>
    </row>
    <row r="9651" spans="6:6" x14ac:dyDescent="0.3">
      <c r="F9651" s="89" t="str">
        <v/>
      </c>
    </row>
    <row r="9652" spans="6:6" x14ac:dyDescent="0.3">
      <c r="F9652" s="89" t="str">
        <v/>
      </c>
    </row>
    <row r="9653" spans="6:6" x14ac:dyDescent="0.3">
      <c r="F9653" s="89" t="str">
        <v/>
      </c>
    </row>
    <row r="9654" spans="6:6" x14ac:dyDescent="0.3">
      <c r="F9654" s="89" t="str">
        <v/>
      </c>
    </row>
    <row r="9655" spans="6:6" x14ac:dyDescent="0.3">
      <c r="F9655" s="89" t="str">
        <v/>
      </c>
    </row>
    <row r="9656" spans="6:6" x14ac:dyDescent="0.3">
      <c r="F9656" s="89" t="str">
        <v/>
      </c>
    </row>
    <row r="9657" spans="6:6" x14ac:dyDescent="0.3">
      <c r="F9657" s="89" t="str">
        <v/>
      </c>
    </row>
    <row r="9658" spans="6:6" x14ac:dyDescent="0.3">
      <c r="F9658" s="89" t="str">
        <v/>
      </c>
    </row>
    <row r="9659" spans="6:6" x14ac:dyDescent="0.3">
      <c r="F9659" s="89" t="str">
        <v/>
      </c>
    </row>
    <row r="9660" spans="6:6" x14ac:dyDescent="0.3">
      <c r="F9660" s="89" t="str">
        <v/>
      </c>
    </row>
    <row r="9661" spans="6:6" x14ac:dyDescent="0.3">
      <c r="F9661" s="89" t="str">
        <v/>
      </c>
    </row>
    <row r="9662" spans="6:6" x14ac:dyDescent="0.3">
      <c r="F9662" s="89" t="str">
        <v/>
      </c>
    </row>
    <row r="9663" spans="6:6" x14ac:dyDescent="0.3">
      <c r="F9663" s="89" t="str">
        <v/>
      </c>
    </row>
    <row r="9664" spans="6:6" x14ac:dyDescent="0.3">
      <c r="F9664" s="89" t="str">
        <v/>
      </c>
    </row>
    <row r="9665" spans="6:6" x14ac:dyDescent="0.3">
      <c r="F9665" s="89" t="str">
        <v/>
      </c>
    </row>
    <row r="9666" spans="6:6" x14ac:dyDescent="0.3">
      <c r="F9666" s="89" t="str">
        <v/>
      </c>
    </row>
    <row r="9667" spans="6:6" x14ac:dyDescent="0.3">
      <c r="F9667" s="89" t="str">
        <v/>
      </c>
    </row>
    <row r="9668" spans="6:6" x14ac:dyDescent="0.3">
      <c r="F9668" s="89" t="str">
        <v/>
      </c>
    </row>
    <row r="9669" spans="6:6" x14ac:dyDescent="0.3">
      <c r="F9669" s="89" t="str">
        <v/>
      </c>
    </row>
    <row r="9670" spans="6:6" x14ac:dyDescent="0.3">
      <c r="F9670" s="89" t="str">
        <v/>
      </c>
    </row>
    <row r="9671" spans="6:6" x14ac:dyDescent="0.3">
      <c r="F9671" s="89" t="str">
        <v/>
      </c>
    </row>
    <row r="9672" spans="6:6" x14ac:dyDescent="0.3">
      <c r="F9672" s="89" t="str">
        <v/>
      </c>
    </row>
    <row r="9673" spans="6:6" x14ac:dyDescent="0.3">
      <c r="F9673" s="89" t="str">
        <v/>
      </c>
    </row>
    <row r="9674" spans="6:6" x14ac:dyDescent="0.3">
      <c r="F9674" s="89" t="str">
        <v/>
      </c>
    </row>
    <row r="9675" spans="6:6" x14ac:dyDescent="0.3">
      <c r="F9675" s="89" t="str">
        <v/>
      </c>
    </row>
    <row r="9676" spans="6:6" x14ac:dyDescent="0.3">
      <c r="F9676" s="89" t="str">
        <v/>
      </c>
    </row>
    <row r="9677" spans="6:6" x14ac:dyDescent="0.3">
      <c r="F9677" s="89" t="str">
        <v/>
      </c>
    </row>
    <row r="9678" spans="6:6" x14ac:dyDescent="0.3">
      <c r="F9678" s="89" t="str">
        <v/>
      </c>
    </row>
    <row r="9679" spans="6:6" x14ac:dyDescent="0.3">
      <c r="F9679" s="89" t="str">
        <v/>
      </c>
    </row>
    <row r="9680" spans="6:6" x14ac:dyDescent="0.3">
      <c r="F9680" s="89" t="str">
        <v/>
      </c>
    </row>
    <row r="9681" spans="6:6" x14ac:dyDescent="0.3">
      <c r="F9681" s="89" t="str">
        <v/>
      </c>
    </row>
    <row r="9682" spans="6:6" x14ac:dyDescent="0.3">
      <c r="F9682" s="89" t="str">
        <v/>
      </c>
    </row>
    <row r="9683" spans="6:6" x14ac:dyDescent="0.3">
      <c r="F9683" s="89" t="str">
        <v/>
      </c>
    </row>
    <row r="9684" spans="6:6" x14ac:dyDescent="0.3">
      <c r="F9684" s="89" t="str">
        <v/>
      </c>
    </row>
    <row r="9685" spans="6:6" x14ac:dyDescent="0.3">
      <c r="F9685" s="89" t="str">
        <v/>
      </c>
    </row>
    <row r="9686" spans="6:6" x14ac:dyDescent="0.3">
      <c r="F9686" s="89" t="str">
        <v/>
      </c>
    </row>
    <row r="9687" spans="6:6" x14ac:dyDescent="0.3">
      <c r="F9687" s="89" t="str">
        <v/>
      </c>
    </row>
    <row r="9688" spans="6:6" x14ac:dyDescent="0.3">
      <c r="F9688" s="89" t="str">
        <v/>
      </c>
    </row>
    <row r="9689" spans="6:6" x14ac:dyDescent="0.3">
      <c r="F9689" s="89" t="str">
        <v/>
      </c>
    </row>
    <row r="9690" spans="6:6" x14ac:dyDescent="0.3">
      <c r="F9690" s="89" t="str">
        <v/>
      </c>
    </row>
    <row r="9691" spans="6:6" x14ac:dyDescent="0.3">
      <c r="F9691" s="89" t="str">
        <v/>
      </c>
    </row>
    <row r="9692" spans="6:6" x14ac:dyDescent="0.3">
      <c r="F9692" s="89" t="str">
        <v/>
      </c>
    </row>
    <row r="9693" spans="6:6" x14ac:dyDescent="0.3">
      <c r="F9693" s="89" t="str">
        <v/>
      </c>
    </row>
    <row r="9694" spans="6:6" x14ac:dyDescent="0.3">
      <c r="F9694" s="89" t="str">
        <v/>
      </c>
    </row>
    <row r="9695" spans="6:6" x14ac:dyDescent="0.3">
      <c r="F9695" s="89" t="str">
        <v/>
      </c>
    </row>
    <row r="9696" spans="6:6" x14ac:dyDescent="0.3">
      <c r="F9696" s="89" t="str">
        <v/>
      </c>
    </row>
    <row r="9697" spans="6:6" x14ac:dyDescent="0.3">
      <c r="F9697" s="89" t="str">
        <v/>
      </c>
    </row>
    <row r="9698" spans="6:6" x14ac:dyDescent="0.3">
      <c r="F9698" s="89" t="str">
        <v/>
      </c>
    </row>
    <row r="9699" spans="6:6" x14ac:dyDescent="0.3">
      <c r="F9699" s="89" t="str">
        <v/>
      </c>
    </row>
    <row r="9700" spans="6:6" x14ac:dyDescent="0.3">
      <c r="F9700" s="89" t="str">
        <v/>
      </c>
    </row>
    <row r="9701" spans="6:6" x14ac:dyDescent="0.3">
      <c r="F9701" s="89" t="str">
        <v/>
      </c>
    </row>
    <row r="9702" spans="6:6" x14ac:dyDescent="0.3">
      <c r="F9702" s="89" t="str">
        <v/>
      </c>
    </row>
    <row r="9703" spans="6:6" x14ac:dyDescent="0.3">
      <c r="F9703" s="89" t="str">
        <v/>
      </c>
    </row>
    <row r="9704" spans="6:6" x14ac:dyDescent="0.3">
      <c r="F9704" s="89" t="str">
        <v/>
      </c>
    </row>
    <row r="9705" spans="6:6" x14ac:dyDescent="0.3">
      <c r="F9705" s="89" t="str">
        <v/>
      </c>
    </row>
    <row r="9706" spans="6:6" x14ac:dyDescent="0.3">
      <c r="F9706" s="89" t="str">
        <v/>
      </c>
    </row>
    <row r="9707" spans="6:6" x14ac:dyDescent="0.3">
      <c r="F9707" s="89" t="str">
        <v/>
      </c>
    </row>
    <row r="9708" spans="6:6" x14ac:dyDescent="0.3">
      <c r="F9708" s="89" t="str">
        <v/>
      </c>
    </row>
    <row r="9709" spans="6:6" x14ac:dyDescent="0.3">
      <c r="F9709" s="89" t="str">
        <v/>
      </c>
    </row>
    <row r="9710" spans="6:6" x14ac:dyDescent="0.3">
      <c r="F9710" s="89" t="str">
        <v/>
      </c>
    </row>
    <row r="9711" spans="6:6" x14ac:dyDescent="0.3">
      <c r="F9711" s="89" t="str">
        <v/>
      </c>
    </row>
    <row r="9712" spans="6:6" x14ac:dyDescent="0.3">
      <c r="F9712" s="89" t="str">
        <v/>
      </c>
    </row>
    <row r="9713" spans="6:6" x14ac:dyDescent="0.3">
      <c r="F9713" s="89" t="str">
        <v/>
      </c>
    </row>
    <row r="9714" spans="6:6" x14ac:dyDescent="0.3">
      <c r="F9714" s="89" t="str">
        <v/>
      </c>
    </row>
    <row r="9715" spans="6:6" x14ac:dyDescent="0.3">
      <c r="F9715" s="89" t="str">
        <v/>
      </c>
    </row>
    <row r="9716" spans="6:6" x14ac:dyDescent="0.3">
      <c r="F9716" s="89" t="str">
        <v/>
      </c>
    </row>
    <row r="9717" spans="6:6" x14ac:dyDescent="0.3">
      <c r="F9717" s="89" t="str">
        <v/>
      </c>
    </row>
    <row r="9718" spans="6:6" x14ac:dyDescent="0.3">
      <c r="F9718" s="89" t="str">
        <v/>
      </c>
    </row>
    <row r="9719" spans="6:6" x14ac:dyDescent="0.3">
      <c r="F9719" s="89" t="str">
        <v/>
      </c>
    </row>
    <row r="9720" spans="6:6" x14ac:dyDescent="0.3">
      <c r="F9720" s="89" t="str">
        <v/>
      </c>
    </row>
    <row r="9721" spans="6:6" x14ac:dyDescent="0.3">
      <c r="F9721" s="89" t="str">
        <v/>
      </c>
    </row>
    <row r="9722" spans="6:6" x14ac:dyDescent="0.3">
      <c r="F9722" s="89" t="str">
        <v/>
      </c>
    </row>
    <row r="9723" spans="6:6" x14ac:dyDescent="0.3">
      <c r="F9723" s="89" t="str">
        <v/>
      </c>
    </row>
    <row r="9724" spans="6:6" x14ac:dyDescent="0.3">
      <c r="F9724" s="89" t="str">
        <v/>
      </c>
    </row>
    <row r="9725" spans="6:6" x14ac:dyDescent="0.3">
      <c r="F9725" s="89" t="str">
        <v/>
      </c>
    </row>
    <row r="9726" spans="6:6" x14ac:dyDescent="0.3">
      <c r="F9726" s="89" t="str">
        <v/>
      </c>
    </row>
    <row r="9727" spans="6:6" x14ac:dyDescent="0.3">
      <c r="F9727" s="89" t="str">
        <v/>
      </c>
    </row>
    <row r="9728" spans="6:6" x14ac:dyDescent="0.3">
      <c r="F9728" s="89" t="str">
        <v/>
      </c>
    </row>
    <row r="9729" spans="6:6" x14ac:dyDescent="0.3">
      <c r="F9729" s="89" t="str">
        <v/>
      </c>
    </row>
    <row r="9730" spans="6:6" x14ac:dyDescent="0.3">
      <c r="F9730" s="89" t="str">
        <v/>
      </c>
    </row>
    <row r="9731" spans="6:6" x14ac:dyDescent="0.3">
      <c r="F9731" s="89" t="str">
        <v/>
      </c>
    </row>
    <row r="9732" spans="6:6" x14ac:dyDescent="0.3">
      <c r="F9732" s="89" t="str">
        <v/>
      </c>
    </row>
    <row r="9733" spans="6:6" x14ac:dyDescent="0.3">
      <c r="F9733" s="89" t="str">
        <v/>
      </c>
    </row>
    <row r="9734" spans="6:6" x14ac:dyDescent="0.3">
      <c r="F9734" s="89" t="str">
        <v/>
      </c>
    </row>
    <row r="9735" spans="6:6" x14ac:dyDescent="0.3">
      <c r="F9735" s="89" t="str">
        <v/>
      </c>
    </row>
    <row r="9736" spans="6:6" x14ac:dyDescent="0.3">
      <c r="F9736" s="89" t="str">
        <v/>
      </c>
    </row>
    <row r="9737" spans="6:6" x14ac:dyDescent="0.3">
      <c r="F9737" s="89" t="str">
        <v/>
      </c>
    </row>
    <row r="9738" spans="6:6" x14ac:dyDescent="0.3">
      <c r="F9738" s="89" t="str">
        <v/>
      </c>
    </row>
    <row r="9739" spans="6:6" x14ac:dyDescent="0.3">
      <c r="F9739" s="89" t="str">
        <v/>
      </c>
    </row>
    <row r="9740" spans="6:6" x14ac:dyDescent="0.3">
      <c r="F9740" s="89" t="str">
        <v/>
      </c>
    </row>
    <row r="9741" spans="6:6" x14ac:dyDescent="0.3">
      <c r="F9741" s="89" t="str">
        <v/>
      </c>
    </row>
    <row r="9742" spans="6:6" x14ac:dyDescent="0.3">
      <c r="F9742" s="89" t="str">
        <v/>
      </c>
    </row>
    <row r="9743" spans="6:6" x14ac:dyDescent="0.3">
      <c r="F9743" s="89" t="str">
        <v/>
      </c>
    </row>
    <row r="9744" spans="6:6" x14ac:dyDescent="0.3">
      <c r="F9744" s="89" t="str">
        <v/>
      </c>
    </row>
    <row r="9745" spans="6:6" x14ac:dyDescent="0.3">
      <c r="F9745" s="89" t="str">
        <v/>
      </c>
    </row>
    <row r="9746" spans="6:6" x14ac:dyDescent="0.3">
      <c r="F9746" s="89" t="str">
        <v/>
      </c>
    </row>
    <row r="9747" spans="6:6" x14ac:dyDescent="0.3">
      <c r="F9747" s="89" t="str">
        <v/>
      </c>
    </row>
    <row r="9748" spans="6:6" x14ac:dyDescent="0.3">
      <c r="F9748" s="89" t="str">
        <v/>
      </c>
    </row>
    <row r="9749" spans="6:6" x14ac:dyDescent="0.3">
      <c r="F9749" s="89" t="str">
        <v/>
      </c>
    </row>
    <row r="9750" spans="6:6" x14ac:dyDescent="0.3">
      <c r="F9750" s="89" t="str">
        <v/>
      </c>
    </row>
    <row r="9751" spans="6:6" x14ac:dyDescent="0.3">
      <c r="F9751" s="89" t="str">
        <v/>
      </c>
    </row>
    <row r="9752" spans="6:6" x14ac:dyDescent="0.3">
      <c r="F9752" s="89" t="str">
        <v/>
      </c>
    </row>
    <row r="9753" spans="6:6" x14ac:dyDescent="0.3">
      <c r="F9753" s="89" t="str">
        <v/>
      </c>
    </row>
    <row r="9754" spans="6:6" x14ac:dyDescent="0.3">
      <c r="F9754" s="89" t="str">
        <v/>
      </c>
    </row>
    <row r="9755" spans="6:6" x14ac:dyDescent="0.3">
      <c r="F9755" s="89" t="str">
        <v/>
      </c>
    </row>
    <row r="9756" spans="6:6" x14ac:dyDescent="0.3">
      <c r="F9756" s="89" t="str">
        <v/>
      </c>
    </row>
    <row r="9757" spans="6:6" x14ac:dyDescent="0.3">
      <c r="F9757" s="89" t="str">
        <v/>
      </c>
    </row>
    <row r="9758" spans="6:6" x14ac:dyDescent="0.3">
      <c r="F9758" s="89" t="str">
        <v/>
      </c>
    </row>
    <row r="9759" spans="6:6" x14ac:dyDescent="0.3">
      <c r="F9759" s="89" t="str">
        <v/>
      </c>
    </row>
    <row r="9760" spans="6:6" x14ac:dyDescent="0.3">
      <c r="F9760" s="89" t="str">
        <v/>
      </c>
    </row>
    <row r="9761" spans="6:6" x14ac:dyDescent="0.3">
      <c r="F9761" s="89" t="str">
        <v/>
      </c>
    </row>
    <row r="9762" spans="6:6" x14ac:dyDescent="0.3">
      <c r="F9762" s="89" t="str">
        <v/>
      </c>
    </row>
    <row r="9763" spans="6:6" x14ac:dyDescent="0.3">
      <c r="F9763" s="89" t="str">
        <v/>
      </c>
    </row>
    <row r="9764" spans="6:6" x14ac:dyDescent="0.3">
      <c r="F9764" s="89" t="str">
        <v/>
      </c>
    </row>
    <row r="9765" spans="6:6" x14ac:dyDescent="0.3">
      <c r="F9765" s="89" t="str">
        <v/>
      </c>
    </row>
    <row r="9766" spans="6:6" x14ac:dyDescent="0.3">
      <c r="F9766" s="89" t="str">
        <v/>
      </c>
    </row>
    <row r="9767" spans="6:6" x14ac:dyDescent="0.3">
      <c r="F9767" s="89" t="str">
        <v/>
      </c>
    </row>
    <row r="9768" spans="6:6" x14ac:dyDescent="0.3">
      <c r="F9768" s="89" t="str">
        <v/>
      </c>
    </row>
    <row r="9769" spans="6:6" x14ac:dyDescent="0.3">
      <c r="F9769" s="89" t="str">
        <v/>
      </c>
    </row>
    <row r="9770" spans="6:6" x14ac:dyDescent="0.3">
      <c r="F9770" s="89" t="str">
        <v/>
      </c>
    </row>
    <row r="9771" spans="6:6" x14ac:dyDescent="0.3">
      <c r="F9771" s="89" t="str">
        <v/>
      </c>
    </row>
    <row r="9772" spans="6:6" x14ac:dyDescent="0.3">
      <c r="F9772" s="89" t="str">
        <v/>
      </c>
    </row>
    <row r="9773" spans="6:6" x14ac:dyDescent="0.3">
      <c r="F9773" s="89" t="str">
        <v/>
      </c>
    </row>
    <row r="9774" spans="6:6" x14ac:dyDescent="0.3">
      <c r="F9774" s="89" t="str">
        <v/>
      </c>
    </row>
    <row r="9775" spans="6:6" x14ac:dyDescent="0.3">
      <c r="F9775" s="89" t="str">
        <v/>
      </c>
    </row>
    <row r="9776" spans="6:6" x14ac:dyDescent="0.3">
      <c r="F9776" s="89" t="str">
        <v/>
      </c>
    </row>
    <row r="9777" spans="6:6" x14ac:dyDescent="0.3">
      <c r="F9777" s="89" t="str">
        <v/>
      </c>
    </row>
    <row r="9778" spans="6:6" x14ac:dyDescent="0.3">
      <c r="F9778" s="89" t="str">
        <v/>
      </c>
    </row>
    <row r="9779" spans="6:6" x14ac:dyDescent="0.3">
      <c r="F9779" s="89" t="str">
        <v/>
      </c>
    </row>
    <row r="9780" spans="6:6" x14ac:dyDescent="0.3">
      <c r="F9780" s="89" t="str">
        <v/>
      </c>
    </row>
    <row r="9781" spans="6:6" x14ac:dyDescent="0.3">
      <c r="F9781" s="89" t="str">
        <v/>
      </c>
    </row>
    <row r="9782" spans="6:6" x14ac:dyDescent="0.3">
      <c r="F9782" s="89" t="str">
        <v/>
      </c>
    </row>
    <row r="9783" spans="6:6" x14ac:dyDescent="0.3">
      <c r="F9783" s="89" t="str">
        <v/>
      </c>
    </row>
    <row r="9784" spans="6:6" x14ac:dyDescent="0.3">
      <c r="F9784" s="89" t="str">
        <v/>
      </c>
    </row>
    <row r="9785" spans="6:6" x14ac:dyDescent="0.3">
      <c r="F9785" s="89" t="str">
        <v/>
      </c>
    </row>
    <row r="9786" spans="6:6" x14ac:dyDescent="0.3">
      <c r="F9786" s="89" t="str">
        <v/>
      </c>
    </row>
    <row r="9787" spans="6:6" x14ac:dyDescent="0.3">
      <c r="F9787" s="89" t="str">
        <v/>
      </c>
    </row>
    <row r="9788" spans="6:6" x14ac:dyDescent="0.3">
      <c r="F9788" s="89" t="str">
        <v/>
      </c>
    </row>
    <row r="9789" spans="6:6" x14ac:dyDescent="0.3">
      <c r="F9789" s="89" t="str">
        <v/>
      </c>
    </row>
    <row r="9790" spans="6:6" x14ac:dyDescent="0.3">
      <c r="F9790" s="89" t="str">
        <v/>
      </c>
    </row>
    <row r="9791" spans="6:6" x14ac:dyDescent="0.3">
      <c r="F9791" s="89" t="str">
        <v/>
      </c>
    </row>
    <row r="9792" spans="6:6" x14ac:dyDescent="0.3">
      <c r="F9792" s="89" t="str">
        <v/>
      </c>
    </row>
    <row r="9793" spans="6:6" x14ac:dyDescent="0.3">
      <c r="F9793" s="89" t="str">
        <v/>
      </c>
    </row>
    <row r="9794" spans="6:6" x14ac:dyDescent="0.3">
      <c r="F9794" s="89" t="str">
        <v/>
      </c>
    </row>
    <row r="9795" spans="6:6" x14ac:dyDescent="0.3">
      <c r="F9795" s="89" t="str">
        <v/>
      </c>
    </row>
    <row r="9796" spans="6:6" x14ac:dyDescent="0.3">
      <c r="F9796" s="89" t="str">
        <v/>
      </c>
    </row>
    <row r="9797" spans="6:6" x14ac:dyDescent="0.3">
      <c r="F9797" s="89" t="str">
        <v/>
      </c>
    </row>
    <row r="9798" spans="6:6" x14ac:dyDescent="0.3">
      <c r="F9798" s="89" t="str">
        <v/>
      </c>
    </row>
    <row r="9799" spans="6:6" x14ac:dyDescent="0.3">
      <c r="F9799" s="89" t="str">
        <v/>
      </c>
    </row>
    <row r="9800" spans="6:6" x14ac:dyDescent="0.3">
      <c r="F9800" s="89" t="str">
        <v/>
      </c>
    </row>
    <row r="9801" spans="6:6" x14ac:dyDescent="0.3">
      <c r="F9801" s="89" t="str">
        <v/>
      </c>
    </row>
    <row r="9802" spans="6:6" x14ac:dyDescent="0.3">
      <c r="F9802" s="89" t="str">
        <v/>
      </c>
    </row>
    <row r="9803" spans="6:6" x14ac:dyDescent="0.3">
      <c r="F9803" s="89" t="str">
        <v/>
      </c>
    </row>
    <row r="9804" spans="6:6" x14ac:dyDescent="0.3">
      <c r="F9804" s="89" t="str">
        <v/>
      </c>
    </row>
    <row r="9805" spans="6:6" x14ac:dyDescent="0.3">
      <c r="F9805" s="89" t="str">
        <v/>
      </c>
    </row>
    <row r="9806" spans="6:6" x14ac:dyDescent="0.3">
      <c r="F9806" s="89" t="str">
        <v/>
      </c>
    </row>
    <row r="9807" spans="6:6" x14ac:dyDescent="0.3">
      <c r="F9807" s="89" t="str">
        <v/>
      </c>
    </row>
    <row r="9808" spans="6:6" x14ac:dyDescent="0.3">
      <c r="F9808" s="89" t="str">
        <v/>
      </c>
    </row>
    <row r="9809" spans="6:6" x14ac:dyDescent="0.3">
      <c r="F9809" s="89" t="str">
        <v/>
      </c>
    </row>
    <row r="9810" spans="6:6" x14ac:dyDescent="0.3">
      <c r="F9810" s="89" t="str">
        <v/>
      </c>
    </row>
    <row r="9811" spans="6:6" x14ac:dyDescent="0.3">
      <c r="F9811" s="89" t="str">
        <v/>
      </c>
    </row>
    <row r="9812" spans="6:6" x14ac:dyDescent="0.3">
      <c r="F9812" s="89" t="str">
        <v/>
      </c>
    </row>
    <row r="9813" spans="6:6" x14ac:dyDescent="0.3">
      <c r="F9813" s="89" t="str">
        <v/>
      </c>
    </row>
    <row r="9814" spans="6:6" x14ac:dyDescent="0.3">
      <c r="F9814" s="89" t="str">
        <v/>
      </c>
    </row>
    <row r="9815" spans="6:6" x14ac:dyDescent="0.3">
      <c r="F9815" s="89" t="str">
        <v/>
      </c>
    </row>
    <row r="9816" spans="6:6" x14ac:dyDescent="0.3">
      <c r="F9816" s="89" t="str">
        <v/>
      </c>
    </row>
    <row r="9817" spans="6:6" x14ac:dyDescent="0.3">
      <c r="F9817" s="89" t="str">
        <v/>
      </c>
    </row>
    <row r="9818" spans="6:6" x14ac:dyDescent="0.3">
      <c r="F9818" s="89" t="str">
        <v/>
      </c>
    </row>
    <row r="9819" spans="6:6" x14ac:dyDescent="0.3">
      <c r="F9819" s="89" t="str">
        <v/>
      </c>
    </row>
    <row r="9820" spans="6:6" x14ac:dyDescent="0.3">
      <c r="F9820" s="89" t="str">
        <v/>
      </c>
    </row>
    <row r="9821" spans="6:6" x14ac:dyDescent="0.3">
      <c r="F9821" s="89" t="str">
        <v/>
      </c>
    </row>
    <row r="9822" spans="6:6" x14ac:dyDescent="0.3">
      <c r="F9822" s="89" t="str">
        <v/>
      </c>
    </row>
    <row r="9823" spans="6:6" x14ac:dyDescent="0.3">
      <c r="F9823" s="89" t="str">
        <v/>
      </c>
    </row>
    <row r="9824" spans="6:6" x14ac:dyDescent="0.3">
      <c r="F9824" s="89" t="str">
        <v/>
      </c>
    </row>
    <row r="9825" spans="6:6" x14ac:dyDescent="0.3">
      <c r="F9825" s="89" t="str">
        <v/>
      </c>
    </row>
    <row r="9826" spans="6:6" x14ac:dyDescent="0.3">
      <c r="F9826" s="89" t="str">
        <v/>
      </c>
    </row>
    <row r="9827" spans="6:6" x14ac:dyDescent="0.3">
      <c r="F9827" s="89" t="str">
        <v/>
      </c>
    </row>
    <row r="9828" spans="6:6" x14ac:dyDescent="0.3">
      <c r="F9828" s="89" t="str">
        <v/>
      </c>
    </row>
    <row r="9829" spans="6:6" x14ac:dyDescent="0.3">
      <c r="F9829" s="89" t="str">
        <v/>
      </c>
    </row>
    <row r="9830" spans="6:6" x14ac:dyDescent="0.3">
      <c r="F9830" s="89" t="str">
        <v/>
      </c>
    </row>
    <row r="9831" spans="6:6" x14ac:dyDescent="0.3">
      <c r="F9831" s="89" t="str">
        <v/>
      </c>
    </row>
    <row r="9832" spans="6:6" x14ac:dyDescent="0.3">
      <c r="F9832" s="89" t="str">
        <v/>
      </c>
    </row>
    <row r="9833" spans="6:6" x14ac:dyDescent="0.3">
      <c r="F9833" s="89" t="str">
        <v/>
      </c>
    </row>
    <row r="9834" spans="6:6" x14ac:dyDescent="0.3">
      <c r="F9834" s="89" t="str">
        <v/>
      </c>
    </row>
    <row r="9835" spans="6:6" x14ac:dyDescent="0.3">
      <c r="F9835" s="89" t="str">
        <v/>
      </c>
    </row>
    <row r="9836" spans="6:6" x14ac:dyDescent="0.3">
      <c r="F9836" s="89" t="str">
        <v/>
      </c>
    </row>
    <row r="9837" spans="6:6" x14ac:dyDescent="0.3">
      <c r="F9837" s="89" t="str">
        <v/>
      </c>
    </row>
    <row r="9838" spans="6:6" x14ac:dyDescent="0.3">
      <c r="F9838" s="89" t="str">
        <v/>
      </c>
    </row>
    <row r="9839" spans="6:6" x14ac:dyDescent="0.3">
      <c r="F9839" s="89" t="str">
        <v/>
      </c>
    </row>
    <row r="9840" spans="6:6" x14ac:dyDescent="0.3">
      <c r="F9840" s="89" t="str">
        <v/>
      </c>
    </row>
    <row r="9841" spans="6:6" x14ac:dyDescent="0.3">
      <c r="F9841" s="89" t="str">
        <v/>
      </c>
    </row>
    <row r="9842" spans="6:6" x14ac:dyDescent="0.3">
      <c r="F9842" s="89" t="str">
        <v/>
      </c>
    </row>
    <row r="9843" spans="6:6" x14ac:dyDescent="0.3">
      <c r="F9843" s="89" t="str">
        <v/>
      </c>
    </row>
    <row r="9844" spans="6:6" x14ac:dyDescent="0.3">
      <c r="F9844" s="89" t="str">
        <v/>
      </c>
    </row>
    <row r="9845" spans="6:6" x14ac:dyDescent="0.3">
      <c r="F9845" s="89" t="str">
        <v/>
      </c>
    </row>
    <row r="9846" spans="6:6" x14ac:dyDescent="0.3">
      <c r="F9846" s="89" t="str">
        <v/>
      </c>
    </row>
    <row r="9847" spans="6:6" x14ac:dyDescent="0.3">
      <c r="F9847" s="89" t="str">
        <v/>
      </c>
    </row>
    <row r="9848" spans="6:6" x14ac:dyDescent="0.3">
      <c r="F9848" s="89" t="str">
        <v/>
      </c>
    </row>
    <row r="9849" spans="6:6" x14ac:dyDescent="0.3">
      <c r="F9849" s="89" t="str">
        <v/>
      </c>
    </row>
    <row r="9850" spans="6:6" x14ac:dyDescent="0.3">
      <c r="F9850" s="89" t="str">
        <v/>
      </c>
    </row>
    <row r="9851" spans="6:6" x14ac:dyDescent="0.3">
      <c r="F9851" s="89" t="str">
        <v/>
      </c>
    </row>
    <row r="9852" spans="6:6" x14ac:dyDescent="0.3">
      <c r="F9852" s="89" t="str">
        <v/>
      </c>
    </row>
    <row r="9853" spans="6:6" x14ac:dyDescent="0.3">
      <c r="F9853" s="89" t="str">
        <v/>
      </c>
    </row>
    <row r="9854" spans="6:6" x14ac:dyDescent="0.3">
      <c r="F9854" s="89" t="str">
        <v/>
      </c>
    </row>
    <row r="9855" spans="6:6" x14ac:dyDescent="0.3">
      <c r="F9855" s="89" t="str">
        <v/>
      </c>
    </row>
    <row r="9856" spans="6:6" x14ac:dyDescent="0.3">
      <c r="F9856" s="89" t="str">
        <v/>
      </c>
    </row>
    <row r="9857" spans="6:6" x14ac:dyDescent="0.3">
      <c r="F9857" s="89" t="str">
        <v/>
      </c>
    </row>
    <row r="9858" spans="6:6" x14ac:dyDescent="0.3">
      <c r="F9858" s="89" t="str">
        <v/>
      </c>
    </row>
    <row r="9859" spans="6:6" x14ac:dyDescent="0.3">
      <c r="F9859" s="89" t="str">
        <v/>
      </c>
    </row>
    <row r="9860" spans="6:6" x14ac:dyDescent="0.3">
      <c r="F9860" s="89" t="str">
        <v/>
      </c>
    </row>
    <row r="9861" spans="6:6" x14ac:dyDescent="0.3">
      <c r="F9861" s="89" t="str">
        <v/>
      </c>
    </row>
    <row r="9862" spans="6:6" x14ac:dyDescent="0.3">
      <c r="F9862" s="89" t="str">
        <v/>
      </c>
    </row>
    <row r="9863" spans="6:6" x14ac:dyDescent="0.3">
      <c r="F9863" s="89" t="str">
        <v/>
      </c>
    </row>
    <row r="9864" spans="6:6" x14ac:dyDescent="0.3">
      <c r="F9864" s="89" t="str">
        <v/>
      </c>
    </row>
    <row r="9865" spans="6:6" x14ac:dyDescent="0.3">
      <c r="F9865" s="89" t="str">
        <v/>
      </c>
    </row>
    <row r="9866" spans="6:6" x14ac:dyDescent="0.3">
      <c r="F9866" s="89" t="str">
        <v/>
      </c>
    </row>
    <row r="9867" spans="6:6" x14ac:dyDescent="0.3">
      <c r="F9867" s="89" t="str">
        <v/>
      </c>
    </row>
    <row r="9868" spans="6:6" x14ac:dyDescent="0.3">
      <c r="F9868" s="89" t="str">
        <v/>
      </c>
    </row>
    <row r="9869" spans="6:6" x14ac:dyDescent="0.3">
      <c r="F9869" s="89" t="str">
        <v/>
      </c>
    </row>
    <row r="9870" spans="6:6" x14ac:dyDescent="0.3">
      <c r="F9870" s="89" t="str">
        <v/>
      </c>
    </row>
    <row r="9871" spans="6:6" x14ac:dyDescent="0.3">
      <c r="F9871" s="89" t="str">
        <v/>
      </c>
    </row>
    <row r="9872" spans="6:6" x14ac:dyDescent="0.3">
      <c r="F9872" s="89" t="str">
        <v/>
      </c>
    </row>
    <row r="9873" spans="6:6" x14ac:dyDescent="0.3">
      <c r="F9873" s="89" t="str">
        <v/>
      </c>
    </row>
    <row r="9874" spans="6:6" x14ac:dyDescent="0.3">
      <c r="F9874" s="89" t="str">
        <v/>
      </c>
    </row>
    <row r="9875" spans="6:6" x14ac:dyDescent="0.3">
      <c r="F9875" s="89" t="str">
        <v/>
      </c>
    </row>
    <row r="9876" spans="6:6" x14ac:dyDescent="0.3">
      <c r="F9876" s="89" t="str">
        <v/>
      </c>
    </row>
    <row r="9877" spans="6:6" x14ac:dyDescent="0.3">
      <c r="F9877" s="89" t="str">
        <v/>
      </c>
    </row>
    <row r="9878" spans="6:6" x14ac:dyDescent="0.3">
      <c r="F9878" s="89" t="str">
        <v/>
      </c>
    </row>
    <row r="9879" spans="6:6" x14ac:dyDescent="0.3">
      <c r="F9879" s="89" t="str">
        <v/>
      </c>
    </row>
    <row r="9880" spans="6:6" x14ac:dyDescent="0.3">
      <c r="F9880" s="89" t="str">
        <v/>
      </c>
    </row>
    <row r="9881" spans="6:6" x14ac:dyDescent="0.3">
      <c r="F9881" s="89" t="str">
        <v/>
      </c>
    </row>
    <row r="9882" spans="6:6" x14ac:dyDescent="0.3">
      <c r="F9882" s="89" t="str">
        <v/>
      </c>
    </row>
    <row r="9883" spans="6:6" x14ac:dyDescent="0.3">
      <c r="F9883" s="89" t="str">
        <v/>
      </c>
    </row>
    <row r="9884" spans="6:6" x14ac:dyDescent="0.3">
      <c r="F9884" s="89" t="str">
        <v/>
      </c>
    </row>
    <row r="9885" spans="6:6" x14ac:dyDescent="0.3">
      <c r="F9885" s="89" t="str">
        <v/>
      </c>
    </row>
    <row r="9886" spans="6:6" x14ac:dyDescent="0.3">
      <c r="F9886" s="89" t="str">
        <v/>
      </c>
    </row>
    <row r="9887" spans="6:6" x14ac:dyDescent="0.3">
      <c r="F9887" s="89" t="str">
        <v/>
      </c>
    </row>
    <row r="9888" spans="6:6" x14ac:dyDescent="0.3">
      <c r="F9888" s="89" t="str">
        <v/>
      </c>
    </row>
    <row r="9889" spans="6:6" x14ac:dyDescent="0.3">
      <c r="F9889" s="89" t="str">
        <v/>
      </c>
    </row>
    <row r="9890" spans="6:6" x14ac:dyDescent="0.3">
      <c r="F9890" s="89" t="str">
        <v/>
      </c>
    </row>
    <row r="9891" spans="6:6" x14ac:dyDescent="0.3">
      <c r="F9891" s="89" t="str">
        <v/>
      </c>
    </row>
    <row r="9892" spans="6:6" x14ac:dyDescent="0.3">
      <c r="F9892" s="89" t="str">
        <v/>
      </c>
    </row>
    <row r="9893" spans="6:6" x14ac:dyDescent="0.3">
      <c r="F9893" s="89" t="str">
        <v/>
      </c>
    </row>
    <row r="9894" spans="6:6" x14ac:dyDescent="0.3">
      <c r="F9894" s="89" t="str">
        <v/>
      </c>
    </row>
    <row r="9895" spans="6:6" x14ac:dyDescent="0.3">
      <c r="F9895" s="89" t="str">
        <v/>
      </c>
    </row>
    <row r="9896" spans="6:6" x14ac:dyDescent="0.3">
      <c r="F9896" s="89" t="str">
        <v/>
      </c>
    </row>
    <row r="9897" spans="6:6" x14ac:dyDescent="0.3">
      <c r="F9897" s="89" t="str">
        <v/>
      </c>
    </row>
    <row r="9898" spans="6:6" x14ac:dyDescent="0.3">
      <c r="F9898" s="89" t="str">
        <v/>
      </c>
    </row>
    <row r="9899" spans="6:6" x14ac:dyDescent="0.3">
      <c r="F9899" s="89" t="str">
        <v/>
      </c>
    </row>
    <row r="9900" spans="6:6" x14ac:dyDescent="0.3">
      <c r="F9900" s="89" t="str">
        <v/>
      </c>
    </row>
    <row r="9901" spans="6:6" x14ac:dyDescent="0.3">
      <c r="F9901" s="89" t="str">
        <v/>
      </c>
    </row>
    <row r="9902" spans="6:6" x14ac:dyDescent="0.3">
      <c r="F9902" s="89" t="str">
        <v/>
      </c>
    </row>
    <row r="9903" spans="6:6" x14ac:dyDescent="0.3">
      <c r="F9903" s="89" t="str">
        <v/>
      </c>
    </row>
    <row r="9904" spans="6:6" x14ac:dyDescent="0.3">
      <c r="F9904" s="89" t="str">
        <v/>
      </c>
    </row>
    <row r="9905" spans="6:6" x14ac:dyDescent="0.3">
      <c r="F9905" s="89" t="str">
        <v/>
      </c>
    </row>
    <row r="9906" spans="6:6" x14ac:dyDescent="0.3">
      <c r="F9906" s="89" t="str">
        <v/>
      </c>
    </row>
    <row r="9907" spans="6:6" x14ac:dyDescent="0.3">
      <c r="F9907" s="89" t="str">
        <v/>
      </c>
    </row>
    <row r="9908" spans="6:6" x14ac:dyDescent="0.3">
      <c r="F9908" s="89" t="str">
        <v/>
      </c>
    </row>
    <row r="9909" spans="6:6" x14ac:dyDescent="0.3">
      <c r="F9909" s="89" t="str">
        <v/>
      </c>
    </row>
    <row r="9910" spans="6:6" x14ac:dyDescent="0.3">
      <c r="F9910" s="89" t="str">
        <v/>
      </c>
    </row>
    <row r="9911" spans="6:6" x14ac:dyDescent="0.3">
      <c r="F9911" s="89" t="str">
        <v/>
      </c>
    </row>
    <row r="9912" spans="6:6" x14ac:dyDescent="0.3">
      <c r="F9912" s="89" t="str">
        <v/>
      </c>
    </row>
    <row r="9913" spans="6:6" x14ac:dyDescent="0.3">
      <c r="F9913" s="89" t="str">
        <v/>
      </c>
    </row>
    <row r="9914" spans="6:6" x14ac:dyDescent="0.3">
      <c r="F9914" s="89" t="str">
        <v/>
      </c>
    </row>
    <row r="9915" spans="6:6" x14ac:dyDescent="0.3">
      <c r="F9915" s="89" t="str">
        <v/>
      </c>
    </row>
    <row r="9916" spans="6:6" x14ac:dyDescent="0.3">
      <c r="F9916" s="89" t="str">
        <v/>
      </c>
    </row>
    <row r="9917" spans="6:6" x14ac:dyDescent="0.3">
      <c r="F9917" s="89" t="str">
        <v/>
      </c>
    </row>
    <row r="9918" spans="6:6" x14ac:dyDescent="0.3">
      <c r="F9918" s="89" t="str">
        <v/>
      </c>
    </row>
    <row r="9919" spans="6:6" x14ac:dyDescent="0.3">
      <c r="F9919" s="89" t="str">
        <v/>
      </c>
    </row>
    <row r="9920" spans="6:6" x14ac:dyDescent="0.3">
      <c r="F9920" s="89" t="str">
        <v/>
      </c>
    </row>
    <row r="9921" spans="6:6" x14ac:dyDescent="0.3">
      <c r="F9921" s="89" t="str">
        <v/>
      </c>
    </row>
    <row r="9922" spans="6:6" x14ac:dyDescent="0.3">
      <c r="F9922" s="89" t="str">
        <v/>
      </c>
    </row>
    <row r="9923" spans="6:6" x14ac:dyDescent="0.3">
      <c r="F9923" s="89" t="str">
        <v/>
      </c>
    </row>
    <row r="9924" spans="6:6" x14ac:dyDescent="0.3">
      <c r="F9924" s="89" t="str">
        <v/>
      </c>
    </row>
    <row r="9925" spans="6:6" x14ac:dyDescent="0.3">
      <c r="F9925" s="89" t="str">
        <v/>
      </c>
    </row>
    <row r="9926" spans="6:6" x14ac:dyDescent="0.3">
      <c r="F9926" s="89" t="str">
        <v/>
      </c>
    </row>
    <row r="9927" spans="6:6" x14ac:dyDescent="0.3">
      <c r="F9927" s="89" t="str">
        <v/>
      </c>
    </row>
    <row r="9928" spans="6:6" x14ac:dyDescent="0.3">
      <c r="F9928" s="89" t="str">
        <v/>
      </c>
    </row>
    <row r="9929" spans="6:6" x14ac:dyDescent="0.3">
      <c r="F9929" s="89" t="str">
        <v/>
      </c>
    </row>
    <row r="9930" spans="6:6" x14ac:dyDescent="0.3">
      <c r="F9930" s="89" t="str">
        <v/>
      </c>
    </row>
    <row r="9931" spans="6:6" x14ac:dyDescent="0.3">
      <c r="F9931" s="89" t="str">
        <v/>
      </c>
    </row>
    <row r="9932" spans="6:6" x14ac:dyDescent="0.3">
      <c r="F9932" s="89" t="str">
        <v/>
      </c>
    </row>
    <row r="9933" spans="6:6" x14ac:dyDescent="0.3">
      <c r="F9933" s="89" t="str">
        <v/>
      </c>
    </row>
    <row r="9934" spans="6:6" x14ac:dyDescent="0.3">
      <c r="F9934" s="89" t="str">
        <v/>
      </c>
    </row>
    <row r="9935" spans="6:6" x14ac:dyDescent="0.3">
      <c r="F9935" s="89" t="str">
        <v/>
      </c>
    </row>
    <row r="9936" spans="6:6" x14ac:dyDescent="0.3">
      <c r="F9936" s="89" t="str">
        <v/>
      </c>
    </row>
    <row r="9937" spans="6:6" x14ac:dyDescent="0.3">
      <c r="F9937" s="89" t="str">
        <v/>
      </c>
    </row>
    <row r="9938" spans="6:6" x14ac:dyDescent="0.3">
      <c r="F9938" s="89" t="str">
        <v/>
      </c>
    </row>
    <row r="9939" spans="6:6" x14ac:dyDescent="0.3">
      <c r="F9939" s="89" t="str">
        <v/>
      </c>
    </row>
    <row r="9940" spans="6:6" x14ac:dyDescent="0.3">
      <c r="F9940" s="89" t="str">
        <v/>
      </c>
    </row>
    <row r="9941" spans="6:6" x14ac:dyDescent="0.3">
      <c r="F9941" s="89" t="str">
        <v/>
      </c>
    </row>
    <row r="9942" spans="6:6" x14ac:dyDescent="0.3">
      <c r="F9942" s="89" t="str">
        <v/>
      </c>
    </row>
    <row r="9943" spans="6:6" x14ac:dyDescent="0.3">
      <c r="F9943" s="89" t="str">
        <v/>
      </c>
    </row>
    <row r="9944" spans="6:6" x14ac:dyDescent="0.3">
      <c r="F9944" s="89" t="str">
        <v/>
      </c>
    </row>
    <row r="9945" spans="6:6" x14ac:dyDescent="0.3">
      <c r="F9945" s="89" t="str">
        <v/>
      </c>
    </row>
    <row r="9946" spans="6:6" x14ac:dyDescent="0.3">
      <c r="F9946" s="89" t="str">
        <v/>
      </c>
    </row>
    <row r="9947" spans="6:6" x14ac:dyDescent="0.3">
      <c r="F9947" s="89" t="str">
        <v/>
      </c>
    </row>
    <row r="9948" spans="6:6" x14ac:dyDescent="0.3">
      <c r="F9948" s="89" t="str">
        <v/>
      </c>
    </row>
    <row r="9949" spans="6:6" x14ac:dyDescent="0.3">
      <c r="F9949" s="89" t="str">
        <v/>
      </c>
    </row>
    <row r="9950" spans="6:6" x14ac:dyDescent="0.3">
      <c r="F9950" s="89" t="str">
        <v/>
      </c>
    </row>
    <row r="9951" spans="6:6" x14ac:dyDescent="0.3">
      <c r="F9951" s="89" t="str">
        <v/>
      </c>
    </row>
    <row r="9952" spans="6:6" x14ac:dyDescent="0.3">
      <c r="F9952" s="89" t="str">
        <v/>
      </c>
    </row>
    <row r="9953" spans="6:6" x14ac:dyDescent="0.3">
      <c r="F9953" s="89" t="str">
        <v/>
      </c>
    </row>
    <row r="9954" spans="6:6" x14ac:dyDescent="0.3">
      <c r="F9954" s="89" t="str">
        <v/>
      </c>
    </row>
    <row r="9955" spans="6:6" x14ac:dyDescent="0.3">
      <c r="F9955" s="89" t="str">
        <v/>
      </c>
    </row>
    <row r="9956" spans="6:6" x14ac:dyDescent="0.3">
      <c r="F9956" s="89" t="str">
        <v/>
      </c>
    </row>
    <row r="9957" spans="6:6" x14ac:dyDescent="0.3">
      <c r="F9957" s="89" t="str">
        <v/>
      </c>
    </row>
    <row r="9958" spans="6:6" x14ac:dyDescent="0.3">
      <c r="F9958" s="89" t="str">
        <v/>
      </c>
    </row>
    <row r="9959" spans="6:6" x14ac:dyDescent="0.3">
      <c r="F9959" s="89" t="str">
        <v/>
      </c>
    </row>
    <row r="9960" spans="6:6" x14ac:dyDescent="0.3">
      <c r="F9960" s="89" t="str">
        <v/>
      </c>
    </row>
    <row r="9961" spans="6:6" x14ac:dyDescent="0.3">
      <c r="F9961" s="89" t="str">
        <v/>
      </c>
    </row>
    <row r="9962" spans="6:6" x14ac:dyDescent="0.3">
      <c r="F9962" s="89" t="str">
        <v/>
      </c>
    </row>
    <row r="9963" spans="6:6" x14ac:dyDescent="0.3">
      <c r="F9963" s="89" t="str">
        <v/>
      </c>
    </row>
    <row r="9964" spans="6:6" x14ac:dyDescent="0.3">
      <c r="F9964" s="89" t="str">
        <v/>
      </c>
    </row>
    <row r="9965" spans="6:6" x14ac:dyDescent="0.3">
      <c r="F9965" s="89" t="str">
        <v/>
      </c>
    </row>
    <row r="9966" spans="6:6" x14ac:dyDescent="0.3">
      <c r="F9966" s="89" t="str">
        <v/>
      </c>
    </row>
    <row r="9967" spans="6:6" x14ac:dyDescent="0.3">
      <c r="F9967" s="89" t="str">
        <v/>
      </c>
    </row>
    <row r="9968" spans="6:6" x14ac:dyDescent="0.3">
      <c r="F9968" s="89" t="str">
        <v/>
      </c>
    </row>
    <row r="9969" spans="6:6" x14ac:dyDescent="0.3">
      <c r="F9969" s="89" t="str">
        <v/>
      </c>
    </row>
    <row r="9970" spans="6:6" x14ac:dyDescent="0.3">
      <c r="F9970" s="89" t="str">
        <v/>
      </c>
    </row>
    <row r="9971" spans="6:6" x14ac:dyDescent="0.3">
      <c r="F9971" s="89" t="str">
        <v/>
      </c>
    </row>
    <row r="9972" spans="6:6" x14ac:dyDescent="0.3">
      <c r="F9972" s="89" t="str">
        <v/>
      </c>
    </row>
    <row r="9973" spans="6:6" x14ac:dyDescent="0.3">
      <c r="F9973" s="89" t="str">
        <v/>
      </c>
    </row>
    <row r="9974" spans="6:6" x14ac:dyDescent="0.3">
      <c r="F9974" s="89" t="str">
        <v/>
      </c>
    </row>
    <row r="9975" spans="6:6" x14ac:dyDescent="0.3">
      <c r="F9975" s="89" t="str">
        <v/>
      </c>
    </row>
    <row r="9976" spans="6:6" x14ac:dyDescent="0.3">
      <c r="F9976" s="89" t="str">
        <v/>
      </c>
    </row>
    <row r="9977" spans="6:6" x14ac:dyDescent="0.3">
      <c r="F9977" s="89" t="str">
        <v/>
      </c>
    </row>
    <row r="9978" spans="6:6" x14ac:dyDescent="0.3">
      <c r="F9978" s="89" t="str">
        <v/>
      </c>
    </row>
    <row r="9979" spans="6:6" x14ac:dyDescent="0.3">
      <c r="F9979" s="89" t="str">
        <v/>
      </c>
    </row>
    <row r="9980" spans="6:6" x14ac:dyDescent="0.3">
      <c r="F9980" s="89" t="str">
        <v/>
      </c>
    </row>
    <row r="9981" spans="6:6" x14ac:dyDescent="0.3">
      <c r="F9981" s="89" t="str">
        <v/>
      </c>
    </row>
    <row r="9982" spans="6:6" x14ac:dyDescent="0.3">
      <c r="F9982" s="89" t="str">
        <v/>
      </c>
    </row>
    <row r="9983" spans="6:6" x14ac:dyDescent="0.3">
      <c r="F9983" s="89" t="str">
        <v/>
      </c>
    </row>
    <row r="9984" spans="6:6" x14ac:dyDescent="0.3">
      <c r="F9984" s="89" t="str">
        <v/>
      </c>
    </row>
    <row r="9985" spans="6:6" x14ac:dyDescent="0.3">
      <c r="F9985" s="89" t="str">
        <v/>
      </c>
    </row>
    <row r="9986" spans="6:6" x14ac:dyDescent="0.3">
      <c r="F9986" s="89" t="str">
        <v/>
      </c>
    </row>
    <row r="9987" spans="6:6" x14ac:dyDescent="0.3">
      <c r="F9987" s="89" t="str">
        <v/>
      </c>
    </row>
    <row r="9988" spans="6:6" x14ac:dyDescent="0.3">
      <c r="F9988" s="89" t="str">
        <v/>
      </c>
    </row>
    <row r="9989" spans="6:6" x14ac:dyDescent="0.3">
      <c r="F9989" s="89" t="str">
        <v/>
      </c>
    </row>
    <row r="9990" spans="6:6" x14ac:dyDescent="0.3">
      <c r="F9990" s="89" t="str">
        <v/>
      </c>
    </row>
    <row r="9991" spans="6:6" x14ac:dyDescent="0.3">
      <c r="F9991" s="89" t="str">
        <v/>
      </c>
    </row>
    <row r="9992" spans="6:6" x14ac:dyDescent="0.3">
      <c r="F9992" s="89" t="str">
        <v/>
      </c>
    </row>
    <row r="9993" spans="6:6" x14ac:dyDescent="0.3">
      <c r="F9993" s="89" t="str">
        <v/>
      </c>
    </row>
    <row r="9994" spans="6:6" x14ac:dyDescent="0.3">
      <c r="F9994" s="89" t="str">
        <v/>
      </c>
    </row>
    <row r="9995" spans="6:6" x14ac:dyDescent="0.3">
      <c r="F9995" s="89" t="str">
        <v/>
      </c>
    </row>
    <row r="9996" spans="6:6" x14ac:dyDescent="0.3">
      <c r="F9996" s="89" t="str">
        <v/>
      </c>
    </row>
    <row r="9997" spans="6:6" x14ac:dyDescent="0.3">
      <c r="F9997" s="89" t="str">
        <v/>
      </c>
    </row>
    <row r="9998" spans="6:6" x14ac:dyDescent="0.3">
      <c r="F9998" s="89" t="str">
        <v/>
      </c>
    </row>
    <row r="9999" spans="6:6" x14ac:dyDescent="0.3">
      <c r="F9999" s="89" t="str">
        <v/>
      </c>
    </row>
    <row r="10000" spans="6:6" x14ac:dyDescent="0.3">
      <c r="F10000" s="89" t="str">
        <v/>
      </c>
    </row>
  </sheetData>
  <sheetProtection algorithmName="SHA-512" hashValue="YdK38JNBM27W2Xv5/DiJtQZGHHnqAKaQAAIB+VyBNPWfyI4X6WCDcyl44D/rAL/YC05yPNiahV+6LvsNuv9QTQ==" saltValue="5ua+6r9M2lOI31ywB0TxnA==" spinCount="100000" sheet="1" objects="1" scenarios="1"/>
  <autoFilter ref="A1:G10000" xr:uid="{7228B244-F24C-4B63-B220-37BA369A92A6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5539d08f-e9f7-4915-bae0-716c6be2b649">
      <Terms xmlns="http://schemas.microsoft.com/office/infopath/2007/PartnerControls"/>
    </lcf76f155ced4ddcb4097134ff3c332f>
    <TaxCatchAll xmlns="a196827e-ec68-4865-99d8-f63a92cb37f4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3D1F9479F43F442BB34DF7C0A196CBA" ma:contentTypeVersion="17" ma:contentTypeDescription="Create a new document." ma:contentTypeScope="" ma:versionID="c3fea2d06d24b41146aeb1f584d2a562">
  <xsd:schema xmlns:xsd="http://www.w3.org/2001/XMLSchema" xmlns:xs="http://www.w3.org/2001/XMLSchema" xmlns:p="http://schemas.microsoft.com/office/2006/metadata/properties" xmlns:ns2="5539d08f-e9f7-4915-bae0-716c6be2b649" xmlns:ns3="a196827e-ec68-4865-99d8-f63a92cb37f4" targetNamespace="http://schemas.microsoft.com/office/2006/metadata/properties" ma:root="true" ma:fieldsID="fe5412c443888950b980ab67ad4a356d" ns2:_="" ns3:_="">
    <xsd:import namespace="5539d08f-e9f7-4915-bae0-716c6be2b649"/>
    <xsd:import namespace="a196827e-ec68-4865-99d8-f63a92cb37f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Locatio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539d08f-e9f7-4915-bae0-716c6be2b64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d502a9c5-87bc-467b-bff7-4640385aa93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96827e-ec68-4865-99d8-f63a92cb37f4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3490cf66-b5d7-4806-aaa4-3dc3d6e78e30}" ma:internalName="TaxCatchAll" ma:showField="CatchAllData" ma:web="a196827e-ec68-4865-99d8-f63a92cb37f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EC9A97C-026E-4132-8427-3AFCC56C8050}">
  <ds:schemaRefs>
    <ds:schemaRef ds:uri="http://www.w3.org/XML/1998/namespace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terms/"/>
    <ds:schemaRef ds:uri="5539d08f-e9f7-4915-bae0-716c6be2b649"/>
    <ds:schemaRef ds:uri="http://purl.org/dc/elements/1.1/"/>
    <ds:schemaRef ds:uri="http://schemas.openxmlformats.org/package/2006/metadata/core-properties"/>
    <ds:schemaRef ds:uri="a196827e-ec68-4865-99d8-f63a92cb37f4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707D4A42-770A-455A-988F-A6902F85FBF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4702249-E7A7-4DE7-9E61-3FBF4BFCA83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539d08f-e9f7-4915-bae0-716c6be2b649"/>
    <ds:schemaRef ds:uri="a196827e-ec68-4865-99d8-f63a92cb37f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Programa Capacitaciones 2026</vt:lpstr>
      <vt:lpstr>Matriz de Comp. Personas</vt:lpstr>
      <vt:lpstr>Requisito x Tarea</vt:lpstr>
      <vt:lpstr>Criterio de matriz competencias</vt:lpstr>
      <vt:lpstr>VENCIDAS</vt:lpstr>
      <vt:lpstr>POR_VENCER</vt:lpstr>
      <vt:lpstr>PANEL_PERSONA</vt:lpstr>
      <vt:lpstr>HUB</vt:lpstr>
      <vt:lpstr>LISTADO_PERFILES PUESTO</vt:lpstr>
      <vt:lpstr>CONSULTA_MES</vt:lpstr>
      <vt:lpstr>FID</vt:lpstr>
      <vt:lpstr>BASE_OK</vt:lpstr>
      <vt:lpstr>Extraccion_HORAS</vt:lpstr>
      <vt:lpstr>LISTADO_TAREAS</vt:lpstr>
      <vt:lpstr>BASE_LINEAS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Naranjo, Matias</dc:creator>
  <cp:keywords/>
  <dc:description/>
  <cp:lastModifiedBy>Ever Conti</cp:lastModifiedBy>
  <cp:revision/>
  <dcterms:created xsi:type="dcterms:W3CDTF">2026-01-15T13:15:58Z</dcterms:created>
  <dcterms:modified xsi:type="dcterms:W3CDTF">2026-08-19T12:59:49Z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0x010100D3D1F9479F43F442BB34DF7C0A196CBA</vt:lpwstr>
  </property>
</Properties>
</file>